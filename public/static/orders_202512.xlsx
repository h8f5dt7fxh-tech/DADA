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19F93B5-D75D-4E1E-9780-6D090288D6F8}" xr6:coauthVersionLast="47" xr6:coauthVersionMax="47" xr10:uidLastSave="{00000000-0000-0000-0000-000000000000}"/>
  <bookViews>
    <workbookView xWindow="-108" yWindow="-108" windowWidth="23256" windowHeight="12456" xr2:uid="{BD82D3FC-C340-4016-B971-A97653DBC644}"/>
  </bookViews>
  <sheets>
    <sheet name="202512" sheetId="1" r:id="rId1"/>
  </sheets>
  <externalReferences>
    <externalReference r:id="rId2"/>
  </externalReferences>
  <definedNames>
    <definedName name="_xlnm._FilterDatabase" localSheetId="0" hidden="1">'202512'!$A$2:$AH$2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95" i="1" l="1" a="1"/>
  <c r="U895" i="1" s="1"/>
  <c r="U894" i="1" a="1"/>
  <c r="U894" i="1" s="1"/>
  <c r="U893" i="1" a="1"/>
  <c r="U893" i="1" s="1"/>
  <c r="U892" i="1" a="1"/>
  <c r="U892" i="1" s="1"/>
  <c r="U891" i="1" a="1"/>
  <c r="U891" i="1" s="1"/>
  <c r="U890" i="1" a="1"/>
  <c r="U890" i="1" s="1"/>
  <c r="U889" i="1" a="1"/>
  <c r="U889" i="1" s="1"/>
  <c r="U888" i="1" a="1"/>
  <c r="U888" i="1" s="1"/>
  <c r="U887" i="1" a="1"/>
  <c r="U887" i="1" s="1"/>
  <c r="U886" i="1" a="1"/>
  <c r="U886" i="1" s="1"/>
  <c r="U885" i="1"/>
  <c r="U885" i="1" a="1"/>
  <c r="U884" i="1" a="1"/>
  <c r="U884" i="1" s="1"/>
  <c r="U883" i="1" a="1"/>
  <c r="U883" i="1" s="1"/>
  <c r="U882" i="1" a="1"/>
  <c r="U882" i="1" s="1"/>
  <c r="U881" i="1" a="1"/>
  <c r="U881" i="1" s="1"/>
  <c r="U880" i="1" a="1"/>
  <c r="U880" i="1" s="1"/>
  <c r="U879" i="1" a="1"/>
  <c r="U879" i="1" s="1"/>
  <c r="U878" i="1" a="1"/>
  <c r="U878" i="1" s="1"/>
  <c r="U877" i="1" a="1"/>
  <c r="U877" i="1" s="1"/>
  <c r="U876" i="1" a="1"/>
  <c r="U876" i="1" s="1"/>
  <c r="U875" i="1"/>
  <c r="U875" i="1" a="1"/>
  <c r="U874" i="1" a="1"/>
  <c r="U874" i="1" s="1"/>
  <c r="U873" i="1" a="1"/>
  <c r="U873" i="1" s="1"/>
  <c r="U872" i="1"/>
  <c r="U872" i="1" a="1"/>
  <c r="U871" i="1" a="1"/>
  <c r="U871" i="1" s="1"/>
  <c r="U870" i="1" a="1"/>
  <c r="U870" i="1" s="1"/>
  <c r="U869" i="1" a="1"/>
  <c r="U869" i="1" s="1"/>
  <c r="U868" i="1"/>
  <c r="U868" i="1" a="1"/>
  <c r="U867" i="1" a="1"/>
  <c r="U867" i="1" s="1"/>
  <c r="U866" i="1" a="1"/>
  <c r="U866" i="1" s="1"/>
  <c r="U865" i="1" a="1"/>
  <c r="U865" i="1" s="1"/>
  <c r="U864" i="1" a="1"/>
  <c r="U864" i="1" s="1"/>
  <c r="U863" i="1" a="1"/>
  <c r="U863" i="1" s="1"/>
  <c r="U862" i="1" a="1"/>
  <c r="U862" i="1" s="1"/>
  <c r="U861" i="1" a="1"/>
  <c r="U861" i="1" s="1"/>
  <c r="U860" i="1"/>
  <c r="U860" i="1" a="1"/>
  <c r="U859" i="1" a="1"/>
  <c r="U859" i="1" s="1"/>
  <c r="U858" i="1" a="1"/>
  <c r="U858" i="1" s="1"/>
  <c r="U857" i="1" a="1"/>
  <c r="U857" i="1" s="1"/>
  <c r="U856" i="1" a="1"/>
  <c r="U856" i="1" s="1"/>
  <c r="U855" i="1" a="1"/>
  <c r="U855" i="1" s="1"/>
  <c r="U854" i="1" a="1"/>
  <c r="U854" i="1" s="1"/>
  <c r="U853" i="1" a="1"/>
  <c r="U853" i="1" s="1"/>
  <c r="U852" i="1" a="1"/>
  <c r="U852" i="1" s="1"/>
  <c r="U851" i="1" a="1"/>
  <c r="U851" i="1" s="1"/>
  <c r="U850" i="1"/>
  <c r="U850" i="1" a="1"/>
  <c r="U849" i="1"/>
  <c r="U849" i="1" a="1"/>
  <c r="U848" i="1" a="1"/>
  <c r="U848" i="1" s="1"/>
  <c r="U847" i="1" a="1"/>
  <c r="U847" i="1" s="1"/>
  <c r="U846" i="1" a="1"/>
  <c r="U846" i="1" s="1"/>
  <c r="U845" i="1" a="1"/>
  <c r="U845" i="1" s="1"/>
  <c r="U844" i="1" a="1"/>
  <c r="U844" i="1" s="1"/>
  <c r="U843" i="1" a="1"/>
  <c r="U843" i="1" s="1"/>
  <c r="U842" i="1"/>
  <c r="U842" i="1" a="1"/>
  <c r="U841" i="1" a="1"/>
  <c r="U841" i="1" s="1"/>
  <c r="U840" i="1" a="1"/>
  <c r="U840" i="1" s="1"/>
  <c r="U839" i="1" a="1"/>
  <c r="U839" i="1" s="1"/>
  <c r="U838" i="1" a="1"/>
  <c r="U838" i="1" s="1"/>
  <c r="U837" i="1" a="1"/>
  <c r="U837" i="1" s="1"/>
  <c r="U836" i="1" a="1"/>
  <c r="U836" i="1" s="1"/>
  <c r="AC835" i="1"/>
  <c r="X835" i="1"/>
  <c r="U835" i="1" a="1"/>
  <c r="U835" i="1" s="1"/>
  <c r="S835" i="1" a="1"/>
  <c r="S835" i="1" s="1"/>
  <c r="N835" i="1"/>
  <c r="L835" i="1"/>
  <c r="J835" i="1"/>
  <c r="AC834" i="1"/>
  <c r="X834" i="1"/>
  <c r="U834" i="1"/>
  <c r="U834" i="1" a="1"/>
  <c r="S834" i="1"/>
  <c r="S834" i="1" a="1"/>
  <c r="N834" i="1"/>
  <c r="L834" i="1"/>
  <c r="J834" i="1"/>
  <c r="AC833" i="1"/>
  <c r="X833" i="1"/>
  <c r="U833" i="1"/>
  <c r="U833" i="1" a="1"/>
  <c r="S833" i="1" a="1"/>
  <c r="S833" i="1" s="1"/>
  <c r="N833" i="1"/>
  <c r="L833" i="1"/>
  <c r="J833" i="1"/>
  <c r="AC832" i="1"/>
  <c r="X832" i="1"/>
  <c r="U832" i="1" a="1"/>
  <c r="U832" i="1" s="1"/>
  <c r="S832" i="1" a="1"/>
  <c r="S832" i="1" s="1"/>
  <c r="N832" i="1"/>
  <c r="L832" i="1"/>
  <c r="J832" i="1"/>
  <c r="AC831" i="1"/>
  <c r="X831" i="1"/>
  <c r="U831" i="1" a="1"/>
  <c r="U831" i="1" s="1"/>
  <c r="S831" i="1"/>
  <c r="S831" i="1" a="1"/>
  <c r="N831" i="1"/>
  <c r="L831" i="1"/>
  <c r="J831" i="1"/>
  <c r="AC830" i="1"/>
  <c r="X830" i="1"/>
  <c r="U830" i="1"/>
  <c r="U830" i="1" a="1"/>
  <c r="S830" i="1" a="1"/>
  <c r="S830" i="1" s="1"/>
  <c r="N830" i="1"/>
  <c r="L830" i="1"/>
  <c r="J830" i="1"/>
  <c r="AC829" i="1"/>
  <c r="X829" i="1"/>
  <c r="U829" i="1" a="1"/>
  <c r="U829" i="1" s="1"/>
  <c r="S829" i="1" a="1"/>
  <c r="S829" i="1" s="1"/>
  <c r="N829" i="1"/>
  <c r="L829" i="1"/>
  <c r="J829" i="1"/>
  <c r="AC828" i="1"/>
  <c r="X828" i="1"/>
  <c r="U828" i="1" a="1"/>
  <c r="U828" i="1" s="1"/>
  <c r="S828" i="1" a="1"/>
  <c r="S828" i="1" s="1"/>
  <c r="N828" i="1"/>
  <c r="L828" i="1"/>
  <c r="J828" i="1"/>
  <c r="AC827" i="1"/>
  <c r="X827" i="1"/>
  <c r="U827" i="1" a="1"/>
  <c r="U827" i="1" s="1"/>
  <c r="S827" i="1" a="1"/>
  <c r="S827" i="1" s="1"/>
  <c r="N827" i="1"/>
  <c r="L827" i="1"/>
  <c r="J827" i="1"/>
  <c r="AC826" i="1"/>
  <c r="X826" i="1"/>
  <c r="U826" i="1"/>
  <c r="U826" i="1" a="1"/>
  <c r="S826" i="1" a="1"/>
  <c r="S826" i="1" s="1"/>
  <c r="N826" i="1"/>
  <c r="L826" i="1"/>
  <c r="J826" i="1"/>
  <c r="AC825" i="1"/>
  <c r="X825" i="1"/>
  <c r="U825" i="1" a="1"/>
  <c r="U825" i="1" s="1"/>
  <c r="S825" i="1"/>
  <c r="S825" i="1" a="1"/>
  <c r="N825" i="1"/>
  <c r="L825" i="1"/>
  <c r="J825" i="1"/>
  <c r="AC824" i="1"/>
  <c r="X824" i="1"/>
  <c r="U824" i="1" a="1"/>
  <c r="U824" i="1" s="1"/>
  <c r="S824" i="1"/>
  <c r="S824" i="1" a="1"/>
  <c r="N824" i="1"/>
  <c r="L824" i="1"/>
  <c r="J824" i="1"/>
  <c r="AC823" i="1"/>
  <c r="X823" i="1"/>
  <c r="U823" i="1"/>
  <c r="U823" i="1" a="1"/>
  <c r="S823" i="1" a="1"/>
  <c r="S823" i="1" s="1"/>
  <c r="N823" i="1"/>
  <c r="L823" i="1"/>
  <c r="J823" i="1"/>
  <c r="AC822" i="1"/>
  <c r="X822" i="1"/>
  <c r="U822" i="1"/>
  <c r="U822" i="1" a="1"/>
  <c r="S822" i="1" a="1"/>
  <c r="S822" i="1" s="1"/>
  <c r="N822" i="1"/>
  <c r="L822" i="1"/>
  <c r="J822" i="1"/>
  <c r="AC821" i="1"/>
  <c r="X821" i="1"/>
  <c r="U821" i="1"/>
  <c r="U821" i="1" a="1"/>
  <c r="S821" i="1" a="1"/>
  <c r="S821" i="1" s="1"/>
  <c r="N821" i="1"/>
  <c r="L821" i="1"/>
  <c r="J821" i="1"/>
  <c r="AC820" i="1"/>
  <c r="X820" i="1"/>
  <c r="U820" i="1" a="1"/>
  <c r="U820" i="1" s="1"/>
  <c r="S820" i="1" a="1"/>
  <c r="S820" i="1" s="1"/>
  <c r="N820" i="1"/>
  <c r="L820" i="1"/>
  <c r="J820" i="1"/>
  <c r="AC819" i="1"/>
  <c r="X819" i="1"/>
  <c r="U819" i="1"/>
  <c r="U819" i="1" a="1"/>
  <c r="S819" i="1"/>
  <c r="S819" i="1" a="1"/>
  <c r="N819" i="1"/>
  <c r="L819" i="1"/>
  <c r="J819" i="1"/>
  <c r="AC818" i="1"/>
  <c r="X818" i="1"/>
  <c r="U818" i="1"/>
  <c r="U818" i="1" a="1"/>
  <c r="S818" i="1" a="1"/>
  <c r="S818" i="1" s="1"/>
  <c r="N818" i="1"/>
  <c r="L818" i="1"/>
  <c r="J818" i="1"/>
  <c r="AC817" i="1"/>
  <c r="X817" i="1"/>
  <c r="U817" i="1" a="1"/>
  <c r="U817" i="1" s="1"/>
  <c r="S817" i="1" a="1"/>
  <c r="S817" i="1" s="1"/>
  <c r="N817" i="1"/>
  <c r="L817" i="1"/>
  <c r="J817" i="1"/>
  <c r="AC816" i="1"/>
  <c r="X816" i="1"/>
  <c r="U816" i="1"/>
  <c r="U816" i="1" a="1"/>
  <c r="S816" i="1" a="1"/>
  <c r="S816" i="1" s="1"/>
  <c r="N816" i="1"/>
  <c r="L816" i="1"/>
  <c r="J816" i="1"/>
  <c r="AC815" i="1"/>
  <c r="X815" i="1"/>
  <c r="U815" i="1" a="1"/>
  <c r="U815" i="1" s="1"/>
  <c r="S815" i="1" a="1"/>
  <c r="S815" i="1" s="1"/>
  <c r="N815" i="1"/>
  <c r="L815" i="1"/>
  <c r="J815" i="1"/>
  <c r="AC814" i="1"/>
  <c r="X814" i="1"/>
  <c r="U814" i="1"/>
  <c r="U814" i="1" a="1"/>
  <c r="S814" i="1" a="1"/>
  <c r="S814" i="1" s="1"/>
  <c r="N814" i="1"/>
  <c r="L814" i="1"/>
  <c r="J814" i="1"/>
  <c r="AC813" i="1"/>
  <c r="X813" i="1"/>
  <c r="U813" i="1"/>
  <c r="U813" i="1" a="1"/>
  <c r="S813" i="1" a="1"/>
  <c r="S813" i="1" s="1"/>
  <c r="N813" i="1"/>
  <c r="L813" i="1"/>
  <c r="J813" i="1"/>
  <c r="AC812" i="1"/>
  <c r="X812" i="1"/>
  <c r="U812" i="1" a="1"/>
  <c r="U812" i="1" s="1"/>
  <c r="S812" i="1"/>
  <c r="S812" i="1" a="1"/>
  <c r="N812" i="1"/>
  <c r="L812" i="1"/>
  <c r="J812" i="1"/>
  <c r="AC811" i="1"/>
  <c r="X811" i="1"/>
  <c r="U811" i="1" a="1"/>
  <c r="U811" i="1" s="1"/>
  <c r="S811" i="1" a="1"/>
  <c r="S811" i="1" s="1"/>
  <c r="N811" i="1"/>
  <c r="L811" i="1"/>
  <c r="J811" i="1"/>
  <c r="AC810" i="1"/>
  <c r="X810" i="1"/>
  <c r="U810" i="1"/>
  <c r="U810" i="1" a="1"/>
  <c r="S810" i="1" a="1"/>
  <c r="S810" i="1" s="1"/>
  <c r="N810" i="1"/>
  <c r="L810" i="1"/>
  <c r="J810" i="1"/>
  <c r="AC809" i="1"/>
  <c r="X809" i="1"/>
  <c r="U809" i="1"/>
  <c r="U809" i="1" a="1"/>
  <c r="S809" i="1"/>
  <c r="S809" i="1" a="1"/>
  <c r="N809" i="1"/>
  <c r="L809" i="1"/>
  <c r="J809" i="1"/>
  <c r="AC808" i="1"/>
  <c r="X808" i="1"/>
  <c r="U808" i="1" a="1"/>
  <c r="U808" i="1" s="1"/>
  <c r="S808" i="1" a="1"/>
  <c r="S808" i="1" s="1"/>
  <c r="N808" i="1"/>
  <c r="L808" i="1"/>
  <c r="J808" i="1"/>
  <c r="AC807" i="1"/>
  <c r="X807" i="1"/>
  <c r="U807" i="1"/>
  <c r="U807" i="1" a="1"/>
  <c r="S807" i="1" a="1"/>
  <c r="S807" i="1" s="1"/>
  <c r="N807" i="1"/>
  <c r="L807" i="1"/>
  <c r="J807" i="1"/>
  <c r="AC806" i="1"/>
  <c r="X806" i="1"/>
  <c r="U806" i="1"/>
  <c r="U806" i="1" a="1"/>
  <c r="S806" i="1" a="1"/>
  <c r="S806" i="1" s="1"/>
  <c r="N806" i="1"/>
  <c r="L806" i="1"/>
  <c r="J806" i="1"/>
  <c r="AC805" i="1"/>
  <c r="X805" i="1"/>
  <c r="U805" i="1" a="1"/>
  <c r="U805" i="1" s="1"/>
  <c r="S805" i="1"/>
  <c r="S805" i="1" a="1"/>
  <c r="N805" i="1"/>
  <c r="L805" i="1"/>
  <c r="J805" i="1"/>
  <c r="AC804" i="1"/>
  <c r="X804" i="1"/>
  <c r="U804" i="1" a="1"/>
  <c r="U804" i="1" s="1"/>
  <c r="S804" i="1" a="1"/>
  <c r="S804" i="1" s="1"/>
  <c r="N804" i="1"/>
  <c r="L804" i="1"/>
  <c r="J804" i="1"/>
  <c r="AC803" i="1"/>
  <c r="X803" i="1"/>
  <c r="U803" i="1"/>
  <c r="U803" i="1" a="1"/>
  <c r="S803" i="1" a="1"/>
  <c r="S803" i="1" s="1"/>
  <c r="N803" i="1"/>
  <c r="L803" i="1"/>
  <c r="J803" i="1"/>
  <c r="AC802" i="1"/>
  <c r="X802" i="1"/>
  <c r="U802" i="1"/>
  <c r="U802" i="1" a="1"/>
  <c r="S802" i="1" a="1"/>
  <c r="S802" i="1" s="1"/>
  <c r="N802" i="1"/>
  <c r="L802" i="1"/>
  <c r="J802" i="1"/>
  <c r="AC801" i="1"/>
  <c r="X801" i="1"/>
  <c r="U801" i="1" a="1"/>
  <c r="U801" i="1" s="1"/>
  <c r="S801" i="1" a="1"/>
  <c r="S801" i="1" s="1"/>
  <c r="N801" i="1"/>
  <c r="L801" i="1"/>
  <c r="J801" i="1"/>
  <c r="AC800" i="1"/>
  <c r="X800" i="1"/>
  <c r="U800" i="1" a="1"/>
  <c r="U800" i="1" s="1"/>
  <c r="S800" i="1"/>
  <c r="S800" i="1" a="1"/>
  <c r="N800" i="1"/>
  <c r="L800" i="1"/>
  <c r="J800" i="1"/>
  <c r="AC799" i="1"/>
  <c r="X799" i="1"/>
  <c r="U799" i="1" a="1"/>
  <c r="U799" i="1" s="1"/>
  <c r="S799" i="1"/>
  <c r="S799" i="1" a="1"/>
  <c r="N799" i="1"/>
  <c r="L799" i="1"/>
  <c r="J799" i="1"/>
  <c r="AC798" i="1"/>
  <c r="X798" i="1"/>
  <c r="U798" i="1"/>
  <c r="U798" i="1" a="1"/>
  <c r="S798" i="1" a="1"/>
  <c r="S798" i="1" s="1"/>
  <c r="N798" i="1"/>
  <c r="L798" i="1"/>
  <c r="J798" i="1"/>
  <c r="AC797" i="1"/>
  <c r="X797" i="1"/>
  <c r="U797" i="1"/>
  <c r="U797" i="1" a="1"/>
  <c r="S797" i="1" a="1"/>
  <c r="S797" i="1" s="1"/>
  <c r="N797" i="1"/>
  <c r="L797" i="1"/>
  <c r="J797" i="1"/>
  <c r="AC796" i="1"/>
  <c r="X796" i="1"/>
  <c r="U796" i="1"/>
  <c r="U796" i="1" a="1"/>
  <c r="S796" i="1" a="1"/>
  <c r="S796" i="1" s="1"/>
  <c r="N796" i="1"/>
  <c r="L796" i="1"/>
  <c r="J796" i="1"/>
  <c r="AC795" i="1"/>
  <c r="X795" i="1"/>
  <c r="U795" i="1" a="1"/>
  <c r="U795" i="1" s="1"/>
  <c r="S795" i="1" a="1"/>
  <c r="S795" i="1" s="1"/>
  <c r="N795" i="1"/>
  <c r="L795" i="1"/>
  <c r="J795" i="1"/>
  <c r="AC794" i="1"/>
  <c r="X794" i="1"/>
  <c r="U794" i="1"/>
  <c r="U794" i="1" a="1"/>
  <c r="S794" i="1" a="1"/>
  <c r="S794" i="1" s="1"/>
  <c r="N794" i="1"/>
  <c r="L794" i="1"/>
  <c r="J794" i="1"/>
  <c r="AC793" i="1"/>
  <c r="X793" i="1"/>
  <c r="U793" i="1" a="1"/>
  <c r="U793" i="1" s="1"/>
  <c r="S793" i="1"/>
  <c r="S793" i="1" a="1"/>
  <c r="N793" i="1"/>
  <c r="L793" i="1"/>
  <c r="J793" i="1"/>
  <c r="AC792" i="1"/>
  <c r="X792" i="1"/>
  <c r="U792" i="1" a="1"/>
  <c r="U792" i="1" s="1"/>
  <c r="S792" i="1" a="1"/>
  <c r="S792" i="1" s="1"/>
  <c r="N792" i="1"/>
  <c r="L792" i="1"/>
  <c r="J792" i="1"/>
  <c r="AC791" i="1"/>
  <c r="X791" i="1"/>
  <c r="U791" i="1" a="1"/>
  <c r="U791" i="1" s="1"/>
  <c r="S791" i="1" a="1"/>
  <c r="S791" i="1" s="1"/>
  <c r="N791" i="1"/>
  <c r="L791" i="1"/>
  <c r="J791" i="1"/>
  <c r="AC790" i="1"/>
  <c r="X790" i="1"/>
  <c r="U790" i="1"/>
  <c r="U790" i="1" a="1"/>
  <c r="S790" i="1" a="1"/>
  <c r="S790" i="1" s="1"/>
  <c r="N790" i="1"/>
  <c r="L790" i="1"/>
  <c r="J790" i="1"/>
  <c r="AC789" i="1"/>
  <c r="X789" i="1"/>
  <c r="U789" i="1" a="1"/>
  <c r="U789" i="1" s="1"/>
  <c r="S789" i="1" a="1"/>
  <c r="S789" i="1" s="1"/>
  <c r="N789" i="1"/>
  <c r="L789" i="1"/>
  <c r="J789" i="1"/>
  <c r="AC788" i="1"/>
  <c r="X788" i="1"/>
  <c r="U788" i="1" a="1"/>
  <c r="U788" i="1" s="1"/>
  <c r="S788" i="1"/>
  <c r="S788" i="1" a="1"/>
  <c r="N788" i="1"/>
  <c r="L788" i="1"/>
  <c r="J788" i="1"/>
  <c r="AC787" i="1"/>
  <c r="X787" i="1"/>
  <c r="U787" i="1"/>
  <c r="U787" i="1" a="1"/>
  <c r="S787" i="1" a="1"/>
  <c r="S787" i="1" s="1"/>
  <c r="N787" i="1"/>
  <c r="L787" i="1"/>
  <c r="J787" i="1"/>
  <c r="AC786" i="1"/>
  <c r="X786" i="1"/>
  <c r="U786" i="1"/>
  <c r="U786" i="1" a="1"/>
  <c r="S786" i="1" a="1"/>
  <c r="S786" i="1" s="1"/>
  <c r="N786" i="1"/>
  <c r="L786" i="1"/>
  <c r="J786" i="1"/>
  <c r="AC785" i="1"/>
  <c r="X785" i="1"/>
  <c r="U785" i="1"/>
  <c r="U785" i="1" a="1"/>
  <c r="S785" i="1" a="1"/>
  <c r="S785" i="1" s="1"/>
  <c r="N785" i="1"/>
  <c r="L785" i="1"/>
  <c r="J785" i="1"/>
  <c r="AC784" i="1"/>
  <c r="X784" i="1"/>
  <c r="U784" i="1" a="1"/>
  <c r="U784" i="1" s="1"/>
  <c r="S784" i="1" a="1"/>
  <c r="S784" i="1" s="1"/>
  <c r="N784" i="1"/>
  <c r="L784" i="1"/>
  <c r="J784" i="1"/>
  <c r="AC783" i="1"/>
  <c r="X783" i="1"/>
  <c r="U783" i="1" a="1"/>
  <c r="U783" i="1" s="1"/>
  <c r="S783" i="1"/>
  <c r="S783" i="1" a="1"/>
  <c r="N783" i="1"/>
  <c r="L783" i="1"/>
  <c r="J783" i="1"/>
  <c r="AC782" i="1"/>
  <c r="X782" i="1"/>
  <c r="U782" i="1"/>
  <c r="U782" i="1" a="1"/>
  <c r="S782" i="1" a="1"/>
  <c r="S782" i="1" s="1"/>
  <c r="N782" i="1"/>
  <c r="L782" i="1"/>
  <c r="J782" i="1"/>
  <c r="AC781" i="1"/>
  <c r="X781" i="1"/>
  <c r="U781" i="1" a="1"/>
  <c r="U781" i="1" s="1"/>
  <c r="S781" i="1" a="1"/>
  <c r="S781" i="1" s="1"/>
  <c r="N781" i="1"/>
  <c r="L781" i="1"/>
  <c r="J781" i="1"/>
  <c r="AC780" i="1"/>
  <c r="X780" i="1"/>
  <c r="U780" i="1" a="1"/>
  <c r="U780" i="1" s="1"/>
  <c r="S780" i="1" a="1"/>
  <c r="S780" i="1" s="1"/>
  <c r="N780" i="1"/>
  <c r="L780" i="1"/>
  <c r="J780" i="1"/>
  <c r="AC779" i="1"/>
  <c r="X779" i="1"/>
  <c r="U779" i="1"/>
  <c r="U779" i="1" a="1"/>
  <c r="S779" i="1" a="1"/>
  <c r="S779" i="1" s="1"/>
  <c r="N779" i="1"/>
  <c r="L779" i="1"/>
  <c r="J779" i="1"/>
  <c r="AC778" i="1"/>
  <c r="X778" i="1"/>
  <c r="U778" i="1"/>
  <c r="U778" i="1" a="1"/>
  <c r="S778" i="1" a="1"/>
  <c r="S778" i="1" s="1"/>
  <c r="N778" i="1"/>
  <c r="L778" i="1"/>
  <c r="J778" i="1"/>
  <c r="AC777" i="1"/>
  <c r="X777" i="1"/>
  <c r="U777" i="1" a="1"/>
  <c r="U777" i="1" s="1"/>
  <c r="S777" i="1"/>
  <c r="S777" i="1" a="1"/>
  <c r="N777" i="1"/>
  <c r="L777" i="1"/>
  <c r="J777" i="1"/>
  <c r="AC776" i="1"/>
  <c r="X776" i="1"/>
  <c r="U776" i="1" a="1"/>
  <c r="U776" i="1" s="1"/>
  <c r="S776" i="1"/>
  <c r="S776" i="1" a="1"/>
  <c r="N776" i="1"/>
  <c r="L776" i="1"/>
  <c r="J776" i="1"/>
  <c r="AC775" i="1"/>
  <c r="X775" i="1"/>
  <c r="U775" i="1"/>
  <c r="U775" i="1" a="1"/>
  <c r="S775" i="1"/>
  <c r="S775" i="1" a="1"/>
  <c r="N775" i="1"/>
  <c r="L775" i="1"/>
  <c r="J775" i="1"/>
  <c r="AC774" i="1"/>
  <c r="X774" i="1"/>
  <c r="U774" i="1"/>
  <c r="U774" i="1" a="1"/>
  <c r="S774" i="1" a="1"/>
  <c r="S774" i="1" s="1"/>
  <c r="N774" i="1"/>
  <c r="L774" i="1"/>
  <c r="J774" i="1"/>
  <c r="AC773" i="1"/>
  <c r="X773" i="1"/>
  <c r="U773" i="1"/>
  <c r="U773" i="1" a="1"/>
  <c r="S773" i="1" a="1"/>
  <c r="S773" i="1" s="1"/>
  <c r="N773" i="1"/>
  <c r="L773" i="1"/>
  <c r="J773" i="1"/>
  <c r="AC772" i="1"/>
  <c r="X772" i="1"/>
  <c r="U772" i="1"/>
  <c r="U772" i="1" a="1"/>
  <c r="S772" i="1" a="1"/>
  <c r="S772" i="1" s="1"/>
  <c r="N772" i="1"/>
  <c r="L772" i="1"/>
  <c r="J772" i="1"/>
  <c r="AC771" i="1"/>
  <c r="X771" i="1"/>
  <c r="U771" i="1"/>
  <c r="U771" i="1" a="1"/>
  <c r="S771" i="1"/>
  <c r="S771" i="1" a="1"/>
  <c r="N771" i="1"/>
  <c r="L771" i="1"/>
  <c r="J771" i="1"/>
  <c r="AC770" i="1"/>
  <c r="X770" i="1"/>
  <c r="U770" i="1"/>
  <c r="U770" i="1" a="1"/>
  <c r="S770" i="1" a="1"/>
  <c r="S770" i="1" s="1"/>
  <c r="N770" i="1"/>
  <c r="L770" i="1"/>
  <c r="J770" i="1"/>
  <c r="AC769" i="1"/>
  <c r="X769" i="1"/>
  <c r="U769" i="1" a="1"/>
  <c r="U769" i="1" s="1"/>
  <c r="S769" i="1" a="1"/>
  <c r="S769" i="1" s="1"/>
  <c r="N769" i="1"/>
  <c r="L769" i="1"/>
  <c r="J769" i="1"/>
  <c r="AC768" i="1"/>
  <c r="X768" i="1"/>
  <c r="U768" i="1"/>
  <c r="U768" i="1" a="1"/>
  <c r="S768" i="1"/>
  <c r="S768" i="1" a="1"/>
  <c r="N768" i="1"/>
  <c r="L768" i="1"/>
  <c r="J768" i="1"/>
  <c r="AC767" i="1"/>
  <c r="X767" i="1"/>
  <c r="U767" i="1" a="1"/>
  <c r="U767" i="1" s="1"/>
  <c r="S767" i="1" a="1"/>
  <c r="S767" i="1" s="1"/>
  <c r="N767" i="1"/>
  <c r="L767" i="1"/>
  <c r="J767" i="1"/>
  <c r="AC766" i="1"/>
  <c r="X766" i="1"/>
  <c r="U766" i="1"/>
  <c r="U766" i="1" a="1"/>
  <c r="S766" i="1" a="1"/>
  <c r="S766" i="1" s="1"/>
  <c r="N766" i="1"/>
  <c r="L766" i="1"/>
  <c r="J766" i="1"/>
  <c r="AC765" i="1"/>
  <c r="X765" i="1"/>
  <c r="U765" i="1"/>
  <c r="U765" i="1" a="1"/>
  <c r="S765" i="1"/>
  <c r="S765" i="1" a="1"/>
  <c r="N765" i="1"/>
  <c r="L765" i="1"/>
  <c r="J765" i="1"/>
  <c r="AC764" i="1"/>
  <c r="X764" i="1"/>
  <c r="U764" i="1" a="1"/>
  <c r="U764" i="1" s="1"/>
  <c r="S764" i="1"/>
  <c r="S764" i="1" a="1"/>
  <c r="N764" i="1"/>
  <c r="L764" i="1"/>
  <c r="J764" i="1"/>
  <c r="AC763" i="1"/>
  <c r="X763" i="1"/>
  <c r="U763" i="1"/>
  <c r="U763" i="1" a="1"/>
  <c r="S763" i="1" a="1"/>
  <c r="S763" i="1" s="1"/>
  <c r="N763" i="1"/>
  <c r="L763" i="1"/>
  <c r="J763" i="1"/>
  <c r="AC762" i="1"/>
  <c r="X762" i="1"/>
  <c r="U762" i="1"/>
  <c r="U762" i="1" a="1"/>
  <c r="S762" i="1" a="1"/>
  <c r="S762" i="1" s="1"/>
  <c r="N762" i="1"/>
  <c r="L762" i="1"/>
  <c r="J762" i="1"/>
  <c r="AC761" i="1"/>
  <c r="X761" i="1"/>
  <c r="U761" i="1"/>
  <c r="U761" i="1" a="1"/>
  <c r="S761" i="1"/>
  <c r="S761" i="1" a="1"/>
  <c r="N761" i="1"/>
  <c r="L761" i="1"/>
  <c r="J761" i="1"/>
  <c r="AC760" i="1"/>
  <c r="X760" i="1"/>
  <c r="U760" i="1" a="1"/>
  <c r="U760" i="1" s="1"/>
  <c r="S760" i="1" a="1"/>
  <c r="S760" i="1" s="1"/>
  <c r="N760" i="1"/>
  <c r="L760" i="1"/>
  <c r="J760" i="1"/>
  <c r="AC759" i="1"/>
  <c r="X759" i="1"/>
  <c r="U759" i="1"/>
  <c r="U759" i="1" a="1"/>
  <c r="S759" i="1" a="1"/>
  <c r="S759" i="1" s="1"/>
  <c r="N759" i="1"/>
  <c r="L759" i="1"/>
  <c r="J759" i="1"/>
  <c r="AC758" i="1"/>
  <c r="X758" i="1"/>
  <c r="U758" i="1"/>
  <c r="U758" i="1" a="1"/>
  <c r="S758" i="1" a="1"/>
  <c r="S758" i="1" s="1"/>
  <c r="N758" i="1"/>
  <c r="L758" i="1"/>
  <c r="J758" i="1"/>
  <c r="AC757" i="1"/>
  <c r="X757" i="1"/>
  <c r="U757" i="1" a="1"/>
  <c r="U757" i="1" s="1"/>
  <c r="S757" i="1"/>
  <c r="S757" i="1" a="1"/>
  <c r="N757" i="1"/>
  <c r="L757" i="1"/>
  <c r="J757" i="1"/>
  <c r="AC756" i="1"/>
  <c r="X756" i="1"/>
  <c r="U756" i="1" a="1"/>
  <c r="U756" i="1" s="1"/>
  <c r="S756" i="1" a="1"/>
  <c r="S756" i="1" s="1"/>
  <c r="N756" i="1"/>
  <c r="L756" i="1"/>
  <c r="J756" i="1"/>
  <c r="AC755" i="1"/>
  <c r="X755" i="1"/>
  <c r="U755" i="1"/>
  <c r="U755" i="1" a="1"/>
  <c r="S755" i="1"/>
  <c r="S755" i="1" a="1"/>
  <c r="N755" i="1"/>
  <c r="L755" i="1"/>
  <c r="J755" i="1"/>
  <c r="AC754" i="1"/>
  <c r="X754" i="1"/>
  <c r="U754" i="1"/>
  <c r="U754" i="1" a="1"/>
  <c r="S754" i="1" a="1"/>
  <c r="S754" i="1" s="1"/>
  <c r="N754" i="1"/>
  <c r="L754" i="1"/>
  <c r="J754" i="1"/>
  <c r="AC753" i="1"/>
  <c r="X753" i="1"/>
  <c r="U753" i="1" a="1"/>
  <c r="U753" i="1" s="1"/>
  <c r="S753" i="1" a="1"/>
  <c r="S753" i="1" s="1"/>
  <c r="N753" i="1"/>
  <c r="L753" i="1"/>
  <c r="J753" i="1"/>
  <c r="AC752" i="1"/>
  <c r="X752" i="1"/>
  <c r="U752" i="1"/>
  <c r="U752" i="1" a="1"/>
  <c r="S752" i="1" a="1"/>
  <c r="S752" i="1" s="1"/>
  <c r="N752" i="1"/>
  <c r="L752" i="1"/>
  <c r="J752" i="1"/>
  <c r="AC751" i="1"/>
  <c r="X751" i="1"/>
  <c r="U751" i="1"/>
  <c r="U751" i="1" a="1"/>
  <c r="S751" i="1"/>
  <c r="S751" i="1" a="1"/>
  <c r="N751" i="1"/>
  <c r="L751" i="1"/>
  <c r="J751" i="1"/>
  <c r="AC750" i="1"/>
  <c r="X750" i="1"/>
  <c r="U750" i="1"/>
  <c r="U750" i="1" a="1"/>
  <c r="S750" i="1" a="1"/>
  <c r="S750" i="1" s="1"/>
  <c r="N750" i="1"/>
  <c r="L750" i="1"/>
  <c r="J750" i="1"/>
  <c r="AC749" i="1"/>
  <c r="X749" i="1"/>
  <c r="U749" i="1" a="1"/>
  <c r="U749" i="1" s="1"/>
  <c r="S749" i="1" a="1"/>
  <c r="S749" i="1" s="1"/>
  <c r="N749" i="1"/>
  <c r="L749" i="1"/>
  <c r="J749" i="1"/>
  <c r="AC748" i="1"/>
  <c r="X748" i="1"/>
  <c r="U748" i="1"/>
  <c r="U748" i="1" a="1"/>
  <c r="S748" i="1" a="1"/>
  <c r="S748" i="1" s="1"/>
  <c r="N748" i="1"/>
  <c r="L748" i="1"/>
  <c r="J748" i="1"/>
  <c r="AC747" i="1"/>
  <c r="X747" i="1"/>
  <c r="U747" i="1" a="1"/>
  <c r="U747" i="1" s="1"/>
  <c r="S747" i="1"/>
  <c r="S747" i="1" a="1"/>
  <c r="N747" i="1"/>
  <c r="L747" i="1"/>
  <c r="J747" i="1"/>
  <c r="AC746" i="1"/>
  <c r="X746" i="1"/>
  <c r="U746" i="1"/>
  <c r="U746" i="1" a="1"/>
  <c r="S746" i="1" a="1"/>
  <c r="S746" i="1" s="1"/>
  <c r="N746" i="1"/>
  <c r="L746" i="1"/>
  <c r="J746" i="1"/>
  <c r="AC745" i="1"/>
  <c r="X745" i="1"/>
  <c r="U745" i="1" a="1"/>
  <c r="U745" i="1" s="1"/>
  <c r="S745" i="1" a="1"/>
  <c r="S745" i="1" s="1"/>
  <c r="N745" i="1"/>
  <c r="L745" i="1"/>
  <c r="J745" i="1"/>
  <c r="AC744" i="1"/>
  <c r="X744" i="1"/>
  <c r="U744" i="1" a="1"/>
  <c r="U744" i="1" s="1"/>
  <c r="S744" i="1"/>
  <c r="S744" i="1" a="1"/>
  <c r="N744" i="1"/>
  <c r="L744" i="1"/>
  <c r="J744" i="1"/>
  <c r="AC743" i="1"/>
  <c r="X743" i="1"/>
  <c r="U743" i="1" a="1"/>
  <c r="U743" i="1" s="1"/>
  <c r="S743" i="1" a="1"/>
  <c r="S743" i="1" s="1"/>
  <c r="N743" i="1"/>
  <c r="L743" i="1"/>
  <c r="J743" i="1"/>
  <c r="AC742" i="1"/>
  <c r="X742" i="1"/>
  <c r="U742" i="1"/>
  <c r="U742" i="1" a="1"/>
  <c r="S742" i="1" a="1"/>
  <c r="S742" i="1" s="1"/>
  <c r="N742" i="1"/>
  <c r="L742" i="1"/>
  <c r="J742" i="1"/>
  <c r="AC741" i="1"/>
  <c r="X741" i="1"/>
  <c r="U741" i="1"/>
  <c r="U741" i="1" a="1"/>
  <c r="S741" i="1" a="1"/>
  <c r="S741" i="1" s="1"/>
  <c r="N741" i="1"/>
  <c r="L741" i="1"/>
  <c r="J741" i="1"/>
  <c r="AC740" i="1"/>
  <c r="X740" i="1"/>
  <c r="U740" i="1" a="1"/>
  <c r="U740" i="1" s="1"/>
  <c r="S740" i="1"/>
  <c r="S740" i="1" a="1"/>
  <c r="N740" i="1"/>
  <c r="L740" i="1"/>
  <c r="J740" i="1"/>
  <c r="AC739" i="1"/>
  <c r="X739" i="1"/>
  <c r="U739" i="1" a="1"/>
  <c r="U739" i="1" s="1"/>
  <c r="S739" i="1" a="1"/>
  <c r="S739" i="1" s="1"/>
  <c r="N739" i="1"/>
  <c r="L739" i="1"/>
  <c r="J739" i="1"/>
  <c r="AC738" i="1"/>
  <c r="X738" i="1"/>
  <c r="U738" i="1"/>
  <c r="U738" i="1" a="1"/>
  <c r="S738" i="1" a="1"/>
  <c r="S738" i="1" s="1"/>
  <c r="N738" i="1"/>
  <c r="L738" i="1"/>
  <c r="J738" i="1"/>
  <c r="AC737" i="1"/>
  <c r="X737" i="1"/>
  <c r="U737" i="1"/>
  <c r="U737" i="1" a="1"/>
  <c r="S737" i="1" a="1"/>
  <c r="S737" i="1" s="1"/>
  <c r="N737" i="1"/>
  <c r="L737" i="1"/>
  <c r="J737" i="1"/>
  <c r="AC736" i="1"/>
  <c r="X736" i="1"/>
  <c r="U736" i="1" a="1"/>
  <c r="U736" i="1" s="1"/>
  <c r="S736" i="1" a="1"/>
  <c r="S736" i="1" s="1"/>
  <c r="N736" i="1"/>
  <c r="L736" i="1"/>
  <c r="J736" i="1"/>
  <c r="AC735" i="1"/>
  <c r="X735" i="1"/>
  <c r="U735" i="1" a="1"/>
  <c r="U735" i="1" s="1"/>
  <c r="S735" i="1" a="1"/>
  <c r="S735" i="1" s="1"/>
  <c r="N735" i="1"/>
  <c r="L735" i="1"/>
  <c r="J735" i="1"/>
  <c r="AC734" i="1"/>
  <c r="X734" i="1"/>
  <c r="U734" i="1"/>
  <c r="U734" i="1" a="1"/>
  <c r="S734" i="1" a="1"/>
  <c r="S734" i="1" s="1"/>
  <c r="N734" i="1"/>
  <c r="L734" i="1"/>
  <c r="J734" i="1"/>
  <c r="AC733" i="1"/>
  <c r="X733" i="1"/>
  <c r="U733" i="1" a="1"/>
  <c r="U733" i="1" s="1"/>
  <c r="S733" i="1"/>
  <c r="S733" i="1" a="1"/>
  <c r="N733" i="1"/>
  <c r="L733" i="1"/>
  <c r="J733" i="1"/>
  <c r="AC732" i="1"/>
  <c r="X732" i="1"/>
  <c r="U732" i="1" a="1"/>
  <c r="U732" i="1" s="1"/>
  <c r="S732" i="1" a="1"/>
  <c r="S732" i="1" s="1"/>
  <c r="N732" i="1"/>
  <c r="L732" i="1"/>
  <c r="J732" i="1"/>
  <c r="AC731" i="1"/>
  <c r="X731" i="1"/>
  <c r="U731" i="1" a="1"/>
  <c r="U731" i="1" s="1"/>
  <c r="S731" i="1"/>
  <c r="S731" i="1" a="1"/>
  <c r="N731" i="1"/>
  <c r="L731" i="1"/>
  <c r="J731" i="1"/>
  <c r="AC730" i="1"/>
  <c r="X730" i="1"/>
  <c r="U730" i="1"/>
  <c r="U730" i="1" a="1"/>
  <c r="S730" i="1" a="1"/>
  <c r="S730" i="1" s="1"/>
  <c r="N730" i="1"/>
  <c r="L730" i="1"/>
  <c r="J730" i="1"/>
  <c r="AC729" i="1"/>
  <c r="X729" i="1"/>
  <c r="U729" i="1" a="1"/>
  <c r="U729" i="1" s="1"/>
  <c r="S729" i="1"/>
  <c r="S729" i="1" a="1"/>
  <c r="N729" i="1"/>
  <c r="L729" i="1"/>
  <c r="J729" i="1"/>
  <c r="AC728" i="1"/>
  <c r="X728" i="1"/>
  <c r="U728" i="1"/>
  <c r="U728" i="1" a="1"/>
  <c r="S728" i="1" a="1"/>
  <c r="S728" i="1" s="1"/>
  <c r="N728" i="1"/>
  <c r="L728" i="1"/>
  <c r="J728" i="1"/>
  <c r="AC727" i="1"/>
  <c r="X727" i="1"/>
  <c r="U727" i="1" a="1"/>
  <c r="U727" i="1" s="1"/>
  <c r="S727" i="1" a="1"/>
  <c r="S727" i="1" s="1"/>
  <c r="N727" i="1"/>
  <c r="L727" i="1"/>
  <c r="J727" i="1"/>
  <c r="AC726" i="1"/>
  <c r="X726" i="1"/>
  <c r="U726" i="1"/>
  <c r="U726" i="1" a="1"/>
  <c r="S726" i="1" a="1"/>
  <c r="S726" i="1" s="1"/>
  <c r="N726" i="1"/>
  <c r="L726" i="1"/>
  <c r="J726" i="1"/>
  <c r="AC725" i="1"/>
  <c r="X725" i="1"/>
  <c r="U725" i="1"/>
  <c r="U725" i="1" a="1"/>
  <c r="S725" i="1" a="1"/>
  <c r="S725" i="1" s="1"/>
  <c r="N725" i="1"/>
  <c r="L725" i="1"/>
  <c r="J725" i="1"/>
  <c r="AC724" i="1"/>
  <c r="X724" i="1"/>
  <c r="U724" i="1" a="1"/>
  <c r="U724" i="1" s="1"/>
  <c r="S724" i="1"/>
  <c r="S724" i="1" a="1"/>
  <c r="N724" i="1"/>
  <c r="L724" i="1"/>
  <c r="J724" i="1"/>
  <c r="AC723" i="1"/>
  <c r="X723" i="1"/>
  <c r="U723" i="1"/>
  <c r="U723" i="1" a="1"/>
  <c r="S723" i="1" a="1"/>
  <c r="S723" i="1" s="1"/>
  <c r="N723" i="1"/>
  <c r="L723" i="1"/>
  <c r="J723" i="1"/>
  <c r="AC722" i="1"/>
  <c r="X722" i="1"/>
  <c r="U722" i="1"/>
  <c r="U722" i="1" a="1"/>
  <c r="S722" i="1" a="1"/>
  <c r="S722" i="1" s="1"/>
  <c r="N722" i="1"/>
  <c r="L722" i="1"/>
  <c r="J722" i="1"/>
  <c r="AC721" i="1"/>
  <c r="X721" i="1"/>
  <c r="U721" i="1"/>
  <c r="U721" i="1" a="1"/>
  <c r="S721" i="1"/>
  <c r="S721" i="1" a="1"/>
  <c r="N721" i="1"/>
  <c r="L721" i="1"/>
  <c r="J721" i="1"/>
  <c r="AC720" i="1"/>
  <c r="X720" i="1"/>
  <c r="U720" i="1" a="1"/>
  <c r="U720" i="1" s="1"/>
  <c r="S720" i="1" a="1"/>
  <c r="S720" i="1" s="1"/>
  <c r="N720" i="1"/>
  <c r="L720" i="1"/>
  <c r="J720" i="1"/>
  <c r="AC719" i="1"/>
  <c r="X719" i="1"/>
  <c r="U719" i="1" a="1"/>
  <c r="U719" i="1" s="1"/>
  <c r="S719" i="1"/>
  <c r="S719" i="1" a="1"/>
  <c r="N719" i="1"/>
  <c r="L719" i="1"/>
  <c r="J719" i="1"/>
  <c r="AC718" i="1"/>
  <c r="X718" i="1"/>
  <c r="U718" i="1"/>
  <c r="U718" i="1" a="1"/>
  <c r="S718" i="1" a="1"/>
  <c r="S718" i="1" s="1"/>
  <c r="N718" i="1"/>
  <c r="L718" i="1"/>
  <c r="J718" i="1"/>
  <c r="AC717" i="1"/>
  <c r="X717" i="1"/>
  <c r="U717" i="1" a="1"/>
  <c r="U717" i="1" s="1"/>
  <c r="S717" i="1" a="1"/>
  <c r="S717" i="1" s="1"/>
  <c r="N717" i="1"/>
  <c r="L717" i="1"/>
  <c r="J717" i="1"/>
  <c r="AC716" i="1"/>
  <c r="X716" i="1"/>
  <c r="U716" i="1"/>
  <c r="U716" i="1" a="1"/>
  <c r="S716" i="1" a="1"/>
  <c r="S716" i="1" s="1"/>
  <c r="N716" i="1"/>
  <c r="L716" i="1"/>
  <c r="J716" i="1"/>
  <c r="AC715" i="1"/>
  <c r="X715" i="1"/>
  <c r="U715" i="1"/>
  <c r="U715" i="1" a="1"/>
  <c r="S715" i="1"/>
  <c r="S715" i="1" a="1"/>
  <c r="N715" i="1"/>
  <c r="L715" i="1"/>
  <c r="J715" i="1"/>
  <c r="AC714" i="1"/>
  <c r="X714" i="1"/>
  <c r="U714" i="1"/>
  <c r="U714" i="1" a="1"/>
  <c r="S714" i="1" a="1"/>
  <c r="S714" i="1" s="1"/>
  <c r="N714" i="1"/>
  <c r="L714" i="1"/>
  <c r="J714" i="1"/>
  <c r="AC713" i="1"/>
  <c r="X713" i="1"/>
  <c r="U713" i="1" a="1"/>
  <c r="U713" i="1" s="1"/>
  <c r="S713" i="1" a="1"/>
  <c r="S713" i="1" s="1"/>
  <c r="N713" i="1"/>
  <c r="L713" i="1"/>
  <c r="J713" i="1"/>
  <c r="AC712" i="1"/>
  <c r="X712" i="1"/>
  <c r="U712" i="1"/>
  <c r="U712" i="1" a="1"/>
  <c r="S712" i="1" a="1"/>
  <c r="S712" i="1" s="1"/>
  <c r="N712" i="1"/>
  <c r="L712" i="1"/>
  <c r="J712" i="1"/>
  <c r="AC711" i="1"/>
  <c r="X711" i="1"/>
  <c r="U711" i="1"/>
  <c r="U711" i="1" a="1"/>
  <c r="S711" i="1" a="1"/>
  <c r="S711" i="1" s="1"/>
  <c r="N711" i="1"/>
  <c r="L711" i="1"/>
  <c r="J711" i="1"/>
  <c r="AC710" i="1"/>
  <c r="X710" i="1"/>
  <c r="U710" i="1"/>
  <c r="U710" i="1" a="1"/>
  <c r="S710" i="1" a="1"/>
  <c r="S710" i="1" s="1"/>
  <c r="N710" i="1"/>
  <c r="L710" i="1"/>
  <c r="J710" i="1"/>
  <c r="AC709" i="1"/>
  <c r="X709" i="1"/>
  <c r="U709" i="1"/>
  <c r="U709" i="1" a="1"/>
  <c r="S709" i="1" a="1"/>
  <c r="S709" i="1" s="1"/>
  <c r="N709" i="1"/>
  <c r="L709" i="1"/>
  <c r="J709" i="1"/>
  <c r="AC708" i="1"/>
  <c r="X708" i="1"/>
  <c r="U708" i="1" a="1"/>
  <c r="U708" i="1" s="1"/>
  <c r="S708" i="1"/>
  <c r="S708" i="1" a="1"/>
  <c r="N708" i="1"/>
  <c r="L708" i="1"/>
  <c r="J708" i="1"/>
  <c r="AC707" i="1"/>
  <c r="X707" i="1"/>
  <c r="U707" i="1" a="1"/>
  <c r="U707" i="1" s="1"/>
  <c r="S707" i="1"/>
  <c r="S707" i="1" a="1"/>
  <c r="N707" i="1"/>
  <c r="L707" i="1"/>
  <c r="J707" i="1"/>
  <c r="AC706" i="1"/>
  <c r="X706" i="1"/>
  <c r="U706" i="1"/>
  <c r="U706" i="1" a="1"/>
  <c r="S706" i="1" a="1"/>
  <c r="S706" i="1" s="1"/>
  <c r="N706" i="1"/>
  <c r="L706" i="1"/>
  <c r="J706" i="1"/>
  <c r="AC705" i="1"/>
  <c r="X705" i="1"/>
  <c r="U705" i="1" a="1"/>
  <c r="U705" i="1" s="1"/>
  <c r="S705" i="1"/>
  <c r="S705" i="1" a="1"/>
  <c r="N705" i="1"/>
  <c r="L705" i="1"/>
  <c r="J705" i="1"/>
  <c r="AC704" i="1"/>
  <c r="X704" i="1"/>
  <c r="U704" i="1"/>
  <c r="U704" i="1" a="1"/>
  <c r="S704" i="1" a="1"/>
  <c r="S704" i="1" s="1"/>
  <c r="N704" i="1"/>
  <c r="L704" i="1"/>
  <c r="J704" i="1"/>
  <c r="AC703" i="1"/>
  <c r="X703" i="1"/>
  <c r="U703" i="1" a="1"/>
  <c r="U703" i="1" s="1"/>
  <c r="S703" i="1"/>
  <c r="S703" i="1" a="1"/>
  <c r="N703" i="1"/>
  <c r="L703" i="1"/>
  <c r="J703" i="1"/>
  <c r="AC702" i="1"/>
  <c r="X702" i="1"/>
  <c r="U702" i="1"/>
  <c r="U702" i="1" a="1"/>
  <c r="S702" i="1" a="1"/>
  <c r="S702" i="1" s="1"/>
  <c r="N702" i="1"/>
  <c r="L702" i="1"/>
  <c r="J702" i="1"/>
  <c r="AC701" i="1"/>
  <c r="X701" i="1"/>
  <c r="U701" i="1" a="1"/>
  <c r="U701" i="1" s="1"/>
  <c r="S701" i="1" a="1"/>
  <c r="S701" i="1" s="1"/>
  <c r="N701" i="1"/>
  <c r="L701" i="1"/>
  <c r="J701" i="1"/>
  <c r="AC700" i="1"/>
  <c r="X700" i="1"/>
  <c r="U700" i="1"/>
  <c r="U700" i="1" a="1"/>
  <c r="S700" i="1" a="1"/>
  <c r="S700" i="1" s="1"/>
  <c r="N700" i="1"/>
  <c r="L700" i="1"/>
  <c r="J700" i="1"/>
  <c r="AC699" i="1"/>
  <c r="X699" i="1"/>
  <c r="U699" i="1" a="1"/>
  <c r="U699" i="1" s="1"/>
  <c r="S699" i="1"/>
  <c r="S699" i="1" a="1"/>
  <c r="N699" i="1"/>
  <c r="L699" i="1"/>
  <c r="J699" i="1"/>
  <c r="AC698" i="1"/>
  <c r="X698" i="1"/>
  <c r="U698" i="1"/>
  <c r="U698" i="1" a="1"/>
  <c r="S698" i="1" a="1"/>
  <c r="S698" i="1" s="1"/>
  <c r="N698" i="1"/>
  <c r="L698" i="1"/>
  <c r="J698" i="1"/>
  <c r="AC697" i="1"/>
  <c r="X697" i="1"/>
  <c r="U697" i="1" a="1"/>
  <c r="U697" i="1" s="1"/>
  <c r="S697" i="1" a="1"/>
  <c r="S697" i="1" s="1"/>
  <c r="N697" i="1"/>
  <c r="L697" i="1"/>
  <c r="J697" i="1"/>
  <c r="AC696" i="1"/>
  <c r="X696" i="1"/>
  <c r="U696" i="1" a="1"/>
  <c r="U696" i="1" s="1"/>
  <c r="S696" i="1"/>
  <c r="S696" i="1" a="1"/>
  <c r="N696" i="1"/>
  <c r="L696" i="1"/>
  <c r="J696" i="1"/>
  <c r="AC695" i="1"/>
  <c r="X695" i="1"/>
  <c r="U695" i="1"/>
  <c r="U695" i="1" a="1"/>
  <c r="S695" i="1" a="1"/>
  <c r="S695" i="1" s="1"/>
  <c r="N695" i="1"/>
  <c r="L695" i="1"/>
  <c r="J695" i="1"/>
  <c r="AC694" i="1"/>
  <c r="X694" i="1"/>
  <c r="U694" i="1"/>
  <c r="U694" i="1" a="1"/>
  <c r="S694" i="1" a="1"/>
  <c r="S694" i="1" s="1"/>
  <c r="N694" i="1"/>
  <c r="L694" i="1"/>
  <c r="J694" i="1"/>
  <c r="AC693" i="1"/>
  <c r="X693" i="1"/>
  <c r="U693" i="1"/>
  <c r="U693" i="1" a="1"/>
  <c r="S693" i="1" a="1"/>
  <c r="S693" i="1" s="1"/>
  <c r="N693" i="1"/>
  <c r="L693" i="1"/>
  <c r="J693" i="1"/>
  <c r="AC692" i="1"/>
  <c r="X692" i="1"/>
  <c r="U692" i="1" a="1"/>
  <c r="U692" i="1" s="1"/>
  <c r="S692" i="1"/>
  <c r="S692" i="1" a="1"/>
  <c r="N692" i="1"/>
  <c r="L692" i="1"/>
  <c r="J692" i="1"/>
  <c r="AC691" i="1"/>
  <c r="X691" i="1"/>
  <c r="U691" i="1" a="1"/>
  <c r="U691" i="1" s="1"/>
  <c r="S691" i="1" a="1"/>
  <c r="S691" i="1" s="1"/>
  <c r="N691" i="1"/>
  <c r="L691" i="1"/>
  <c r="J691" i="1"/>
  <c r="AC690" i="1"/>
  <c r="X690" i="1"/>
  <c r="U690" i="1"/>
  <c r="U690" i="1" a="1"/>
  <c r="S690" i="1" a="1"/>
  <c r="S690" i="1" s="1"/>
  <c r="N690" i="1"/>
  <c r="L690" i="1"/>
  <c r="J690" i="1"/>
  <c r="AC689" i="1"/>
  <c r="X689" i="1"/>
  <c r="U689" i="1"/>
  <c r="U689" i="1" a="1"/>
  <c r="S689" i="1" a="1"/>
  <c r="S689" i="1" s="1"/>
  <c r="N689" i="1"/>
  <c r="L689" i="1"/>
  <c r="J689" i="1"/>
  <c r="AC688" i="1"/>
  <c r="X688" i="1"/>
  <c r="U688" i="1"/>
  <c r="U688" i="1" a="1"/>
  <c r="S688" i="1" a="1"/>
  <c r="S688" i="1" s="1"/>
  <c r="N688" i="1"/>
  <c r="L688" i="1"/>
  <c r="J688" i="1"/>
  <c r="AC687" i="1"/>
  <c r="X687" i="1"/>
  <c r="U687" i="1"/>
  <c r="U687" i="1" a="1"/>
  <c r="S687" i="1" a="1"/>
  <c r="S687" i="1" s="1"/>
  <c r="N687" i="1"/>
  <c r="L687" i="1"/>
  <c r="J687" i="1"/>
  <c r="AC686" i="1"/>
  <c r="X686" i="1"/>
  <c r="U686" i="1"/>
  <c r="U686" i="1" a="1"/>
  <c r="S686" i="1" a="1"/>
  <c r="S686" i="1" s="1"/>
  <c r="N686" i="1"/>
  <c r="L686" i="1"/>
  <c r="J686" i="1"/>
  <c r="AC685" i="1"/>
  <c r="X685" i="1"/>
  <c r="U685" i="1" a="1"/>
  <c r="U685" i="1" s="1"/>
  <c r="S685" i="1"/>
  <c r="S685" i="1" a="1"/>
  <c r="N685" i="1"/>
  <c r="L685" i="1"/>
  <c r="J685" i="1"/>
  <c r="AC684" i="1"/>
  <c r="X684" i="1"/>
  <c r="U684" i="1" a="1"/>
  <c r="U684" i="1" s="1"/>
  <c r="S684" i="1" a="1"/>
  <c r="S684" i="1" s="1"/>
  <c r="N684" i="1"/>
  <c r="L684" i="1"/>
  <c r="J684" i="1"/>
  <c r="AC683" i="1"/>
  <c r="X683" i="1"/>
  <c r="U683" i="1"/>
  <c r="U683" i="1" a="1"/>
  <c r="S683" i="1"/>
  <c r="S683" i="1" a="1"/>
  <c r="N683" i="1"/>
  <c r="L683" i="1"/>
  <c r="J683" i="1"/>
  <c r="AC682" i="1"/>
  <c r="X682" i="1"/>
  <c r="U682" i="1"/>
  <c r="U682" i="1" a="1"/>
  <c r="S682" i="1" a="1"/>
  <c r="S682" i="1" s="1"/>
  <c r="N682" i="1"/>
  <c r="L682" i="1"/>
  <c r="J682" i="1"/>
  <c r="AC681" i="1"/>
  <c r="X681" i="1"/>
  <c r="U681" i="1" a="1"/>
  <c r="U681" i="1" s="1"/>
  <c r="S681" i="1"/>
  <c r="S681" i="1" a="1"/>
  <c r="N681" i="1"/>
  <c r="L681" i="1"/>
  <c r="J681" i="1"/>
  <c r="AC680" i="1"/>
  <c r="X680" i="1"/>
  <c r="U680" i="1"/>
  <c r="U680" i="1" a="1"/>
  <c r="S680" i="1"/>
  <c r="S680" i="1" a="1"/>
  <c r="N680" i="1"/>
  <c r="L680" i="1"/>
  <c r="J680" i="1"/>
  <c r="AC679" i="1"/>
  <c r="X679" i="1"/>
  <c r="U679" i="1" a="1"/>
  <c r="U679" i="1" s="1"/>
  <c r="S679" i="1"/>
  <c r="S679" i="1" a="1"/>
  <c r="N679" i="1"/>
  <c r="L679" i="1"/>
  <c r="J679" i="1"/>
  <c r="AC678" i="1"/>
  <c r="X678" i="1"/>
  <c r="U678" i="1"/>
  <c r="U678" i="1" a="1"/>
  <c r="S678" i="1" a="1"/>
  <c r="S678" i="1" s="1"/>
  <c r="N678" i="1"/>
  <c r="L678" i="1"/>
  <c r="J678" i="1"/>
  <c r="AC677" i="1"/>
  <c r="X677" i="1"/>
  <c r="U677" i="1"/>
  <c r="U677" i="1" a="1"/>
  <c r="S677" i="1" a="1"/>
  <c r="S677" i="1" s="1"/>
  <c r="N677" i="1"/>
  <c r="L677" i="1"/>
  <c r="J677" i="1"/>
  <c r="AC676" i="1"/>
  <c r="X676" i="1"/>
  <c r="U676" i="1"/>
  <c r="U676" i="1" a="1"/>
  <c r="S676" i="1"/>
  <c r="S676" i="1" a="1"/>
  <c r="N676" i="1"/>
  <c r="L676" i="1"/>
  <c r="J676" i="1"/>
  <c r="AC675" i="1"/>
  <c r="X675" i="1"/>
  <c r="U675" i="1" a="1"/>
  <c r="U675" i="1" s="1"/>
  <c r="S675" i="1" a="1"/>
  <c r="S675" i="1" s="1"/>
  <c r="N675" i="1"/>
  <c r="L675" i="1"/>
  <c r="J675" i="1"/>
  <c r="AC674" i="1"/>
  <c r="X674" i="1"/>
  <c r="U674" i="1"/>
  <c r="U674" i="1" a="1"/>
  <c r="S674" i="1" a="1"/>
  <c r="S674" i="1" s="1"/>
  <c r="N674" i="1"/>
  <c r="L674" i="1"/>
  <c r="J674" i="1"/>
  <c r="AC673" i="1"/>
  <c r="X673" i="1"/>
  <c r="U673" i="1"/>
  <c r="U673" i="1" a="1"/>
  <c r="S673" i="1" a="1"/>
  <c r="S673" i="1" s="1"/>
  <c r="N673" i="1"/>
  <c r="L673" i="1"/>
  <c r="J673" i="1"/>
  <c r="AC672" i="1"/>
  <c r="X672" i="1"/>
  <c r="U672" i="1" a="1"/>
  <c r="U672" i="1" s="1"/>
  <c r="S672" i="1"/>
  <c r="S672" i="1" a="1"/>
  <c r="N672" i="1"/>
  <c r="L672" i="1"/>
  <c r="J672" i="1"/>
  <c r="AC671" i="1"/>
  <c r="X671" i="1"/>
  <c r="U671" i="1" a="1"/>
  <c r="U671" i="1" s="1"/>
  <c r="S671" i="1" a="1"/>
  <c r="S671" i="1" s="1"/>
  <c r="N671" i="1"/>
  <c r="L671" i="1"/>
  <c r="J671" i="1"/>
  <c r="AC670" i="1"/>
  <c r="X670" i="1"/>
  <c r="U670" i="1"/>
  <c r="U670" i="1" a="1"/>
  <c r="S670" i="1" a="1"/>
  <c r="S670" i="1" s="1"/>
  <c r="N670" i="1"/>
  <c r="L670" i="1"/>
  <c r="J670" i="1"/>
  <c r="AC669" i="1"/>
  <c r="X669" i="1"/>
  <c r="U669" i="1"/>
  <c r="U669" i="1" a="1"/>
  <c r="S669" i="1"/>
  <c r="S669" i="1" a="1"/>
  <c r="N669" i="1"/>
  <c r="L669" i="1"/>
  <c r="J669" i="1"/>
  <c r="AC668" i="1"/>
  <c r="X668" i="1"/>
  <c r="U668" i="1" a="1"/>
  <c r="U668" i="1" s="1"/>
  <c r="S668" i="1" a="1"/>
  <c r="S668" i="1" s="1"/>
  <c r="N668" i="1"/>
  <c r="L668" i="1"/>
  <c r="J668" i="1"/>
  <c r="AC667" i="1"/>
  <c r="X667" i="1"/>
  <c r="U667" i="1"/>
  <c r="U667" i="1" a="1"/>
  <c r="S667" i="1" a="1"/>
  <c r="S667" i="1" s="1"/>
  <c r="N667" i="1"/>
  <c r="L667" i="1"/>
  <c r="J667" i="1"/>
  <c r="AC666" i="1"/>
  <c r="X666" i="1"/>
  <c r="U666" i="1"/>
  <c r="U666" i="1" a="1"/>
  <c r="S666" i="1" a="1"/>
  <c r="S666" i="1" s="1"/>
  <c r="N666" i="1"/>
  <c r="L666" i="1"/>
  <c r="J666" i="1"/>
  <c r="AC665" i="1"/>
  <c r="X665" i="1"/>
  <c r="U665" i="1" a="1"/>
  <c r="U665" i="1" s="1"/>
  <c r="S665" i="1" a="1"/>
  <c r="S665" i="1" s="1"/>
  <c r="N665" i="1"/>
  <c r="L665" i="1"/>
  <c r="J665" i="1"/>
  <c r="AC664" i="1"/>
  <c r="X664" i="1"/>
  <c r="U664" i="1" a="1"/>
  <c r="U664" i="1" s="1"/>
  <c r="S664" i="1" a="1"/>
  <c r="S664" i="1" s="1"/>
  <c r="N664" i="1"/>
  <c r="L664" i="1"/>
  <c r="J664" i="1"/>
  <c r="AC663" i="1"/>
  <c r="X663" i="1"/>
  <c r="U663" i="1"/>
  <c r="U663" i="1" a="1"/>
  <c r="S663" i="1" a="1"/>
  <c r="S663" i="1" s="1"/>
  <c r="N663" i="1"/>
  <c r="L663" i="1"/>
  <c r="J663" i="1"/>
  <c r="AC662" i="1"/>
  <c r="X662" i="1"/>
  <c r="U662" i="1"/>
  <c r="U662" i="1" a="1"/>
  <c r="S662" i="1" a="1"/>
  <c r="S662" i="1" s="1"/>
  <c r="N662" i="1"/>
  <c r="L662" i="1"/>
  <c r="J662" i="1"/>
  <c r="AC661" i="1"/>
  <c r="X661" i="1"/>
  <c r="U661" i="1" a="1"/>
  <c r="U661" i="1" s="1"/>
  <c r="S661" i="1" a="1"/>
  <c r="S661" i="1" s="1"/>
  <c r="N661" i="1"/>
  <c r="L661" i="1"/>
  <c r="J661" i="1"/>
  <c r="AC660" i="1"/>
  <c r="X660" i="1"/>
  <c r="U660" i="1" a="1"/>
  <c r="U660" i="1" s="1"/>
  <c r="S660" i="1" a="1"/>
  <c r="S660" i="1" s="1"/>
  <c r="N660" i="1"/>
  <c r="L660" i="1"/>
  <c r="J660" i="1"/>
  <c r="AC659" i="1"/>
  <c r="X659" i="1"/>
  <c r="U659" i="1"/>
  <c r="U659" i="1" a="1"/>
  <c r="S659" i="1"/>
  <c r="S659" i="1" a="1"/>
  <c r="N659" i="1"/>
  <c r="L659" i="1"/>
  <c r="J659" i="1"/>
  <c r="AC658" i="1"/>
  <c r="X658" i="1"/>
  <c r="U658" i="1"/>
  <c r="U658" i="1" a="1"/>
  <c r="S658" i="1" a="1"/>
  <c r="S658" i="1" s="1"/>
  <c r="N658" i="1"/>
  <c r="L658" i="1"/>
  <c r="J658" i="1"/>
  <c r="AC657" i="1"/>
  <c r="X657" i="1"/>
  <c r="U657" i="1" a="1"/>
  <c r="U657" i="1" s="1"/>
  <c r="S657" i="1" a="1"/>
  <c r="S657" i="1" s="1"/>
  <c r="N657" i="1"/>
  <c r="L657" i="1"/>
  <c r="J657" i="1"/>
  <c r="AC656" i="1"/>
  <c r="X656" i="1"/>
  <c r="U656" i="1"/>
  <c r="U656" i="1" a="1"/>
  <c r="S656" i="1" a="1"/>
  <c r="S656" i="1" s="1"/>
  <c r="N656" i="1"/>
  <c r="L656" i="1"/>
  <c r="J656" i="1"/>
  <c r="AC655" i="1"/>
  <c r="X655" i="1"/>
  <c r="U655" i="1"/>
  <c r="U655" i="1" a="1"/>
  <c r="S655" i="1"/>
  <c r="S655" i="1" a="1"/>
  <c r="N655" i="1"/>
  <c r="L655" i="1"/>
  <c r="J655" i="1"/>
  <c r="AC654" i="1"/>
  <c r="X654" i="1"/>
  <c r="U654" i="1"/>
  <c r="U654" i="1" a="1"/>
  <c r="S654" i="1" a="1"/>
  <c r="S654" i="1" s="1"/>
  <c r="N654" i="1"/>
  <c r="L654" i="1"/>
  <c r="J654" i="1"/>
  <c r="AC653" i="1"/>
  <c r="X653" i="1"/>
  <c r="U653" i="1" a="1"/>
  <c r="U653" i="1" s="1"/>
  <c r="S653" i="1" a="1"/>
  <c r="S653" i="1" s="1"/>
  <c r="N653" i="1"/>
  <c r="L653" i="1"/>
  <c r="J653" i="1"/>
  <c r="AC652" i="1"/>
  <c r="X652" i="1"/>
  <c r="U652" i="1"/>
  <c r="U652" i="1" a="1"/>
  <c r="S652" i="1" a="1"/>
  <c r="S652" i="1" s="1"/>
  <c r="N652" i="1"/>
  <c r="L652" i="1"/>
  <c r="J652" i="1"/>
  <c r="AC651" i="1"/>
  <c r="X651" i="1"/>
  <c r="U651" i="1" a="1"/>
  <c r="U651" i="1" s="1"/>
  <c r="S651" i="1" a="1"/>
  <c r="S651" i="1" s="1"/>
  <c r="N651" i="1"/>
  <c r="L651" i="1"/>
  <c r="J651" i="1"/>
  <c r="AC650" i="1"/>
  <c r="X650" i="1"/>
  <c r="U650" i="1"/>
  <c r="U650" i="1" a="1"/>
  <c r="S650" i="1" a="1"/>
  <c r="S650" i="1" s="1"/>
  <c r="N650" i="1"/>
  <c r="L650" i="1"/>
  <c r="J650" i="1"/>
  <c r="AC649" i="1"/>
  <c r="X649" i="1"/>
  <c r="U649" i="1" a="1"/>
  <c r="U649" i="1" s="1"/>
  <c r="S649" i="1" a="1"/>
  <c r="S649" i="1" s="1"/>
  <c r="N649" i="1"/>
  <c r="L649" i="1"/>
  <c r="J649" i="1"/>
  <c r="AC648" i="1"/>
  <c r="X648" i="1"/>
  <c r="U648" i="1" a="1"/>
  <c r="U648" i="1" s="1"/>
  <c r="S648" i="1"/>
  <c r="S648" i="1" a="1"/>
  <c r="N648" i="1"/>
  <c r="L648" i="1"/>
  <c r="J648" i="1"/>
  <c r="AC647" i="1"/>
  <c r="X647" i="1"/>
  <c r="U647" i="1" a="1"/>
  <c r="U647" i="1" s="1"/>
  <c r="S647" i="1" a="1"/>
  <c r="S647" i="1" s="1"/>
  <c r="N647" i="1"/>
  <c r="L647" i="1"/>
  <c r="J647" i="1"/>
  <c r="AC646" i="1"/>
  <c r="X646" i="1"/>
  <c r="U646" i="1"/>
  <c r="U646" i="1" a="1"/>
  <c r="S646" i="1" a="1"/>
  <c r="S646" i="1" s="1"/>
  <c r="N646" i="1"/>
  <c r="L646" i="1"/>
  <c r="J646" i="1"/>
  <c r="AC645" i="1"/>
  <c r="X645" i="1"/>
  <c r="U645" i="1" a="1"/>
  <c r="U645" i="1" s="1"/>
  <c r="S645" i="1"/>
  <c r="S645" i="1" a="1"/>
  <c r="N645" i="1"/>
  <c r="L645" i="1"/>
  <c r="J645" i="1"/>
  <c r="AC644" i="1"/>
  <c r="X644" i="1"/>
  <c r="U644" i="1" a="1"/>
  <c r="U644" i="1" s="1"/>
  <c r="S644" i="1"/>
  <c r="S644" i="1" a="1"/>
  <c r="N644" i="1"/>
  <c r="L644" i="1"/>
  <c r="J644" i="1"/>
  <c r="AC643" i="1"/>
  <c r="X643" i="1"/>
  <c r="U643" i="1"/>
  <c r="U643" i="1" a="1"/>
  <c r="S643" i="1" a="1"/>
  <c r="S643" i="1" s="1"/>
  <c r="N643" i="1"/>
  <c r="L643" i="1"/>
  <c r="J643" i="1"/>
  <c r="AC642" i="1"/>
  <c r="X642" i="1"/>
  <c r="U642" i="1" a="1"/>
  <c r="U642" i="1" s="1"/>
  <c r="S642" i="1" a="1"/>
  <c r="S642" i="1" s="1"/>
  <c r="N642" i="1"/>
  <c r="L642" i="1"/>
  <c r="J642" i="1"/>
  <c r="AC641" i="1"/>
  <c r="X641" i="1"/>
  <c r="U641" i="1"/>
  <c r="U641" i="1" a="1"/>
  <c r="S641" i="1" a="1"/>
  <c r="S641" i="1" s="1"/>
  <c r="N641" i="1"/>
  <c r="L641" i="1"/>
  <c r="J641" i="1"/>
  <c r="AC640" i="1"/>
  <c r="X640" i="1"/>
  <c r="U640" i="1"/>
  <c r="U640" i="1" a="1"/>
  <c r="S640" i="1" a="1"/>
  <c r="S640" i="1" s="1"/>
  <c r="N640" i="1"/>
  <c r="L640" i="1"/>
  <c r="J640" i="1"/>
  <c r="AC639" i="1"/>
  <c r="X639" i="1"/>
  <c r="U639" i="1" a="1"/>
  <c r="U639" i="1" s="1"/>
  <c r="S639" i="1"/>
  <c r="S639" i="1" a="1"/>
  <c r="N639" i="1"/>
  <c r="L639" i="1"/>
  <c r="J639" i="1"/>
  <c r="AC638" i="1"/>
  <c r="X638" i="1"/>
  <c r="U638" i="1" a="1"/>
  <c r="U638" i="1" s="1"/>
  <c r="S638" i="1" a="1"/>
  <c r="S638" i="1" s="1"/>
  <c r="N638" i="1"/>
  <c r="L638" i="1"/>
  <c r="J638" i="1"/>
  <c r="AC637" i="1"/>
  <c r="X637" i="1"/>
  <c r="U637" i="1"/>
  <c r="U637" i="1" a="1"/>
  <c r="S637" i="1"/>
  <c r="S637" i="1" a="1"/>
  <c r="N637" i="1"/>
  <c r="L637" i="1"/>
  <c r="J637" i="1"/>
  <c r="AC636" i="1"/>
  <c r="X636" i="1"/>
  <c r="U636" i="1"/>
  <c r="U636" i="1" a="1"/>
  <c r="S636" i="1"/>
  <c r="S636" i="1" a="1"/>
  <c r="N636" i="1"/>
  <c r="L636" i="1"/>
  <c r="J636" i="1"/>
  <c r="AC635" i="1"/>
  <c r="X635" i="1"/>
  <c r="U635" i="1" a="1"/>
  <c r="U635" i="1" s="1"/>
  <c r="S635" i="1" a="1"/>
  <c r="S635" i="1" s="1"/>
  <c r="N635" i="1"/>
  <c r="L635" i="1"/>
  <c r="J635" i="1"/>
  <c r="AC634" i="1"/>
  <c r="X634" i="1"/>
  <c r="U634" i="1" a="1"/>
  <c r="U634" i="1" s="1"/>
  <c r="S634" i="1" a="1"/>
  <c r="S634" i="1" s="1"/>
  <c r="N634" i="1"/>
  <c r="L634" i="1"/>
  <c r="J634" i="1"/>
  <c r="AC633" i="1"/>
  <c r="X633" i="1"/>
  <c r="U633" i="1" a="1"/>
  <c r="U633" i="1" s="1"/>
  <c r="S633" i="1"/>
  <c r="S633" i="1" a="1"/>
  <c r="N633" i="1"/>
  <c r="L633" i="1"/>
  <c r="J633" i="1"/>
  <c r="AC632" i="1"/>
  <c r="X632" i="1"/>
  <c r="U632" i="1" a="1"/>
  <c r="U632" i="1" s="1"/>
  <c r="S632" i="1" a="1"/>
  <c r="S632" i="1" s="1"/>
  <c r="N632" i="1"/>
  <c r="L632" i="1"/>
  <c r="J632" i="1"/>
  <c r="AC631" i="1"/>
  <c r="X631" i="1"/>
  <c r="U631" i="1" a="1"/>
  <c r="U631" i="1" s="1"/>
  <c r="S631" i="1" a="1"/>
  <c r="S631" i="1" s="1"/>
  <c r="N631" i="1"/>
  <c r="L631" i="1"/>
  <c r="J631" i="1"/>
  <c r="AC630" i="1"/>
  <c r="X630" i="1"/>
  <c r="U630" i="1"/>
  <c r="U630" i="1" a="1"/>
  <c r="S630" i="1" a="1"/>
  <c r="S630" i="1" s="1"/>
  <c r="N630" i="1"/>
  <c r="L630" i="1"/>
  <c r="J630" i="1"/>
  <c r="AC629" i="1"/>
  <c r="X629" i="1"/>
  <c r="U629" i="1" a="1"/>
  <c r="U629" i="1" s="1"/>
  <c r="S629" i="1"/>
  <c r="S629" i="1" a="1"/>
  <c r="N629" i="1"/>
  <c r="L629" i="1"/>
  <c r="J629" i="1"/>
  <c r="AC628" i="1"/>
  <c r="X628" i="1"/>
  <c r="U628" i="1" a="1"/>
  <c r="U628" i="1" s="1"/>
  <c r="S628" i="1" a="1"/>
  <c r="S628" i="1" s="1"/>
  <c r="N628" i="1"/>
  <c r="L628" i="1"/>
  <c r="J628" i="1"/>
  <c r="AC627" i="1"/>
  <c r="X627" i="1"/>
  <c r="U627" i="1"/>
  <c r="U627" i="1" a="1"/>
  <c r="S627" i="1"/>
  <c r="S627" i="1" a="1"/>
  <c r="N627" i="1"/>
  <c r="L627" i="1"/>
  <c r="J627" i="1"/>
  <c r="AC626" i="1"/>
  <c r="X626" i="1"/>
  <c r="U626" i="1"/>
  <c r="U626" i="1" a="1"/>
  <c r="S626" i="1" a="1"/>
  <c r="S626" i="1" s="1"/>
  <c r="N626" i="1"/>
  <c r="L626" i="1"/>
  <c r="J626" i="1"/>
  <c r="AC625" i="1"/>
  <c r="X625" i="1"/>
  <c r="U625" i="1" a="1"/>
  <c r="U625" i="1" s="1"/>
  <c r="S625" i="1" a="1"/>
  <c r="S625" i="1" s="1"/>
  <c r="N625" i="1"/>
  <c r="L625" i="1"/>
  <c r="J625" i="1"/>
  <c r="AC624" i="1"/>
  <c r="X624" i="1"/>
  <c r="U624" i="1"/>
  <c r="U624" i="1" a="1"/>
  <c r="S624" i="1" a="1"/>
  <c r="S624" i="1" s="1"/>
  <c r="N624" i="1"/>
  <c r="L624" i="1"/>
  <c r="J624" i="1"/>
  <c r="AC623" i="1"/>
  <c r="X623" i="1"/>
  <c r="U623" i="1" a="1"/>
  <c r="U623" i="1" s="1"/>
  <c r="S623" i="1" a="1"/>
  <c r="S623" i="1" s="1"/>
  <c r="N623" i="1"/>
  <c r="L623" i="1"/>
  <c r="J623" i="1"/>
  <c r="AC622" i="1"/>
  <c r="X622" i="1"/>
  <c r="U622" i="1" a="1"/>
  <c r="U622" i="1" s="1"/>
  <c r="S622" i="1" a="1"/>
  <c r="S622" i="1" s="1"/>
  <c r="N622" i="1"/>
  <c r="L622" i="1"/>
  <c r="J622" i="1"/>
  <c r="AC621" i="1"/>
  <c r="X621" i="1"/>
  <c r="U621" i="1" a="1"/>
  <c r="U621" i="1" s="1"/>
  <c r="S621" i="1" a="1"/>
  <c r="S621" i="1" s="1"/>
  <c r="N621" i="1"/>
  <c r="L621" i="1"/>
  <c r="J621" i="1"/>
  <c r="AC620" i="1"/>
  <c r="X620" i="1"/>
  <c r="U620" i="1" a="1"/>
  <c r="U620" i="1" s="1"/>
  <c r="S620" i="1"/>
  <c r="S620" i="1" a="1"/>
  <c r="N620" i="1"/>
  <c r="L620" i="1"/>
  <c r="J620" i="1"/>
  <c r="AC619" i="1"/>
  <c r="X619" i="1"/>
  <c r="U619" i="1"/>
  <c r="U619" i="1" a="1"/>
  <c r="S619" i="1" a="1"/>
  <c r="S619" i="1" s="1"/>
  <c r="N619" i="1"/>
  <c r="L619" i="1"/>
  <c r="J619" i="1"/>
  <c r="AC618" i="1"/>
  <c r="X618" i="1"/>
  <c r="U618" i="1"/>
  <c r="U618" i="1" a="1"/>
  <c r="S618" i="1" a="1"/>
  <c r="S618" i="1" s="1"/>
  <c r="N618" i="1"/>
  <c r="L618" i="1"/>
  <c r="J618" i="1"/>
  <c r="AC617" i="1"/>
  <c r="X617" i="1"/>
  <c r="U617" i="1"/>
  <c r="U617" i="1" a="1"/>
  <c r="S617" i="1" a="1"/>
  <c r="S617" i="1" s="1"/>
  <c r="N617" i="1"/>
  <c r="L617" i="1"/>
  <c r="J617" i="1"/>
  <c r="AC616" i="1"/>
  <c r="X616" i="1"/>
  <c r="U616" i="1" a="1"/>
  <c r="U616" i="1" s="1"/>
  <c r="S616" i="1" a="1"/>
  <c r="S616" i="1" s="1"/>
  <c r="N616" i="1"/>
  <c r="L616" i="1"/>
  <c r="J616" i="1"/>
  <c r="AC615" i="1"/>
  <c r="X615" i="1"/>
  <c r="U615" i="1"/>
  <c r="U615" i="1" a="1"/>
  <c r="S615" i="1" a="1"/>
  <c r="S615" i="1" s="1"/>
  <c r="N615" i="1"/>
  <c r="L615" i="1"/>
  <c r="J615" i="1"/>
  <c r="AC614" i="1"/>
  <c r="X614" i="1"/>
  <c r="U614" i="1" a="1"/>
  <c r="U614" i="1" s="1"/>
  <c r="S614" i="1" a="1"/>
  <c r="S614" i="1" s="1"/>
  <c r="N614" i="1"/>
  <c r="L614" i="1"/>
  <c r="J614" i="1"/>
  <c r="AC613" i="1"/>
  <c r="X613" i="1"/>
  <c r="U613" i="1" a="1"/>
  <c r="U613" i="1" s="1"/>
  <c r="S613" i="1"/>
  <c r="S613" i="1" a="1"/>
  <c r="N613" i="1"/>
  <c r="L613" i="1"/>
  <c r="J613" i="1"/>
  <c r="AC612" i="1"/>
  <c r="X612" i="1"/>
  <c r="U612" i="1" a="1"/>
  <c r="U612" i="1" s="1"/>
  <c r="S612" i="1" a="1"/>
  <c r="S612" i="1" s="1"/>
  <c r="N612" i="1"/>
  <c r="L612" i="1"/>
  <c r="J612" i="1"/>
  <c r="AC611" i="1"/>
  <c r="X611" i="1"/>
  <c r="U611" i="1" a="1"/>
  <c r="U611" i="1" s="1"/>
  <c r="S611" i="1"/>
  <c r="S611" i="1" a="1"/>
  <c r="N611" i="1"/>
  <c r="L611" i="1"/>
  <c r="J611" i="1"/>
  <c r="AC610" i="1"/>
  <c r="X610" i="1"/>
  <c r="U610" i="1"/>
  <c r="U610" i="1" a="1"/>
  <c r="S610" i="1" a="1"/>
  <c r="S610" i="1" s="1"/>
  <c r="N610" i="1"/>
  <c r="L610" i="1"/>
  <c r="J610" i="1"/>
  <c r="AC609" i="1"/>
  <c r="X609" i="1"/>
  <c r="U609" i="1"/>
  <c r="U609" i="1" a="1"/>
  <c r="S609" i="1" a="1"/>
  <c r="S609" i="1" s="1"/>
  <c r="N609" i="1"/>
  <c r="L609" i="1"/>
  <c r="J609" i="1"/>
  <c r="AC608" i="1"/>
  <c r="X608" i="1"/>
  <c r="U608" i="1"/>
  <c r="U608" i="1" a="1"/>
  <c r="S608" i="1"/>
  <c r="S608" i="1" a="1"/>
  <c r="N608" i="1"/>
  <c r="L608" i="1"/>
  <c r="J608" i="1"/>
  <c r="AC607" i="1"/>
  <c r="X607" i="1"/>
  <c r="U607" i="1" a="1"/>
  <c r="U607" i="1" s="1"/>
  <c r="S607" i="1"/>
  <c r="S607" i="1" a="1"/>
  <c r="N607" i="1"/>
  <c r="L607" i="1"/>
  <c r="J607" i="1"/>
  <c r="AC606" i="1"/>
  <c r="X606" i="1"/>
  <c r="U606" i="1" a="1"/>
  <c r="U606" i="1" s="1"/>
  <c r="S606" i="1" a="1"/>
  <c r="S606" i="1" s="1"/>
  <c r="N606" i="1"/>
  <c r="L606" i="1"/>
  <c r="J606" i="1"/>
  <c r="AC605" i="1"/>
  <c r="X605" i="1"/>
  <c r="U605" i="1"/>
  <c r="U605" i="1" a="1"/>
  <c r="S605" i="1"/>
  <c r="S605" i="1" a="1"/>
  <c r="N605" i="1"/>
  <c r="L605" i="1"/>
  <c r="J605" i="1"/>
  <c r="AC604" i="1"/>
  <c r="X604" i="1"/>
  <c r="U604" i="1"/>
  <c r="U604" i="1" a="1"/>
  <c r="S604" i="1" a="1"/>
  <c r="S604" i="1" s="1"/>
  <c r="N604" i="1"/>
  <c r="L604" i="1"/>
  <c r="J604" i="1"/>
  <c r="AC603" i="1"/>
  <c r="X603" i="1"/>
  <c r="U603" i="1"/>
  <c r="U603" i="1" a="1"/>
  <c r="S603" i="1" a="1"/>
  <c r="S603" i="1" s="1"/>
  <c r="N603" i="1"/>
  <c r="L603" i="1"/>
  <c r="J603" i="1"/>
  <c r="AC602" i="1"/>
  <c r="X602" i="1"/>
  <c r="U602" i="1"/>
  <c r="U602" i="1" a="1"/>
  <c r="S602" i="1" a="1"/>
  <c r="S602" i="1" s="1"/>
  <c r="N602" i="1"/>
  <c r="L602" i="1"/>
  <c r="J602" i="1"/>
  <c r="AC601" i="1"/>
  <c r="X601" i="1"/>
  <c r="U601" i="1" a="1"/>
  <c r="U601" i="1" s="1"/>
  <c r="S601" i="1" a="1"/>
  <c r="S601" i="1" s="1"/>
  <c r="N601" i="1"/>
  <c r="L601" i="1"/>
  <c r="J601" i="1"/>
  <c r="AC600" i="1"/>
  <c r="X600" i="1"/>
  <c r="U600" i="1"/>
  <c r="U600" i="1" a="1"/>
  <c r="S600" i="1"/>
  <c r="S600" i="1" a="1"/>
  <c r="N600" i="1"/>
  <c r="L600" i="1"/>
  <c r="J600" i="1"/>
  <c r="AC599" i="1"/>
  <c r="X599" i="1"/>
  <c r="U599" i="1"/>
  <c r="U599" i="1" a="1"/>
  <c r="S599" i="1"/>
  <c r="S599" i="1" a="1"/>
  <c r="N599" i="1"/>
  <c r="L599" i="1"/>
  <c r="J599" i="1"/>
  <c r="AC598" i="1"/>
  <c r="X598" i="1"/>
  <c r="U598" i="1" a="1"/>
  <c r="U598" i="1" s="1"/>
  <c r="S598" i="1" a="1"/>
  <c r="S598" i="1" s="1"/>
  <c r="N598" i="1"/>
  <c r="L598" i="1"/>
  <c r="J598" i="1"/>
  <c r="AC597" i="1"/>
  <c r="X597" i="1"/>
  <c r="U597" i="1"/>
  <c r="U597" i="1" a="1"/>
  <c r="S597" i="1"/>
  <c r="S597" i="1" a="1"/>
  <c r="N597" i="1"/>
  <c r="L597" i="1"/>
  <c r="J597" i="1"/>
  <c r="AC596" i="1"/>
  <c r="X596" i="1"/>
  <c r="U596" i="1"/>
  <c r="U596" i="1" a="1"/>
  <c r="S596" i="1"/>
  <c r="S596" i="1" a="1"/>
  <c r="N596" i="1"/>
  <c r="L596" i="1"/>
  <c r="J596" i="1"/>
  <c r="AC595" i="1"/>
  <c r="X595" i="1"/>
  <c r="U595" i="1"/>
  <c r="U595" i="1" a="1"/>
  <c r="S595" i="1" a="1"/>
  <c r="S595" i="1" s="1"/>
  <c r="N595" i="1"/>
  <c r="L595" i="1"/>
  <c r="J595" i="1"/>
  <c r="AC594" i="1"/>
  <c r="X594" i="1"/>
  <c r="U594" i="1" a="1"/>
  <c r="U594" i="1" s="1"/>
  <c r="S594" i="1" a="1"/>
  <c r="S594" i="1" s="1"/>
  <c r="N594" i="1"/>
  <c r="L594" i="1"/>
  <c r="J594" i="1"/>
  <c r="AC593" i="1"/>
  <c r="X593" i="1"/>
  <c r="U593" i="1"/>
  <c r="U593" i="1" a="1"/>
  <c r="S593" i="1" a="1"/>
  <c r="S593" i="1" s="1"/>
  <c r="N593" i="1"/>
  <c r="L593" i="1"/>
  <c r="J593" i="1"/>
  <c r="AC592" i="1"/>
  <c r="X592" i="1"/>
  <c r="U592" i="1"/>
  <c r="U592" i="1" a="1"/>
  <c r="S592" i="1"/>
  <c r="S592" i="1" a="1"/>
  <c r="N592" i="1"/>
  <c r="L592" i="1"/>
  <c r="J592" i="1"/>
  <c r="AC591" i="1"/>
  <c r="X591" i="1"/>
  <c r="U591" i="1" a="1"/>
  <c r="U591" i="1" s="1"/>
  <c r="S591" i="1"/>
  <c r="S591" i="1" a="1"/>
  <c r="N591" i="1"/>
  <c r="L591" i="1"/>
  <c r="J591" i="1"/>
  <c r="AC590" i="1"/>
  <c r="X590" i="1"/>
  <c r="U590" i="1" a="1"/>
  <c r="U590" i="1" s="1"/>
  <c r="S590" i="1" a="1"/>
  <c r="S590" i="1" s="1"/>
  <c r="N590" i="1"/>
  <c r="L590" i="1"/>
  <c r="J590" i="1"/>
  <c r="AC589" i="1"/>
  <c r="X589" i="1"/>
  <c r="U589" i="1"/>
  <c r="U589" i="1" a="1"/>
  <c r="S589" i="1"/>
  <c r="S589" i="1" a="1"/>
  <c r="N589" i="1"/>
  <c r="L589" i="1"/>
  <c r="J589" i="1"/>
  <c r="AC588" i="1"/>
  <c r="X588" i="1"/>
  <c r="U588" i="1"/>
  <c r="U588" i="1" a="1"/>
  <c r="S588" i="1" a="1"/>
  <c r="S588" i="1" s="1"/>
  <c r="N588" i="1"/>
  <c r="L588" i="1"/>
  <c r="J588" i="1"/>
  <c r="AC587" i="1"/>
  <c r="X587" i="1"/>
  <c r="U587" i="1"/>
  <c r="U587" i="1" a="1"/>
  <c r="S587" i="1"/>
  <c r="S587" i="1" a="1"/>
  <c r="N587" i="1"/>
  <c r="L587" i="1"/>
  <c r="J587" i="1"/>
  <c r="AC586" i="1"/>
  <c r="X586" i="1"/>
  <c r="U586" i="1" a="1"/>
  <c r="U586" i="1" s="1"/>
  <c r="S586" i="1" a="1"/>
  <c r="S586" i="1" s="1"/>
  <c r="N586" i="1"/>
  <c r="L586" i="1"/>
  <c r="J586" i="1"/>
  <c r="AC585" i="1"/>
  <c r="X585" i="1"/>
  <c r="U585" i="1"/>
  <c r="U585" i="1" a="1"/>
  <c r="S585" i="1"/>
  <c r="S585" i="1" a="1"/>
  <c r="N585" i="1"/>
  <c r="L585" i="1"/>
  <c r="J585" i="1"/>
  <c r="AC584" i="1"/>
  <c r="X584" i="1"/>
  <c r="U584" i="1" a="1"/>
  <c r="U584" i="1" s="1"/>
  <c r="S584" i="1"/>
  <c r="S584" i="1" a="1"/>
  <c r="N584" i="1"/>
  <c r="L584" i="1"/>
  <c r="J584" i="1"/>
  <c r="AC583" i="1"/>
  <c r="X583" i="1"/>
  <c r="U583" i="1" a="1"/>
  <c r="U583" i="1" s="1"/>
  <c r="S583" i="1" a="1"/>
  <c r="S583" i="1" s="1"/>
  <c r="N583" i="1"/>
  <c r="L583" i="1"/>
  <c r="J583" i="1"/>
  <c r="AC582" i="1"/>
  <c r="X582" i="1"/>
  <c r="U582" i="1"/>
  <c r="U582" i="1" a="1"/>
  <c r="S582" i="1" a="1"/>
  <c r="S582" i="1" s="1"/>
  <c r="N582" i="1"/>
  <c r="L582" i="1"/>
  <c r="J582" i="1"/>
  <c r="AC581" i="1"/>
  <c r="X581" i="1"/>
  <c r="U581" i="1"/>
  <c r="U581" i="1" a="1"/>
  <c r="S581" i="1" a="1"/>
  <c r="S581" i="1" s="1"/>
  <c r="N581" i="1"/>
  <c r="L581" i="1"/>
  <c r="J581" i="1"/>
  <c r="AC580" i="1"/>
  <c r="X580" i="1"/>
  <c r="U580" i="1" a="1"/>
  <c r="U580" i="1" s="1"/>
  <c r="S580" i="1"/>
  <c r="S580" i="1" a="1"/>
  <c r="N580" i="1"/>
  <c r="L580" i="1"/>
  <c r="J580" i="1"/>
  <c r="AC579" i="1"/>
  <c r="X579" i="1"/>
  <c r="U579" i="1" a="1"/>
  <c r="U579" i="1" s="1"/>
  <c r="S579" i="1" a="1"/>
  <c r="S579" i="1" s="1"/>
  <c r="N579" i="1"/>
  <c r="L579" i="1"/>
  <c r="J579" i="1"/>
  <c r="AC578" i="1"/>
  <c r="X578" i="1"/>
  <c r="U578" i="1"/>
  <c r="U578" i="1" a="1"/>
  <c r="S578" i="1" a="1"/>
  <c r="S578" i="1" s="1"/>
  <c r="N578" i="1"/>
  <c r="L578" i="1"/>
  <c r="J578" i="1"/>
  <c r="AC577" i="1"/>
  <c r="X577" i="1"/>
  <c r="U577" i="1" a="1"/>
  <c r="U577" i="1" s="1"/>
  <c r="S577" i="1"/>
  <c r="S577" i="1" a="1"/>
  <c r="N577" i="1"/>
  <c r="L577" i="1"/>
  <c r="J577" i="1"/>
  <c r="AC576" i="1"/>
  <c r="X576" i="1"/>
  <c r="U576" i="1" a="1"/>
  <c r="U576" i="1" s="1"/>
  <c r="S576" i="1" a="1"/>
  <c r="S576" i="1" s="1"/>
  <c r="N576" i="1"/>
  <c r="L576" i="1"/>
  <c r="J576" i="1"/>
  <c r="AC575" i="1"/>
  <c r="X575" i="1"/>
  <c r="U575" i="1" a="1"/>
  <c r="U575" i="1" s="1"/>
  <c r="S575" i="1" a="1"/>
  <c r="S575" i="1" s="1"/>
  <c r="N575" i="1"/>
  <c r="L575" i="1"/>
  <c r="J575" i="1"/>
  <c r="AC574" i="1"/>
  <c r="X574" i="1"/>
  <c r="U574" i="1"/>
  <c r="U574" i="1" a="1"/>
  <c r="S574" i="1" a="1"/>
  <c r="S574" i="1" s="1"/>
  <c r="N574" i="1"/>
  <c r="L574" i="1"/>
  <c r="J574" i="1"/>
  <c r="AC573" i="1"/>
  <c r="X573" i="1"/>
  <c r="U573" i="1" a="1"/>
  <c r="U573" i="1" s="1"/>
  <c r="S573" i="1" a="1"/>
  <c r="S573" i="1" s="1"/>
  <c r="N573" i="1"/>
  <c r="L573" i="1"/>
  <c r="J573" i="1"/>
  <c r="AC572" i="1"/>
  <c r="X572" i="1"/>
  <c r="U572" i="1" a="1"/>
  <c r="U572" i="1" s="1"/>
  <c r="S572" i="1" a="1"/>
  <c r="S572" i="1" s="1"/>
  <c r="N572" i="1"/>
  <c r="L572" i="1"/>
  <c r="J572" i="1"/>
  <c r="AC571" i="1"/>
  <c r="X571" i="1"/>
  <c r="U571" i="1"/>
  <c r="U571" i="1" a="1"/>
  <c r="S571" i="1" a="1"/>
  <c r="S571" i="1" s="1"/>
  <c r="N571" i="1"/>
  <c r="L571" i="1"/>
  <c r="J571" i="1"/>
  <c r="AC570" i="1"/>
  <c r="X570" i="1"/>
  <c r="U570" i="1" a="1"/>
  <c r="U570" i="1" s="1"/>
  <c r="S570" i="1" a="1"/>
  <c r="S570" i="1" s="1"/>
  <c r="N570" i="1"/>
  <c r="L570" i="1"/>
  <c r="J570" i="1"/>
  <c r="AC569" i="1"/>
  <c r="X569" i="1"/>
  <c r="U569" i="1" a="1"/>
  <c r="U569" i="1" s="1"/>
  <c r="S569" i="1" a="1"/>
  <c r="S569" i="1" s="1"/>
  <c r="N569" i="1"/>
  <c r="L569" i="1"/>
  <c r="J569" i="1"/>
  <c r="AC568" i="1"/>
  <c r="X568" i="1"/>
  <c r="U568" i="1" a="1"/>
  <c r="U568" i="1" s="1"/>
  <c r="S568" i="1" a="1"/>
  <c r="S568" i="1" s="1"/>
  <c r="N568" i="1"/>
  <c r="L568" i="1"/>
  <c r="J568" i="1"/>
  <c r="AC567" i="1"/>
  <c r="X567" i="1"/>
  <c r="U567" i="1"/>
  <c r="U567" i="1" a="1"/>
  <c r="S567" i="1" a="1"/>
  <c r="S567" i="1" s="1"/>
  <c r="N567" i="1"/>
  <c r="L567" i="1"/>
  <c r="J567" i="1"/>
  <c r="AC566" i="1"/>
  <c r="X566" i="1"/>
  <c r="U566" i="1" a="1"/>
  <c r="U566" i="1" s="1"/>
  <c r="S566" i="1" a="1"/>
  <c r="S566" i="1" s="1"/>
  <c r="N566" i="1"/>
  <c r="L566" i="1"/>
  <c r="J566" i="1"/>
  <c r="AC565" i="1"/>
  <c r="X565" i="1"/>
  <c r="U565" i="1" a="1"/>
  <c r="U565" i="1" s="1"/>
  <c r="S565" i="1" a="1"/>
  <c r="S565" i="1" s="1"/>
  <c r="N565" i="1"/>
  <c r="L565" i="1"/>
  <c r="J565" i="1"/>
  <c r="AC564" i="1"/>
  <c r="X564" i="1"/>
  <c r="U564" i="1" a="1"/>
  <c r="U564" i="1" s="1"/>
  <c r="S564" i="1"/>
  <c r="S564" i="1" a="1"/>
  <c r="N564" i="1"/>
  <c r="L564" i="1"/>
  <c r="J564" i="1"/>
  <c r="AC563" i="1"/>
  <c r="X563" i="1"/>
  <c r="U563" i="1" a="1"/>
  <c r="U563" i="1" s="1"/>
  <c r="S563" i="1"/>
  <c r="S563" i="1" a="1"/>
  <c r="N563" i="1"/>
  <c r="L563" i="1"/>
  <c r="J563" i="1"/>
  <c r="AC562" i="1"/>
  <c r="X562" i="1"/>
  <c r="U562" i="1" a="1"/>
  <c r="U562" i="1" s="1"/>
  <c r="S562" i="1" a="1"/>
  <c r="S562" i="1" s="1"/>
  <c r="N562" i="1"/>
  <c r="L562" i="1"/>
  <c r="J562" i="1"/>
  <c r="AC561" i="1"/>
  <c r="X561" i="1"/>
  <c r="U561" i="1"/>
  <c r="U561" i="1" a="1"/>
  <c r="S561" i="1" a="1"/>
  <c r="S561" i="1" s="1"/>
  <c r="N561" i="1"/>
  <c r="L561" i="1"/>
  <c r="J561" i="1"/>
  <c r="AC560" i="1"/>
  <c r="X560" i="1"/>
  <c r="U560" i="1"/>
  <c r="U560" i="1" a="1"/>
  <c r="S560" i="1"/>
  <c r="S560" i="1" a="1"/>
  <c r="N560" i="1"/>
  <c r="L560" i="1"/>
  <c r="J560" i="1"/>
  <c r="AC559" i="1"/>
  <c r="X559" i="1"/>
  <c r="U559" i="1" a="1"/>
  <c r="U559" i="1" s="1"/>
  <c r="S559" i="1"/>
  <c r="S559" i="1" a="1"/>
  <c r="N559" i="1"/>
  <c r="L559" i="1"/>
  <c r="J559" i="1"/>
  <c r="AC558" i="1"/>
  <c r="X558" i="1"/>
  <c r="U558" i="1"/>
  <c r="U558" i="1" a="1"/>
  <c r="S558" i="1" a="1"/>
  <c r="S558" i="1" s="1"/>
  <c r="N558" i="1"/>
  <c r="L558" i="1"/>
  <c r="J558" i="1"/>
  <c r="AC557" i="1"/>
  <c r="X557" i="1"/>
  <c r="U557" i="1"/>
  <c r="U557" i="1" a="1"/>
  <c r="S557" i="1" a="1"/>
  <c r="S557" i="1" s="1"/>
  <c r="N557" i="1"/>
  <c r="L557" i="1"/>
  <c r="J557" i="1"/>
  <c r="AC556" i="1"/>
  <c r="X556" i="1"/>
  <c r="U556" i="1"/>
  <c r="U556" i="1" a="1"/>
  <c r="S556" i="1" a="1"/>
  <c r="S556" i="1" s="1"/>
  <c r="N556" i="1"/>
  <c r="L556" i="1"/>
  <c r="J556" i="1"/>
  <c r="AC555" i="1"/>
  <c r="X555" i="1"/>
  <c r="U555" i="1"/>
  <c r="U555" i="1" a="1"/>
  <c r="S555" i="1" a="1"/>
  <c r="S555" i="1" s="1"/>
  <c r="N555" i="1"/>
  <c r="L555" i="1"/>
  <c r="J555" i="1"/>
  <c r="AC554" i="1"/>
  <c r="X554" i="1"/>
  <c r="U554" i="1" a="1"/>
  <c r="U554" i="1" s="1"/>
  <c r="S554" i="1" a="1"/>
  <c r="S554" i="1" s="1"/>
  <c r="N554" i="1"/>
  <c r="L554" i="1"/>
  <c r="J554" i="1"/>
  <c r="AC553" i="1"/>
  <c r="X553" i="1"/>
  <c r="U553" i="1" a="1"/>
  <c r="U553" i="1" s="1"/>
  <c r="S553" i="1" a="1"/>
  <c r="S553" i="1" s="1"/>
  <c r="N553" i="1"/>
  <c r="L553" i="1"/>
  <c r="J553" i="1"/>
  <c r="AC552" i="1"/>
  <c r="X552" i="1"/>
  <c r="U552" i="1"/>
  <c r="U552" i="1" a="1"/>
  <c r="S552" i="1"/>
  <c r="S552" i="1" a="1"/>
  <c r="N552" i="1"/>
  <c r="L552" i="1"/>
  <c r="J552" i="1"/>
  <c r="AC551" i="1"/>
  <c r="X551" i="1"/>
  <c r="U551" i="1" a="1"/>
  <c r="U551" i="1" s="1"/>
  <c r="S551" i="1" a="1"/>
  <c r="S551" i="1" s="1"/>
  <c r="N551" i="1"/>
  <c r="L551" i="1"/>
  <c r="J551" i="1"/>
  <c r="AC550" i="1"/>
  <c r="X550" i="1"/>
  <c r="U550" i="1"/>
  <c r="U550" i="1" a="1"/>
  <c r="S550" i="1" a="1"/>
  <c r="S550" i="1" s="1"/>
  <c r="N550" i="1"/>
  <c r="L550" i="1"/>
  <c r="J550" i="1"/>
  <c r="AC549" i="1"/>
  <c r="X549" i="1"/>
  <c r="U549" i="1"/>
  <c r="U549" i="1" a="1"/>
  <c r="S549" i="1" a="1"/>
  <c r="S549" i="1" s="1"/>
  <c r="N549" i="1"/>
  <c r="L549" i="1"/>
  <c r="J549" i="1"/>
  <c r="AC548" i="1"/>
  <c r="X548" i="1"/>
  <c r="U548" i="1" a="1"/>
  <c r="U548" i="1" s="1"/>
  <c r="S548" i="1"/>
  <c r="S548" i="1" a="1"/>
  <c r="N548" i="1"/>
  <c r="L548" i="1"/>
  <c r="J548" i="1"/>
  <c r="AC547" i="1"/>
  <c r="X547" i="1"/>
  <c r="U547" i="1" a="1"/>
  <c r="U547" i="1" s="1"/>
  <c r="S547" i="1" a="1"/>
  <c r="S547" i="1" s="1"/>
  <c r="N547" i="1"/>
  <c r="L547" i="1"/>
  <c r="J547" i="1"/>
  <c r="AC546" i="1"/>
  <c r="X546" i="1"/>
  <c r="U546" i="1" a="1"/>
  <c r="U546" i="1" s="1"/>
  <c r="S546" i="1" a="1"/>
  <c r="S546" i="1" s="1"/>
  <c r="N546" i="1"/>
  <c r="L546" i="1"/>
  <c r="J546" i="1"/>
  <c r="AC545" i="1"/>
  <c r="X545" i="1"/>
  <c r="U545" i="1"/>
  <c r="U545" i="1" a="1"/>
  <c r="S545" i="1" a="1"/>
  <c r="S545" i="1" s="1"/>
  <c r="N545" i="1"/>
  <c r="L545" i="1"/>
  <c r="J545" i="1"/>
  <c r="AC544" i="1"/>
  <c r="X544" i="1"/>
  <c r="U544" i="1" a="1"/>
  <c r="U544" i="1" s="1"/>
  <c r="S544" i="1" a="1"/>
  <c r="S544" i="1" s="1"/>
  <c r="N544" i="1"/>
  <c r="L544" i="1"/>
  <c r="J544" i="1"/>
  <c r="AC543" i="1"/>
  <c r="X543" i="1"/>
  <c r="U543" i="1"/>
  <c r="U543" i="1" a="1"/>
  <c r="S543" i="1" a="1"/>
  <c r="S543" i="1" s="1"/>
  <c r="N543" i="1"/>
  <c r="L543" i="1"/>
  <c r="J543" i="1"/>
  <c r="AC542" i="1"/>
  <c r="X542" i="1"/>
  <c r="U542" i="1"/>
  <c r="U542" i="1" a="1"/>
  <c r="S542" i="1" a="1"/>
  <c r="S542" i="1" s="1"/>
  <c r="N542" i="1"/>
  <c r="L542" i="1"/>
  <c r="J542" i="1"/>
  <c r="AC541" i="1"/>
  <c r="X541" i="1"/>
  <c r="U541" i="1" a="1"/>
  <c r="U541" i="1" s="1"/>
  <c r="S541" i="1"/>
  <c r="S541" i="1" a="1"/>
  <c r="N541" i="1"/>
  <c r="L541" i="1"/>
  <c r="J541" i="1"/>
  <c r="AC540" i="1"/>
  <c r="X540" i="1"/>
  <c r="U540" i="1" a="1"/>
  <c r="U540" i="1" s="1"/>
  <c r="S540" i="1" a="1"/>
  <c r="S540" i="1" s="1"/>
  <c r="N540" i="1"/>
  <c r="L540" i="1"/>
  <c r="J540" i="1"/>
  <c r="AC539" i="1"/>
  <c r="X539" i="1"/>
  <c r="U539" i="1"/>
  <c r="U539" i="1" a="1"/>
  <c r="S539" i="1"/>
  <c r="S539" i="1" a="1"/>
  <c r="N539" i="1"/>
  <c r="L539" i="1"/>
  <c r="J539" i="1"/>
  <c r="AC538" i="1"/>
  <c r="X538" i="1"/>
  <c r="U538" i="1" a="1"/>
  <c r="U538" i="1" s="1"/>
  <c r="S538" i="1" a="1"/>
  <c r="S538" i="1" s="1"/>
  <c r="N538" i="1"/>
  <c r="L538" i="1"/>
  <c r="J538" i="1"/>
  <c r="AC537" i="1"/>
  <c r="X537" i="1"/>
  <c r="U537" i="1" a="1"/>
  <c r="U537" i="1" s="1"/>
  <c r="S537" i="1"/>
  <c r="S537" i="1" a="1"/>
  <c r="N537" i="1"/>
  <c r="L537" i="1"/>
  <c r="J537" i="1"/>
  <c r="AC536" i="1"/>
  <c r="X536" i="1"/>
  <c r="U536" i="1"/>
  <c r="U536" i="1" a="1"/>
  <c r="S536" i="1" a="1"/>
  <c r="S536" i="1" s="1"/>
  <c r="N536" i="1"/>
  <c r="L536" i="1"/>
  <c r="J536" i="1"/>
  <c r="AC535" i="1"/>
  <c r="X535" i="1"/>
  <c r="U535" i="1" a="1"/>
  <c r="U535" i="1" s="1"/>
  <c r="S535" i="1" a="1"/>
  <c r="S535" i="1" s="1"/>
  <c r="N535" i="1"/>
  <c r="L535" i="1"/>
  <c r="J535" i="1"/>
  <c r="AC534" i="1"/>
  <c r="X534" i="1"/>
  <c r="U534" i="1"/>
  <c r="U534" i="1" a="1"/>
  <c r="S534" i="1" a="1"/>
  <c r="S534" i="1" s="1"/>
  <c r="N534" i="1"/>
  <c r="L534" i="1"/>
  <c r="J534" i="1"/>
  <c r="AC533" i="1"/>
  <c r="X533" i="1"/>
  <c r="U533" i="1" a="1"/>
  <c r="U533" i="1" s="1"/>
  <c r="S533" i="1" a="1"/>
  <c r="S533" i="1" s="1"/>
  <c r="N533" i="1"/>
  <c r="L533" i="1"/>
  <c r="J533" i="1"/>
  <c r="AC532" i="1"/>
  <c r="X532" i="1"/>
  <c r="U532" i="1" a="1"/>
  <c r="U532" i="1" s="1"/>
  <c r="S532" i="1"/>
  <c r="S532" i="1" a="1"/>
  <c r="N532" i="1"/>
  <c r="L532" i="1"/>
  <c r="J532" i="1"/>
  <c r="AC531" i="1"/>
  <c r="X531" i="1"/>
  <c r="U531" i="1" a="1"/>
  <c r="U531" i="1" s="1"/>
  <c r="S531" i="1" a="1"/>
  <c r="S531" i="1" s="1"/>
  <c r="N531" i="1"/>
  <c r="L531" i="1"/>
  <c r="J531" i="1"/>
  <c r="AC530" i="1"/>
  <c r="X530" i="1"/>
  <c r="U530" i="1"/>
  <c r="U530" i="1" a="1"/>
  <c r="S530" i="1" a="1"/>
  <c r="S530" i="1" s="1"/>
  <c r="N530" i="1"/>
  <c r="L530" i="1"/>
  <c r="J530" i="1"/>
  <c r="AC529" i="1"/>
  <c r="X529" i="1"/>
  <c r="U529" i="1"/>
  <c r="U529" i="1" a="1"/>
  <c r="S529" i="1" a="1"/>
  <c r="S529" i="1" s="1"/>
  <c r="N529" i="1"/>
  <c r="L529" i="1"/>
  <c r="J529" i="1"/>
  <c r="AC528" i="1"/>
  <c r="X528" i="1"/>
  <c r="U528" i="1" a="1"/>
  <c r="U528" i="1" s="1"/>
  <c r="S528" i="1"/>
  <c r="S528" i="1" a="1"/>
  <c r="N528" i="1"/>
  <c r="L528" i="1"/>
  <c r="J528" i="1"/>
  <c r="AC527" i="1"/>
  <c r="X527" i="1"/>
  <c r="U527" i="1" a="1"/>
  <c r="U527" i="1" s="1"/>
  <c r="S527" i="1" a="1"/>
  <c r="S527" i="1" s="1"/>
  <c r="N527" i="1"/>
  <c r="L527" i="1"/>
  <c r="J527" i="1"/>
  <c r="AC526" i="1"/>
  <c r="X526" i="1"/>
  <c r="U526" i="1" a="1"/>
  <c r="U526" i="1" s="1"/>
  <c r="S526" i="1" a="1"/>
  <c r="S526" i="1" s="1"/>
  <c r="N526" i="1"/>
  <c r="L526" i="1"/>
  <c r="J526" i="1"/>
  <c r="AC525" i="1"/>
  <c r="X525" i="1"/>
  <c r="U525" i="1" a="1"/>
  <c r="U525" i="1" s="1"/>
  <c r="S525" i="1"/>
  <c r="S525" i="1" a="1"/>
  <c r="N525" i="1"/>
  <c r="L525" i="1"/>
  <c r="J525" i="1"/>
  <c r="AC524" i="1"/>
  <c r="X524" i="1"/>
  <c r="U524" i="1" a="1"/>
  <c r="U524" i="1" s="1"/>
  <c r="S524" i="1" a="1"/>
  <c r="S524" i="1" s="1"/>
  <c r="N524" i="1"/>
  <c r="L524" i="1"/>
  <c r="J524" i="1"/>
  <c r="AC523" i="1"/>
  <c r="X523" i="1"/>
  <c r="U523" i="1"/>
  <c r="U523" i="1" a="1"/>
  <c r="S523" i="1" a="1"/>
  <c r="S523" i="1" s="1"/>
  <c r="N523" i="1"/>
  <c r="L523" i="1"/>
  <c r="J523" i="1"/>
  <c r="AC522" i="1"/>
  <c r="X522" i="1"/>
  <c r="U522" i="1" a="1"/>
  <c r="U522" i="1" s="1"/>
  <c r="S522" i="1" a="1"/>
  <c r="S522" i="1" s="1"/>
  <c r="N522" i="1"/>
  <c r="L522" i="1"/>
  <c r="J522" i="1"/>
  <c r="AC521" i="1"/>
  <c r="X521" i="1"/>
  <c r="U521" i="1" a="1"/>
  <c r="U521" i="1" s="1"/>
  <c r="S521" i="1"/>
  <c r="S521" i="1" a="1"/>
  <c r="N521" i="1"/>
  <c r="L521" i="1"/>
  <c r="J521" i="1"/>
  <c r="AC520" i="1"/>
  <c r="X520" i="1"/>
  <c r="U520" i="1" a="1"/>
  <c r="U520" i="1" s="1"/>
  <c r="S520" i="1" a="1"/>
  <c r="S520" i="1" s="1"/>
  <c r="N520" i="1"/>
  <c r="L520" i="1"/>
  <c r="J520" i="1"/>
  <c r="AC519" i="1"/>
  <c r="X519" i="1"/>
  <c r="U519" i="1"/>
  <c r="U519" i="1" a="1"/>
  <c r="S519" i="1" a="1"/>
  <c r="S519" i="1" s="1"/>
  <c r="N519" i="1"/>
  <c r="L519" i="1"/>
  <c r="J519" i="1"/>
  <c r="AC518" i="1"/>
  <c r="X518" i="1"/>
  <c r="U518" i="1"/>
  <c r="U518" i="1" a="1"/>
  <c r="S518" i="1" a="1"/>
  <c r="S518" i="1" s="1"/>
  <c r="N518" i="1"/>
  <c r="L518" i="1"/>
  <c r="J518" i="1"/>
  <c r="AC517" i="1"/>
  <c r="X517" i="1"/>
  <c r="U517" i="1" a="1"/>
  <c r="U517" i="1" s="1"/>
  <c r="S517" i="1" a="1"/>
  <c r="S517" i="1" s="1"/>
  <c r="N517" i="1"/>
  <c r="L517" i="1"/>
  <c r="J517" i="1"/>
  <c r="AC516" i="1"/>
  <c r="X516" i="1"/>
  <c r="U516" i="1" a="1"/>
  <c r="U516" i="1" s="1"/>
  <c r="S516" i="1"/>
  <c r="S516" i="1" a="1"/>
  <c r="N516" i="1"/>
  <c r="L516" i="1"/>
  <c r="J516" i="1"/>
  <c r="AC515" i="1"/>
  <c r="X515" i="1"/>
  <c r="U515" i="1"/>
  <c r="U515" i="1" a="1"/>
  <c r="S515" i="1"/>
  <c r="S515" i="1" a="1"/>
  <c r="N515" i="1"/>
  <c r="L515" i="1"/>
  <c r="J515" i="1"/>
  <c r="AC514" i="1"/>
  <c r="X514" i="1"/>
  <c r="U514" i="1" a="1"/>
  <c r="U514" i="1" s="1"/>
  <c r="S514" i="1" a="1"/>
  <c r="S514" i="1" s="1"/>
  <c r="N514" i="1"/>
  <c r="L514" i="1"/>
  <c r="J514" i="1"/>
  <c r="AC513" i="1"/>
  <c r="X513" i="1"/>
  <c r="U513" i="1"/>
  <c r="U513" i="1" a="1"/>
  <c r="S513" i="1" a="1"/>
  <c r="S513" i="1" s="1"/>
  <c r="N513" i="1"/>
  <c r="L513" i="1"/>
  <c r="J513" i="1"/>
  <c r="AC512" i="1"/>
  <c r="X512" i="1"/>
  <c r="U512" i="1"/>
  <c r="U512" i="1" a="1"/>
  <c r="S512" i="1" a="1"/>
  <c r="S512" i="1" s="1"/>
  <c r="N512" i="1"/>
  <c r="L512" i="1"/>
  <c r="J512" i="1"/>
  <c r="AC511" i="1"/>
  <c r="X511" i="1"/>
  <c r="U511" i="1"/>
  <c r="U511" i="1" a="1"/>
  <c r="S511" i="1"/>
  <c r="S511" i="1" a="1"/>
  <c r="N511" i="1"/>
  <c r="L511" i="1"/>
  <c r="J511" i="1"/>
  <c r="AC510" i="1"/>
  <c r="X510" i="1"/>
  <c r="U510" i="1" a="1"/>
  <c r="U510" i="1" s="1"/>
  <c r="S510" i="1" a="1"/>
  <c r="S510" i="1" s="1"/>
  <c r="N510" i="1"/>
  <c r="L510" i="1"/>
  <c r="J510" i="1"/>
  <c r="AC509" i="1"/>
  <c r="X509" i="1"/>
  <c r="U509" i="1" a="1"/>
  <c r="U509" i="1" s="1"/>
  <c r="S509" i="1" a="1"/>
  <c r="S509" i="1" s="1"/>
  <c r="N509" i="1"/>
  <c r="L509" i="1"/>
  <c r="J509" i="1"/>
  <c r="AC508" i="1"/>
  <c r="X508" i="1"/>
  <c r="U508" i="1"/>
  <c r="U508" i="1" a="1"/>
  <c r="S508" i="1" a="1"/>
  <c r="S508" i="1" s="1"/>
  <c r="N508" i="1"/>
  <c r="L508" i="1"/>
  <c r="J508" i="1"/>
  <c r="AC507" i="1"/>
  <c r="X507" i="1"/>
  <c r="U507" i="1" a="1"/>
  <c r="U507" i="1" s="1"/>
  <c r="S507" i="1"/>
  <c r="S507" i="1" a="1"/>
  <c r="N507" i="1"/>
  <c r="L507" i="1"/>
  <c r="J507" i="1"/>
  <c r="AC506" i="1"/>
  <c r="X506" i="1"/>
  <c r="U506" i="1" a="1"/>
  <c r="U506" i="1" s="1"/>
  <c r="S506" i="1" a="1"/>
  <c r="S506" i="1" s="1"/>
  <c r="N506" i="1"/>
  <c r="L506" i="1"/>
  <c r="J506" i="1"/>
  <c r="AC505" i="1"/>
  <c r="X505" i="1"/>
  <c r="U505" i="1" a="1"/>
  <c r="U505" i="1" s="1"/>
  <c r="S505" i="1"/>
  <c r="S505" i="1" a="1"/>
  <c r="N505" i="1"/>
  <c r="L505" i="1"/>
  <c r="J505" i="1"/>
  <c r="AC504" i="1"/>
  <c r="X504" i="1"/>
  <c r="U504" i="1" a="1"/>
  <c r="U504" i="1" s="1"/>
  <c r="S504" i="1"/>
  <c r="S504" i="1" a="1"/>
  <c r="N504" i="1"/>
  <c r="L504" i="1"/>
  <c r="J504" i="1"/>
  <c r="AC503" i="1"/>
  <c r="X503" i="1"/>
  <c r="U503" i="1" a="1"/>
  <c r="U503" i="1" s="1"/>
  <c r="S503" i="1" a="1"/>
  <c r="S503" i="1" s="1"/>
  <c r="N503" i="1"/>
  <c r="L503" i="1"/>
  <c r="J503" i="1"/>
  <c r="AC502" i="1"/>
  <c r="X502" i="1"/>
  <c r="U502" i="1" a="1"/>
  <c r="U502" i="1" s="1"/>
  <c r="S502" i="1" a="1"/>
  <c r="S502" i="1" s="1"/>
  <c r="N502" i="1"/>
  <c r="L502" i="1"/>
  <c r="J502" i="1"/>
  <c r="AC501" i="1"/>
  <c r="X501" i="1"/>
  <c r="U501" i="1"/>
  <c r="U501" i="1" a="1"/>
  <c r="S501" i="1" a="1"/>
  <c r="S501" i="1" s="1"/>
  <c r="N501" i="1"/>
  <c r="L501" i="1"/>
  <c r="J501" i="1"/>
  <c r="AC500" i="1"/>
  <c r="X500" i="1"/>
  <c r="U500" i="1" a="1"/>
  <c r="U500" i="1" s="1"/>
  <c r="S500" i="1"/>
  <c r="S500" i="1" a="1"/>
  <c r="N500" i="1"/>
  <c r="L500" i="1"/>
  <c r="J500" i="1"/>
  <c r="AC499" i="1"/>
  <c r="X499" i="1"/>
  <c r="U499" i="1"/>
  <c r="U499" i="1" a="1"/>
  <c r="S499" i="1" a="1"/>
  <c r="S499" i="1" s="1"/>
  <c r="N499" i="1"/>
  <c r="L499" i="1"/>
  <c r="J499" i="1"/>
  <c r="AC498" i="1"/>
  <c r="X498" i="1"/>
  <c r="U498" i="1" a="1"/>
  <c r="U498" i="1" s="1"/>
  <c r="S498" i="1" a="1"/>
  <c r="S498" i="1" s="1"/>
  <c r="N498" i="1"/>
  <c r="L498" i="1"/>
  <c r="J498" i="1"/>
  <c r="AC497" i="1"/>
  <c r="X497" i="1"/>
  <c r="U497" i="1"/>
  <c r="U497" i="1" a="1"/>
  <c r="S497" i="1" a="1"/>
  <c r="S497" i="1" s="1"/>
  <c r="N497" i="1"/>
  <c r="L497" i="1"/>
  <c r="J497" i="1"/>
  <c r="AC496" i="1"/>
  <c r="X496" i="1"/>
  <c r="U496" i="1" a="1"/>
  <c r="U496" i="1" s="1"/>
  <c r="S496" i="1" a="1"/>
  <c r="S496" i="1" s="1"/>
  <c r="N496" i="1"/>
  <c r="L496" i="1"/>
  <c r="J496" i="1"/>
  <c r="AC495" i="1"/>
  <c r="X495" i="1"/>
  <c r="U495" i="1"/>
  <c r="U495" i="1" a="1"/>
  <c r="S495" i="1"/>
  <c r="S495" i="1" a="1"/>
  <c r="N495" i="1"/>
  <c r="L495" i="1"/>
  <c r="J495" i="1"/>
  <c r="AC494" i="1"/>
  <c r="X494" i="1"/>
  <c r="U494" i="1" a="1"/>
  <c r="U494" i="1" s="1"/>
  <c r="S494" i="1" a="1"/>
  <c r="S494" i="1" s="1"/>
  <c r="N494" i="1"/>
  <c r="L494" i="1"/>
  <c r="J494" i="1"/>
  <c r="AC493" i="1"/>
  <c r="X493" i="1"/>
  <c r="U493" i="1" a="1"/>
  <c r="U493" i="1" s="1"/>
  <c r="S493" i="1"/>
  <c r="S493" i="1" a="1"/>
  <c r="N493" i="1"/>
  <c r="L493" i="1"/>
  <c r="J493" i="1"/>
  <c r="AC492" i="1"/>
  <c r="X492" i="1"/>
  <c r="U492" i="1" a="1"/>
  <c r="U492" i="1" s="1"/>
  <c r="S492" i="1" a="1"/>
  <c r="S492" i="1" s="1"/>
  <c r="N492" i="1"/>
  <c r="L492" i="1"/>
  <c r="J492" i="1"/>
  <c r="AC491" i="1"/>
  <c r="X491" i="1"/>
  <c r="U491" i="1" a="1"/>
  <c r="U491" i="1" s="1"/>
  <c r="S491" i="1"/>
  <c r="S491" i="1" a="1"/>
  <c r="N491" i="1"/>
  <c r="L491" i="1"/>
  <c r="J491" i="1"/>
  <c r="AC490" i="1"/>
  <c r="X490" i="1"/>
  <c r="U490" i="1" a="1"/>
  <c r="U490" i="1" s="1"/>
  <c r="S490" i="1" a="1"/>
  <c r="S490" i="1" s="1"/>
  <c r="N490" i="1"/>
  <c r="L490" i="1"/>
  <c r="J490" i="1"/>
  <c r="AC489" i="1"/>
  <c r="X489" i="1"/>
  <c r="U489" i="1"/>
  <c r="U489" i="1" a="1"/>
  <c r="S489" i="1"/>
  <c r="S489" i="1" a="1"/>
  <c r="N489" i="1"/>
  <c r="L489" i="1"/>
  <c r="J489" i="1"/>
  <c r="AC488" i="1"/>
  <c r="X488" i="1"/>
  <c r="U488" i="1" a="1"/>
  <c r="U488" i="1" s="1"/>
  <c r="S488" i="1" a="1"/>
  <c r="S488" i="1" s="1"/>
  <c r="N488" i="1"/>
  <c r="L488" i="1"/>
  <c r="J488" i="1"/>
  <c r="AC487" i="1"/>
  <c r="X487" i="1"/>
  <c r="U487" i="1" a="1"/>
  <c r="U487" i="1" s="1"/>
  <c r="S487" i="1" a="1"/>
  <c r="S487" i="1" s="1"/>
  <c r="N487" i="1"/>
  <c r="L487" i="1"/>
  <c r="J487" i="1"/>
  <c r="AC486" i="1"/>
  <c r="X486" i="1"/>
  <c r="U486" i="1" a="1"/>
  <c r="U486" i="1" s="1"/>
  <c r="S486" i="1"/>
  <c r="S486" i="1" a="1"/>
  <c r="N486" i="1"/>
  <c r="L486" i="1"/>
  <c r="J486" i="1"/>
  <c r="AC485" i="1"/>
  <c r="X485" i="1"/>
  <c r="U485" i="1"/>
  <c r="U485" i="1" a="1"/>
  <c r="S485" i="1"/>
  <c r="S485" i="1" a="1"/>
  <c r="N485" i="1"/>
  <c r="L485" i="1"/>
  <c r="J485" i="1"/>
  <c r="AC484" i="1"/>
  <c r="X484" i="1"/>
  <c r="U484" i="1" a="1"/>
  <c r="U484" i="1" s="1"/>
  <c r="S484" i="1" a="1"/>
  <c r="S484" i="1" s="1"/>
  <c r="N484" i="1"/>
  <c r="L484" i="1"/>
  <c r="J484" i="1"/>
  <c r="AC483" i="1"/>
  <c r="X483" i="1"/>
  <c r="U483" i="1" a="1"/>
  <c r="U483" i="1" s="1"/>
  <c r="S483" i="1" a="1"/>
  <c r="S483" i="1" s="1"/>
  <c r="N483" i="1"/>
  <c r="L483" i="1"/>
  <c r="J483" i="1"/>
  <c r="AC482" i="1"/>
  <c r="X482" i="1"/>
  <c r="U482" i="1" a="1"/>
  <c r="U482" i="1" s="1"/>
  <c r="S482" i="1"/>
  <c r="S482" i="1" a="1"/>
  <c r="N482" i="1"/>
  <c r="L482" i="1"/>
  <c r="J482" i="1"/>
  <c r="AC481" i="1"/>
  <c r="X481" i="1"/>
  <c r="U481" i="1" a="1"/>
  <c r="U481" i="1" s="1"/>
  <c r="S481" i="1"/>
  <c r="S481" i="1" a="1"/>
  <c r="N481" i="1"/>
  <c r="L481" i="1"/>
  <c r="J481" i="1"/>
  <c r="AC480" i="1"/>
  <c r="X480" i="1"/>
  <c r="U480" i="1" a="1"/>
  <c r="U480" i="1" s="1"/>
  <c r="S480" i="1" a="1"/>
  <c r="S480" i="1" s="1"/>
  <c r="N480" i="1"/>
  <c r="L480" i="1"/>
  <c r="J480" i="1"/>
  <c r="AC479" i="1"/>
  <c r="X479" i="1"/>
  <c r="U479" i="1"/>
  <c r="U479" i="1" a="1"/>
  <c r="S479" i="1" a="1"/>
  <c r="S479" i="1" s="1"/>
  <c r="N479" i="1"/>
  <c r="L479" i="1"/>
  <c r="J479" i="1"/>
  <c r="AC478" i="1"/>
  <c r="X478" i="1"/>
  <c r="U478" i="1" a="1"/>
  <c r="U478" i="1" s="1"/>
  <c r="S478" i="1" a="1"/>
  <c r="S478" i="1" s="1"/>
  <c r="N478" i="1"/>
  <c r="L478" i="1"/>
  <c r="J478" i="1"/>
  <c r="AC477" i="1"/>
  <c r="X477" i="1"/>
  <c r="U477" i="1" a="1"/>
  <c r="U477" i="1" s="1"/>
  <c r="S477" i="1"/>
  <c r="S477" i="1" a="1"/>
  <c r="N477" i="1"/>
  <c r="L477" i="1"/>
  <c r="J477" i="1"/>
  <c r="AC476" i="1"/>
  <c r="X476" i="1"/>
  <c r="U476" i="1" a="1"/>
  <c r="U476" i="1" s="1"/>
  <c r="S476" i="1" a="1"/>
  <c r="S476" i="1" s="1"/>
  <c r="N476" i="1"/>
  <c r="L476" i="1"/>
  <c r="J476" i="1"/>
  <c r="AC475" i="1"/>
  <c r="X475" i="1"/>
  <c r="U475" i="1"/>
  <c r="U475" i="1" a="1"/>
  <c r="S475" i="1" a="1"/>
  <c r="S475" i="1" s="1"/>
  <c r="N475" i="1"/>
  <c r="L475" i="1"/>
  <c r="J475" i="1"/>
  <c r="AC474" i="1"/>
  <c r="X474" i="1"/>
  <c r="U474" i="1" a="1"/>
  <c r="U474" i="1" s="1"/>
  <c r="S474" i="1" a="1"/>
  <c r="S474" i="1" s="1"/>
  <c r="N474" i="1"/>
  <c r="L474" i="1"/>
  <c r="J474" i="1"/>
  <c r="AC473" i="1"/>
  <c r="X473" i="1"/>
  <c r="U473" i="1" a="1"/>
  <c r="U473" i="1" s="1"/>
  <c r="S473" i="1"/>
  <c r="S473" i="1" a="1"/>
  <c r="N473" i="1"/>
  <c r="L473" i="1"/>
  <c r="J473" i="1"/>
  <c r="AC472" i="1"/>
  <c r="X472" i="1"/>
  <c r="U472" i="1" a="1"/>
  <c r="U472" i="1" s="1"/>
  <c r="S472" i="1" a="1"/>
  <c r="S472" i="1" s="1"/>
  <c r="N472" i="1"/>
  <c r="L472" i="1"/>
  <c r="J472" i="1"/>
  <c r="AC471" i="1"/>
  <c r="X471" i="1"/>
  <c r="U471" i="1"/>
  <c r="U471" i="1" a="1"/>
  <c r="S471" i="1"/>
  <c r="S471" i="1" a="1"/>
  <c r="N471" i="1"/>
  <c r="L471" i="1"/>
  <c r="J471" i="1"/>
  <c r="AC470" i="1"/>
  <c r="X470" i="1"/>
  <c r="U470" i="1" a="1"/>
  <c r="U470" i="1" s="1"/>
  <c r="S470" i="1" a="1"/>
  <c r="S470" i="1" s="1"/>
  <c r="N470" i="1"/>
  <c r="L470" i="1"/>
  <c r="J470" i="1"/>
  <c r="AC469" i="1"/>
  <c r="X469" i="1"/>
  <c r="U469" i="1" a="1"/>
  <c r="U469" i="1" s="1"/>
  <c r="S469" i="1"/>
  <c r="S469" i="1" a="1"/>
  <c r="N469" i="1"/>
  <c r="L469" i="1"/>
  <c r="J469" i="1"/>
  <c r="AC468" i="1"/>
  <c r="X468" i="1"/>
  <c r="U468" i="1" a="1"/>
  <c r="U468" i="1" s="1"/>
  <c r="S468" i="1" a="1"/>
  <c r="S468" i="1" s="1"/>
  <c r="N468" i="1"/>
  <c r="L468" i="1"/>
  <c r="J468" i="1"/>
  <c r="AC467" i="1"/>
  <c r="X467" i="1"/>
  <c r="U467" i="1" a="1"/>
  <c r="U467" i="1" s="1"/>
  <c r="S467" i="1"/>
  <c r="S467" i="1" a="1"/>
  <c r="N467" i="1"/>
  <c r="L467" i="1"/>
  <c r="J467" i="1"/>
  <c r="AC466" i="1"/>
  <c r="X466" i="1"/>
  <c r="U466" i="1" a="1"/>
  <c r="U466" i="1" s="1"/>
  <c r="S466" i="1" a="1"/>
  <c r="S466" i="1" s="1"/>
  <c r="N466" i="1"/>
  <c r="L466" i="1"/>
  <c r="J466" i="1"/>
  <c r="AC465" i="1"/>
  <c r="X465" i="1"/>
  <c r="U465" i="1" a="1"/>
  <c r="U465" i="1" s="1"/>
  <c r="S465" i="1"/>
  <c r="S465" i="1" a="1"/>
  <c r="N465" i="1"/>
  <c r="L465" i="1"/>
  <c r="J465" i="1"/>
  <c r="AC464" i="1"/>
  <c r="X464" i="1"/>
  <c r="U464" i="1"/>
  <c r="U464" i="1" a="1"/>
  <c r="S464" i="1" a="1"/>
  <c r="S464" i="1" s="1"/>
  <c r="N464" i="1"/>
  <c r="L464" i="1"/>
  <c r="J464" i="1"/>
  <c r="AC463" i="1"/>
  <c r="X463" i="1"/>
  <c r="U463" i="1" a="1"/>
  <c r="U463" i="1" s="1"/>
  <c r="S463" i="1" a="1"/>
  <c r="S463" i="1" s="1"/>
  <c r="N463" i="1"/>
  <c r="L463" i="1"/>
  <c r="J463" i="1"/>
  <c r="AC462" i="1"/>
  <c r="X462" i="1"/>
  <c r="U462" i="1" a="1"/>
  <c r="U462" i="1" s="1"/>
  <c r="S462" i="1"/>
  <c r="S462" i="1" a="1"/>
  <c r="N462" i="1"/>
  <c r="L462" i="1"/>
  <c r="J462" i="1"/>
  <c r="AC461" i="1"/>
  <c r="X461" i="1"/>
  <c r="U461" i="1" a="1"/>
  <c r="U461" i="1" s="1"/>
  <c r="S461" i="1"/>
  <c r="S461" i="1" a="1"/>
  <c r="N461" i="1"/>
  <c r="L461" i="1"/>
  <c r="J461" i="1"/>
  <c r="AC460" i="1"/>
  <c r="X460" i="1"/>
  <c r="U460" i="1" a="1"/>
  <c r="U460" i="1" s="1"/>
  <c r="S460" i="1" a="1"/>
  <c r="S460" i="1" s="1"/>
  <c r="N460" i="1"/>
  <c r="L460" i="1"/>
  <c r="J460" i="1"/>
  <c r="AC459" i="1"/>
  <c r="X459" i="1"/>
  <c r="U459" i="1" a="1"/>
  <c r="U459" i="1" s="1"/>
  <c r="S459" i="1" a="1"/>
  <c r="S459" i="1" s="1"/>
  <c r="N459" i="1"/>
  <c r="L459" i="1"/>
  <c r="J459" i="1"/>
  <c r="AC458" i="1"/>
  <c r="X458" i="1"/>
  <c r="U458" i="1" a="1"/>
  <c r="U458" i="1" s="1"/>
  <c r="S458" i="1" a="1"/>
  <c r="S458" i="1" s="1"/>
  <c r="N458" i="1"/>
  <c r="L458" i="1"/>
  <c r="J458" i="1"/>
  <c r="AC457" i="1"/>
  <c r="X457" i="1"/>
  <c r="U457" i="1" a="1"/>
  <c r="U457" i="1" s="1"/>
  <c r="S457" i="1"/>
  <c r="S457" i="1" a="1"/>
  <c r="N457" i="1"/>
  <c r="L457" i="1"/>
  <c r="J457" i="1"/>
  <c r="AC456" i="1"/>
  <c r="X456" i="1"/>
  <c r="U456" i="1"/>
  <c r="U456" i="1" a="1"/>
  <c r="S456" i="1"/>
  <c r="S456" i="1" a="1"/>
  <c r="N456" i="1"/>
  <c r="L456" i="1"/>
  <c r="J456" i="1"/>
  <c r="AC455" i="1"/>
  <c r="X455" i="1"/>
  <c r="U455" i="1" a="1"/>
  <c r="U455" i="1" s="1"/>
  <c r="S455" i="1" a="1"/>
  <c r="S455" i="1" s="1"/>
  <c r="N455" i="1"/>
  <c r="L455" i="1"/>
  <c r="J455" i="1"/>
  <c r="AC454" i="1"/>
  <c r="X454" i="1"/>
  <c r="U454" i="1" a="1"/>
  <c r="U454" i="1" s="1"/>
  <c r="S454" i="1" a="1"/>
  <c r="S454" i="1" s="1"/>
  <c r="N454" i="1"/>
  <c r="L454" i="1"/>
  <c r="J454" i="1"/>
  <c r="AC453" i="1"/>
  <c r="X453" i="1"/>
  <c r="U453" i="1"/>
  <c r="U453" i="1" a="1"/>
  <c r="S453" i="1"/>
  <c r="S453" i="1" a="1"/>
  <c r="N453" i="1"/>
  <c r="L453" i="1"/>
  <c r="J453" i="1"/>
  <c r="AC452" i="1"/>
  <c r="X452" i="1"/>
  <c r="U452" i="1" a="1"/>
  <c r="U452" i="1" s="1"/>
  <c r="S452" i="1" a="1"/>
  <c r="S452" i="1" s="1"/>
  <c r="N452" i="1"/>
  <c r="L452" i="1"/>
  <c r="J452" i="1"/>
  <c r="AC451" i="1"/>
  <c r="X451" i="1"/>
  <c r="U451" i="1"/>
  <c r="U451" i="1" a="1"/>
  <c r="S451" i="1"/>
  <c r="S451" i="1" a="1"/>
  <c r="N451" i="1"/>
  <c r="L451" i="1"/>
  <c r="J451" i="1"/>
  <c r="AC450" i="1"/>
  <c r="X450" i="1"/>
  <c r="U450" i="1" a="1"/>
  <c r="U450" i="1" s="1"/>
  <c r="S450" i="1" a="1"/>
  <c r="S450" i="1" s="1"/>
  <c r="N450" i="1"/>
  <c r="L450" i="1"/>
  <c r="J450" i="1"/>
  <c r="AC449" i="1"/>
  <c r="X449" i="1"/>
  <c r="U449" i="1" a="1"/>
  <c r="U449" i="1" s="1"/>
  <c r="S449" i="1"/>
  <c r="S449" i="1" a="1"/>
  <c r="N449" i="1"/>
  <c r="L449" i="1"/>
  <c r="J449" i="1"/>
  <c r="AC448" i="1"/>
  <c r="X448" i="1"/>
  <c r="U448" i="1"/>
  <c r="U448" i="1" a="1"/>
  <c r="S448" i="1"/>
  <c r="S448" i="1" a="1"/>
  <c r="N448" i="1"/>
  <c r="L448" i="1"/>
  <c r="J448" i="1"/>
  <c r="AC447" i="1"/>
  <c r="X447" i="1"/>
  <c r="U447" i="1" a="1"/>
  <c r="U447" i="1" s="1"/>
  <c r="S447" i="1" a="1"/>
  <c r="S447" i="1" s="1"/>
  <c r="N447" i="1"/>
  <c r="L447" i="1"/>
  <c r="J447" i="1"/>
  <c r="AC446" i="1"/>
  <c r="X446" i="1"/>
  <c r="U446" i="1" a="1"/>
  <c r="U446" i="1" s="1"/>
  <c r="S446" i="1" a="1"/>
  <c r="S446" i="1" s="1"/>
  <c r="N446" i="1"/>
  <c r="L446" i="1"/>
  <c r="J446" i="1"/>
  <c r="AC445" i="1"/>
  <c r="X445" i="1"/>
  <c r="U445" i="1" a="1"/>
  <c r="U445" i="1" s="1"/>
  <c r="S445" i="1"/>
  <c r="S445" i="1" a="1"/>
  <c r="N445" i="1"/>
  <c r="L445" i="1"/>
  <c r="J445" i="1"/>
  <c r="AC444" i="1"/>
  <c r="X444" i="1"/>
  <c r="U444" i="1" a="1"/>
  <c r="U444" i="1" s="1"/>
  <c r="S444" i="1"/>
  <c r="S444" i="1" a="1"/>
  <c r="N444" i="1"/>
  <c r="L444" i="1"/>
  <c r="J444" i="1"/>
  <c r="AC443" i="1"/>
  <c r="X443" i="1"/>
  <c r="U443" i="1" a="1"/>
  <c r="U443" i="1" s="1"/>
  <c r="S443" i="1" a="1"/>
  <c r="S443" i="1" s="1"/>
  <c r="N443" i="1"/>
  <c r="L443" i="1"/>
  <c r="J443" i="1"/>
  <c r="AC442" i="1"/>
  <c r="X442" i="1"/>
  <c r="U442" i="1" a="1"/>
  <c r="U442" i="1" s="1"/>
  <c r="S442" i="1" a="1"/>
  <c r="S442" i="1" s="1"/>
  <c r="N442" i="1"/>
  <c r="L442" i="1"/>
  <c r="J442" i="1"/>
  <c r="AC441" i="1"/>
  <c r="X441" i="1"/>
  <c r="U441" i="1" a="1"/>
  <c r="U441" i="1" s="1"/>
  <c r="S441" i="1" a="1"/>
  <c r="S441" i="1" s="1"/>
  <c r="N441" i="1"/>
  <c r="L441" i="1"/>
  <c r="J441" i="1"/>
  <c r="AC440" i="1"/>
  <c r="X440" i="1"/>
  <c r="U440" i="1" a="1"/>
  <c r="U440" i="1" s="1"/>
  <c r="S440" i="1" a="1"/>
  <c r="S440" i="1" s="1"/>
  <c r="N440" i="1"/>
  <c r="L440" i="1"/>
  <c r="J440" i="1"/>
  <c r="AC439" i="1"/>
  <c r="X439" i="1"/>
  <c r="U439" i="1" a="1"/>
  <c r="U439" i="1" s="1"/>
  <c r="S439" i="1" a="1"/>
  <c r="S439" i="1" s="1"/>
  <c r="N439" i="1"/>
  <c r="L439" i="1"/>
  <c r="J439" i="1"/>
  <c r="AC438" i="1"/>
  <c r="X438" i="1"/>
  <c r="U438" i="1" a="1"/>
  <c r="U438" i="1" s="1"/>
  <c r="S438" i="1"/>
  <c r="S438" i="1" a="1"/>
  <c r="N438" i="1"/>
  <c r="L438" i="1"/>
  <c r="J438" i="1"/>
  <c r="AC437" i="1"/>
  <c r="X437" i="1"/>
  <c r="U437" i="1" a="1"/>
  <c r="U437" i="1" s="1"/>
  <c r="S437" i="1" a="1"/>
  <c r="S437" i="1" s="1"/>
  <c r="N437" i="1"/>
  <c r="L437" i="1"/>
  <c r="J437" i="1"/>
  <c r="AC436" i="1"/>
  <c r="X436" i="1"/>
  <c r="U436" i="1" a="1"/>
  <c r="U436" i="1" s="1"/>
  <c r="S436" i="1" a="1"/>
  <c r="S436" i="1" s="1"/>
  <c r="N436" i="1"/>
  <c r="L436" i="1"/>
  <c r="J436" i="1"/>
  <c r="AC435" i="1"/>
  <c r="X435" i="1"/>
  <c r="U435" i="1"/>
  <c r="U435" i="1" a="1"/>
  <c r="S435" i="1" a="1"/>
  <c r="S435" i="1" s="1"/>
  <c r="N435" i="1"/>
  <c r="L435" i="1"/>
  <c r="J435" i="1"/>
  <c r="AC434" i="1"/>
  <c r="X434" i="1"/>
  <c r="U434" i="1" a="1"/>
  <c r="U434" i="1" s="1"/>
  <c r="S434" i="1" a="1"/>
  <c r="S434" i="1" s="1"/>
  <c r="N434" i="1"/>
  <c r="L434" i="1"/>
  <c r="J434" i="1"/>
  <c r="AC433" i="1"/>
  <c r="X433" i="1"/>
  <c r="U433" i="1" a="1"/>
  <c r="U433" i="1" s="1"/>
  <c r="S433" i="1" a="1"/>
  <c r="S433" i="1" s="1"/>
  <c r="N433" i="1"/>
  <c r="L433" i="1"/>
  <c r="J433" i="1"/>
  <c r="AC432" i="1"/>
  <c r="X432" i="1"/>
  <c r="U432" i="1"/>
  <c r="U432" i="1" a="1"/>
  <c r="S432" i="1" a="1"/>
  <c r="S432" i="1" s="1"/>
  <c r="N432" i="1"/>
  <c r="L432" i="1"/>
  <c r="J432" i="1"/>
  <c r="AC431" i="1"/>
  <c r="X431" i="1"/>
  <c r="U431" i="1" a="1"/>
  <c r="U431" i="1" s="1"/>
  <c r="S431" i="1"/>
  <c r="S431" i="1" a="1"/>
  <c r="N431" i="1"/>
  <c r="L431" i="1"/>
  <c r="J431" i="1"/>
  <c r="AC430" i="1"/>
  <c r="X430" i="1"/>
  <c r="U430" i="1" a="1"/>
  <c r="U430" i="1" s="1"/>
  <c r="S430" i="1" a="1"/>
  <c r="S430" i="1" s="1"/>
  <c r="N430" i="1"/>
  <c r="L430" i="1"/>
  <c r="J430" i="1"/>
  <c r="AC429" i="1"/>
  <c r="X429" i="1"/>
  <c r="U429" i="1" a="1"/>
  <c r="U429" i="1" s="1"/>
  <c r="S429" i="1" a="1"/>
  <c r="S429" i="1" s="1"/>
  <c r="N429" i="1"/>
  <c r="L429" i="1"/>
  <c r="J429" i="1"/>
  <c r="AC428" i="1"/>
  <c r="X428" i="1"/>
  <c r="U428" i="1" a="1"/>
  <c r="U428" i="1" s="1"/>
  <c r="S428" i="1"/>
  <c r="S428" i="1" a="1"/>
  <c r="N428" i="1"/>
  <c r="L428" i="1"/>
  <c r="J428" i="1"/>
  <c r="AC427" i="1"/>
  <c r="X427" i="1"/>
  <c r="U427" i="1" a="1"/>
  <c r="U427" i="1" s="1"/>
  <c r="S427" i="1" a="1"/>
  <c r="S427" i="1" s="1"/>
  <c r="N427" i="1"/>
  <c r="L427" i="1"/>
  <c r="J427" i="1"/>
  <c r="AC426" i="1"/>
  <c r="X426" i="1"/>
  <c r="U426" i="1" a="1"/>
  <c r="U426" i="1" s="1"/>
  <c r="S426" i="1" a="1"/>
  <c r="S426" i="1" s="1"/>
  <c r="N426" i="1"/>
  <c r="L426" i="1"/>
  <c r="J426" i="1"/>
  <c r="AC425" i="1"/>
  <c r="X425" i="1"/>
  <c r="U425" i="1" a="1"/>
  <c r="U425" i="1" s="1"/>
  <c r="S425" i="1" a="1"/>
  <c r="S425" i="1" s="1"/>
  <c r="N425" i="1"/>
  <c r="L425" i="1"/>
  <c r="J425" i="1"/>
  <c r="AC424" i="1"/>
  <c r="X424" i="1"/>
  <c r="U424" i="1" a="1"/>
  <c r="U424" i="1" s="1"/>
  <c r="S424" i="1" a="1"/>
  <c r="S424" i="1" s="1"/>
  <c r="N424" i="1"/>
  <c r="L424" i="1"/>
  <c r="J424" i="1"/>
  <c r="AC423" i="1"/>
  <c r="X423" i="1"/>
  <c r="U423" i="1"/>
  <c r="U423" i="1" a="1"/>
  <c r="S423" i="1" a="1"/>
  <c r="S423" i="1" s="1"/>
  <c r="N423" i="1"/>
  <c r="L423" i="1"/>
  <c r="J423" i="1"/>
  <c r="AC422" i="1"/>
  <c r="X422" i="1"/>
  <c r="U422" i="1" a="1"/>
  <c r="U422" i="1" s="1"/>
  <c r="S422" i="1"/>
  <c r="S422" i="1" a="1"/>
  <c r="N422" i="1"/>
  <c r="L422" i="1"/>
  <c r="J422" i="1"/>
  <c r="AC421" i="1"/>
  <c r="X421" i="1"/>
  <c r="U421" i="1" a="1"/>
  <c r="U421" i="1" s="1"/>
  <c r="S421" i="1" a="1"/>
  <c r="S421" i="1" s="1"/>
  <c r="N421" i="1"/>
  <c r="L421" i="1"/>
  <c r="J421" i="1"/>
  <c r="AC420" i="1"/>
  <c r="X420" i="1"/>
  <c r="U420" i="1" a="1"/>
  <c r="U420" i="1" s="1"/>
  <c r="S420" i="1" a="1"/>
  <c r="S420" i="1" s="1"/>
  <c r="N420" i="1"/>
  <c r="L420" i="1"/>
  <c r="J420" i="1"/>
  <c r="AC419" i="1"/>
  <c r="X419" i="1"/>
  <c r="U419" i="1"/>
  <c r="U419" i="1" a="1"/>
  <c r="S419" i="1"/>
  <c r="S419" i="1" a="1"/>
  <c r="N419" i="1"/>
  <c r="L419" i="1"/>
  <c r="J419" i="1"/>
  <c r="AC418" i="1"/>
  <c r="X418" i="1"/>
  <c r="U418" i="1" a="1"/>
  <c r="U418" i="1" s="1"/>
  <c r="S418" i="1" a="1"/>
  <c r="S418" i="1" s="1"/>
  <c r="N418" i="1"/>
  <c r="L418" i="1"/>
  <c r="J418" i="1"/>
  <c r="AC417" i="1"/>
  <c r="X417" i="1"/>
  <c r="U417" i="1" a="1"/>
  <c r="U417" i="1" s="1"/>
  <c r="S417" i="1" a="1"/>
  <c r="S417" i="1" s="1"/>
  <c r="N417" i="1"/>
  <c r="L417" i="1"/>
  <c r="J417" i="1"/>
  <c r="AC416" i="1"/>
  <c r="X416" i="1"/>
  <c r="U416" i="1"/>
  <c r="U416" i="1" a="1"/>
  <c r="S416" i="1"/>
  <c r="S416" i="1" a="1"/>
  <c r="N416" i="1"/>
  <c r="L416" i="1"/>
  <c r="J416" i="1"/>
  <c r="AC415" i="1"/>
  <c r="X415" i="1"/>
  <c r="U415" i="1" a="1"/>
  <c r="U415" i="1" s="1"/>
  <c r="S415" i="1" a="1"/>
  <c r="S415" i="1" s="1"/>
  <c r="N415" i="1"/>
  <c r="L415" i="1"/>
  <c r="J415" i="1"/>
  <c r="AC414" i="1"/>
  <c r="X414" i="1"/>
  <c r="U414" i="1" a="1"/>
  <c r="U414" i="1" s="1"/>
  <c r="S414" i="1"/>
  <c r="S414" i="1" a="1"/>
  <c r="N414" i="1"/>
  <c r="L414" i="1"/>
  <c r="J414" i="1"/>
  <c r="AC413" i="1"/>
  <c r="X413" i="1"/>
  <c r="U413" i="1"/>
  <c r="U413" i="1" a="1"/>
  <c r="S413" i="1" a="1"/>
  <c r="S413" i="1" s="1"/>
  <c r="N413" i="1"/>
  <c r="L413" i="1"/>
  <c r="J413" i="1"/>
  <c r="AC412" i="1"/>
  <c r="X412" i="1"/>
  <c r="U412" i="1" a="1"/>
  <c r="U412" i="1" s="1"/>
  <c r="S412" i="1" a="1"/>
  <c r="S412" i="1" s="1"/>
  <c r="N412" i="1"/>
  <c r="L412" i="1"/>
  <c r="J412" i="1"/>
  <c r="AC411" i="1"/>
  <c r="X411" i="1"/>
  <c r="U411" i="1"/>
  <c r="U411" i="1" a="1"/>
  <c r="S411" i="1" a="1"/>
  <c r="S411" i="1" s="1"/>
  <c r="N411" i="1"/>
  <c r="L411" i="1"/>
  <c r="J411" i="1"/>
  <c r="AC410" i="1"/>
  <c r="X410" i="1"/>
  <c r="U410" i="1" a="1"/>
  <c r="U410" i="1" s="1"/>
  <c r="S410" i="1"/>
  <c r="S410" i="1" a="1"/>
  <c r="N410" i="1"/>
  <c r="L410" i="1"/>
  <c r="J410" i="1"/>
  <c r="AC409" i="1"/>
  <c r="X409" i="1"/>
  <c r="U409" i="1" a="1"/>
  <c r="U409" i="1" s="1"/>
  <c r="S409" i="1" a="1"/>
  <c r="S409" i="1" s="1"/>
  <c r="N409" i="1"/>
  <c r="L409" i="1"/>
  <c r="J409" i="1"/>
  <c r="AC408" i="1"/>
  <c r="X408" i="1"/>
  <c r="U408" i="1"/>
  <c r="U408" i="1" a="1"/>
  <c r="S408" i="1" a="1"/>
  <c r="S408" i="1" s="1"/>
  <c r="N408" i="1"/>
  <c r="L408" i="1"/>
  <c r="J408" i="1"/>
  <c r="AC407" i="1"/>
  <c r="X407" i="1"/>
  <c r="U407" i="1"/>
  <c r="U407" i="1" a="1"/>
  <c r="S407" i="1"/>
  <c r="S407" i="1" a="1"/>
  <c r="N407" i="1"/>
  <c r="L407" i="1"/>
  <c r="J407" i="1"/>
  <c r="AC406" i="1"/>
  <c r="X406" i="1"/>
  <c r="U406" i="1" a="1"/>
  <c r="U406" i="1" s="1"/>
  <c r="S406" i="1" a="1"/>
  <c r="S406" i="1" s="1"/>
  <c r="N406" i="1"/>
  <c r="L406" i="1"/>
  <c r="J406" i="1"/>
  <c r="AC405" i="1"/>
  <c r="X405" i="1"/>
  <c r="U405" i="1" a="1"/>
  <c r="U405" i="1" s="1"/>
  <c r="S405" i="1" a="1"/>
  <c r="S405" i="1" s="1"/>
  <c r="N405" i="1"/>
  <c r="L405" i="1"/>
  <c r="J405" i="1"/>
  <c r="AC404" i="1"/>
  <c r="X404" i="1"/>
  <c r="U404" i="1" a="1"/>
  <c r="U404" i="1" s="1"/>
  <c r="S404" i="1"/>
  <c r="S404" i="1" a="1"/>
  <c r="N404" i="1"/>
  <c r="L404" i="1"/>
  <c r="J404" i="1"/>
  <c r="AC403" i="1"/>
  <c r="X403" i="1"/>
  <c r="U403" i="1" a="1"/>
  <c r="U403" i="1" s="1"/>
  <c r="S403" i="1"/>
  <c r="S403" i="1" a="1"/>
  <c r="N403" i="1"/>
  <c r="L403" i="1"/>
  <c r="J403" i="1"/>
  <c r="AC402" i="1"/>
  <c r="X402" i="1"/>
  <c r="U402" i="1" a="1"/>
  <c r="U402" i="1" s="1"/>
  <c r="S402" i="1" a="1"/>
  <c r="S402" i="1" s="1"/>
  <c r="N402" i="1"/>
  <c r="L402" i="1"/>
  <c r="J402" i="1"/>
  <c r="AC401" i="1"/>
  <c r="X401" i="1"/>
  <c r="U401" i="1" a="1"/>
  <c r="U401" i="1" s="1"/>
  <c r="S401" i="1" a="1"/>
  <c r="S401" i="1" s="1"/>
  <c r="N401" i="1"/>
  <c r="L401" i="1"/>
  <c r="J401" i="1"/>
  <c r="AC400" i="1"/>
  <c r="X400" i="1"/>
  <c r="U400" i="1" a="1"/>
  <c r="U400" i="1" s="1"/>
  <c r="S400" i="1"/>
  <c r="S400" i="1" a="1"/>
  <c r="N400" i="1"/>
  <c r="L400" i="1"/>
  <c r="J400" i="1"/>
  <c r="AC399" i="1"/>
  <c r="X399" i="1"/>
  <c r="U399" i="1" a="1"/>
  <c r="U399" i="1" s="1"/>
  <c r="S399" i="1" a="1"/>
  <c r="S399" i="1" s="1"/>
  <c r="N399" i="1"/>
  <c r="L399" i="1"/>
  <c r="J399" i="1"/>
  <c r="AC398" i="1"/>
  <c r="X398" i="1"/>
  <c r="U398" i="1" a="1"/>
  <c r="U398" i="1" s="1"/>
  <c r="S398" i="1" a="1"/>
  <c r="S398" i="1" s="1"/>
  <c r="N398" i="1"/>
  <c r="L398" i="1"/>
  <c r="J398" i="1"/>
  <c r="AC397" i="1"/>
  <c r="X397" i="1"/>
  <c r="U397" i="1"/>
  <c r="U397" i="1" a="1"/>
  <c r="S397" i="1" a="1"/>
  <c r="S397" i="1" s="1"/>
  <c r="N397" i="1"/>
  <c r="L397" i="1"/>
  <c r="J397" i="1"/>
  <c r="AC396" i="1"/>
  <c r="X396" i="1"/>
  <c r="U396" i="1" a="1"/>
  <c r="U396" i="1" s="1"/>
  <c r="S396" i="1" a="1"/>
  <c r="S396" i="1" s="1"/>
  <c r="N396" i="1"/>
  <c r="L396" i="1"/>
  <c r="J396" i="1"/>
  <c r="AC395" i="1"/>
  <c r="X395" i="1"/>
  <c r="U395" i="1" a="1"/>
  <c r="U395" i="1" s="1"/>
  <c r="S395" i="1" a="1"/>
  <c r="S395" i="1" s="1"/>
  <c r="N395" i="1"/>
  <c r="L395" i="1"/>
  <c r="J395" i="1"/>
  <c r="AC394" i="1"/>
  <c r="X394" i="1"/>
  <c r="U394" i="1" a="1"/>
  <c r="U394" i="1" s="1"/>
  <c r="S394" i="1" a="1"/>
  <c r="S394" i="1" s="1"/>
  <c r="N394" i="1"/>
  <c r="L394" i="1"/>
  <c r="J394" i="1"/>
  <c r="AC393" i="1"/>
  <c r="X393" i="1"/>
  <c r="U393" i="1" a="1"/>
  <c r="U393" i="1" s="1"/>
  <c r="S393" i="1" a="1"/>
  <c r="S393" i="1" s="1"/>
  <c r="N393" i="1"/>
  <c r="L393" i="1"/>
  <c r="J393" i="1"/>
  <c r="AC392" i="1"/>
  <c r="X392" i="1"/>
  <c r="U392" i="1" a="1"/>
  <c r="U392" i="1" s="1"/>
  <c r="S392" i="1" a="1"/>
  <c r="S392" i="1" s="1"/>
  <c r="N392" i="1"/>
  <c r="L392" i="1"/>
  <c r="J392" i="1"/>
  <c r="AC391" i="1"/>
  <c r="X391" i="1"/>
  <c r="U391" i="1" a="1"/>
  <c r="U391" i="1" s="1"/>
  <c r="S391" i="1" a="1"/>
  <c r="S391" i="1" s="1"/>
  <c r="N391" i="1"/>
  <c r="L391" i="1"/>
  <c r="J391" i="1"/>
  <c r="AC390" i="1"/>
  <c r="X390" i="1"/>
  <c r="U390" i="1" a="1"/>
  <c r="U390" i="1" s="1"/>
  <c r="S390" i="1"/>
  <c r="S390" i="1" a="1"/>
  <c r="N390" i="1"/>
  <c r="L390" i="1"/>
  <c r="J390" i="1"/>
  <c r="AC389" i="1"/>
  <c r="U389" i="1" a="1"/>
  <c r="U389" i="1" s="1"/>
  <c r="S389" i="1"/>
  <c r="S389" i="1" a="1"/>
  <c r="N389" i="1"/>
  <c r="L389" i="1"/>
  <c r="J389" i="1"/>
  <c r="AC388" i="1"/>
  <c r="U388" i="1" a="1"/>
  <c r="U388" i="1" s="1"/>
  <c r="S388" i="1"/>
  <c r="S388" i="1" a="1"/>
  <c r="N388" i="1"/>
  <c r="L388" i="1"/>
  <c r="J388" i="1"/>
  <c r="AC387" i="1"/>
  <c r="X387" i="1"/>
  <c r="U387" i="1" a="1"/>
  <c r="U387" i="1" s="1"/>
  <c r="S387" i="1" a="1"/>
  <c r="S387" i="1" s="1"/>
  <c r="N387" i="1"/>
  <c r="L387" i="1"/>
  <c r="J387" i="1"/>
  <c r="AC386" i="1"/>
  <c r="X386" i="1"/>
  <c r="U386" i="1"/>
  <c r="U386" i="1" a="1"/>
  <c r="S386" i="1" a="1"/>
  <c r="S386" i="1" s="1"/>
  <c r="N386" i="1"/>
  <c r="L386" i="1"/>
  <c r="J386" i="1"/>
  <c r="AC385" i="1"/>
  <c r="X385" i="1"/>
  <c r="U385" i="1"/>
  <c r="U385" i="1" a="1"/>
  <c r="S385" i="1" a="1"/>
  <c r="S385" i="1" s="1"/>
  <c r="N385" i="1"/>
  <c r="L385" i="1"/>
  <c r="J385" i="1"/>
  <c r="AC384" i="1"/>
  <c r="X384" i="1"/>
  <c r="U384" i="1" a="1"/>
  <c r="U384" i="1" s="1"/>
  <c r="S384" i="1" a="1"/>
  <c r="S384" i="1" s="1"/>
  <c r="N384" i="1"/>
  <c r="L384" i="1"/>
  <c r="J384" i="1"/>
  <c r="AC383" i="1"/>
  <c r="X383" i="1"/>
  <c r="U383" i="1" a="1"/>
  <c r="U383" i="1" s="1"/>
  <c r="S383" i="1"/>
  <c r="S383" i="1" a="1"/>
  <c r="N383" i="1"/>
  <c r="L383" i="1"/>
  <c r="J383" i="1"/>
  <c r="AC382" i="1"/>
  <c r="X382" i="1"/>
  <c r="U382" i="1"/>
  <c r="U382" i="1" a="1"/>
  <c r="S382" i="1" a="1"/>
  <c r="S382" i="1" s="1"/>
  <c r="N382" i="1"/>
  <c r="L382" i="1"/>
  <c r="J382" i="1"/>
  <c r="AC381" i="1"/>
  <c r="X381" i="1"/>
  <c r="U381" i="1" a="1"/>
  <c r="U381" i="1" s="1"/>
  <c r="S381" i="1" a="1"/>
  <c r="S381" i="1" s="1"/>
  <c r="N381" i="1"/>
  <c r="L381" i="1"/>
  <c r="J381" i="1"/>
  <c r="AC380" i="1"/>
  <c r="X380" i="1"/>
  <c r="U380" i="1"/>
  <c r="U380" i="1" a="1"/>
  <c r="S380" i="1" a="1"/>
  <c r="S380" i="1" s="1"/>
  <c r="N380" i="1"/>
  <c r="L380" i="1"/>
  <c r="J380" i="1"/>
  <c r="AC379" i="1"/>
  <c r="X379" i="1"/>
  <c r="U379" i="1"/>
  <c r="U379" i="1" a="1"/>
  <c r="S379" i="1" a="1"/>
  <c r="S379" i="1" s="1"/>
  <c r="N379" i="1"/>
  <c r="L379" i="1"/>
  <c r="J379" i="1"/>
  <c r="AC378" i="1"/>
  <c r="X378" i="1"/>
  <c r="U378" i="1"/>
  <c r="U378" i="1" a="1"/>
  <c r="S378" i="1" a="1"/>
  <c r="S378" i="1" s="1"/>
  <c r="N378" i="1"/>
  <c r="L378" i="1"/>
  <c r="J378" i="1"/>
  <c r="AC377" i="1"/>
  <c r="X377" i="1"/>
  <c r="U377" i="1" a="1"/>
  <c r="U377" i="1" s="1"/>
  <c r="S377" i="1"/>
  <c r="S377" i="1" a="1"/>
  <c r="N377" i="1"/>
  <c r="L377" i="1"/>
  <c r="J377" i="1"/>
  <c r="AC376" i="1"/>
  <c r="X376" i="1"/>
  <c r="U376" i="1" a="1"/>
  <c r="U376" i="1" s="1"/>
  <c r="S376" i="1" a="1"/>
  <c r="S376" i="1" s="1"/>
  <c r="N376" i="1"/>
  <c r="L376" i="1"/>
  <c r="J376" i="1"/>
  <c r="AC375" i="1"/>
  <c r="X375" i="1"/>
  <c r="U375" i="1" a="1"/>
  <c r="U375" i="1" s="1"/>
  <c r="S375" i="1"/>
  <c r="S375" i="1" a="1"/>
  <c r="N375" i="1"/>
  <c r="L375" i="1"/>
  <c r="J375" i="1"/>
  <c r="AC374" i="1"/>
  <c r="X374" i="1"/>
  <c r="U374" i="1"/>
  <c r="U374" i="1" a="1"/>
  <c r="S374" i="1" a="1"/>
  <c r="S374" i="1" s="1"/>
  <c r="N374" i="1"/>
  <c r="L374" i="1"/>
  <c r="J374" i="1"/>
  <c r="AC373" i="1"/>
  <c r="X373" i="1"/>
  <c r="U373" i="1" a="1"/>
  <c r="U373" i="1" s="1"/>
  <c r="S373" i="1" a="1"/>
  <c r="S373" i="1" s="1"/>
  <c r="N373" i="1"/>
  <c r="L373" i="1"/>
  <c r="J373" i="1"/>
  <c r="AC372" i="1"/>
  <c r="X372" i="1"/>
  <c r="U372" i="1" a="1"/>
  <c r="U372" i="1" s="1"/>
  <c r="S372" i="1"/>
  <c r="S372" i="1" a="1"/>
  <c r="N372" i="1"/>
  <c r="L372" i="1"/>
  <c r="J372" i="1"/>
  <c r="AC371" i="1"/>
  <c r="X371" i="1"/>
  <c r="U371" i="1" a="1"/>
  <c r="U371" i="1" s="1"/>
  <c r="S371" i="1" a="1"/>
  <c r="S371" i="1" s="1"/>
  <c r="N371" i="1"/>
  <c r="L371" i="1"/>
  <c r="J371" i="1"/>
  <c r="AC370" i="1"/>
  <c r="X370" i="1"/>
  <c r="U370" i="1"/>
  <c r="U370" i="1" a="1"/>
  <c r="S370" i="1" a="1"/>
  <c r="S370" i="1" s="1"/>
  <c r="N370" i="1"/>
  <c r="L370" i="1"/>
  <c r="J370" i="1"/>
  <c r="AC369" i="1"/>
  <c r="X369" i="1"/>
  <c r="U369" i="1"/>
  <c r="U369" i="1" a="1"/>
  <c r="S369" i="1" a="1"/>
  <c r="S369" i="1" s="1"/>
  <c r="N369" i="1"/>
  <c r="L369" i="1"/>
  <c r="J369" i="1"/>
  <c r="AC368" i="1"/>
  <c r="X368" i="1"/>
  <c r="U368" i="1"/>
  <c r="U368" i="1" a="1"/>
  <c r="S368" i="1" a="1"/>
  <c r="S368" i="1" s="1"/>
  <c r="N368" i="1"/>
  <c r="L368" i="1"/>
  <c r="J368" i="1"/>
  <c r="AC367" i="1"/>
  <c r="X367" i="1"/>
  <c r="U367" i="1" a="1"/>
  <c r="U367" i="1" s="1"/>
  <c r="S367" i="1" a="1"/>
  <c r="S367" i="1" s="1"/>
  <c r="N367" i="1"/>
  <c r="L367" i="1"/>
  <c r="J367" i="1"/>
  <c r="AC366" i="1"/>
  <c r="X366" i="1"/>
  <c r="U366" i="1"/>
  <c r="U366" i="1" a="1"/>
  <c r="S366" i="1" a="1"/>
  <c r="S366" i="1" s="1"/>
  <c r="N366" i="1"/>
  <c r="L366" i="1"/>
  <c r="J366" i="1"/>
  <c r="AC365" i="1"/>
  <c r="X365" i="1"/>
  <c r="U365" i="1" a="1"/>
  <c r="U365" i="1" s="1"/>
  <c r="S365" i="1" a="1"/>
  <c r="S365" i="1" s="1"/>
  <c r="N365" i="1"/>
  <c r="L365" i="1"/>
  <c r="J365" i="1"/>
  <c r="AC364" i="1"/>
  <c r="X364" i="1"/>
  <c r="U364" i="1" a="1"/>
  <c r="U364" i="1" s="1"/>
  <c r="S364" i="1" a="1"/>
  <c r="S364" i="1" s="1"/>
  <c r="N364" i="1"/>
  <c r="L364" i="1"/>
  <c r="J364" i="1"/>
  <c r="AC363" i="1"/>
  <c r="X363" i="1"/>
  <c r="U363" i="1" a="1"/>
  <c r="U363" i="1" s="1"/>
  <c r="S363" i="1" a="1"/>
  <c r="S363" i="1" s="1"/>
  <c r="N363" i="1"/>
  <c r="L363" i="1"/>
  <c r="J363" i="1"/>
  <c r="AC362" i="1"/>
  <c r="X362" i="1"/>
  <c r="U362" i="1"/>
  <c r="U362" i="1" a="1"/>
  <c r="S362" i="1" a="1"/>
  <c r="S362" i="1" s="1"/>
  <c r="N362" i="1"/>
  <c r="L362" i="1"/>
  <c r="J362" i="1"/>
  <c r="AC361" i="1"/>
  <c r="X361" i="1"/>
  <c r="U361" i="1" a="1"/>
  <c r="U361" i="1" s="1"/>
  <c r="S361" i="1"/>
  <c r="S361" i="1" a="1"/>
  <c r="N361" i="1"/>
  <c r="L361" i="1"/>
  <c r="J361" i="1"/>
  <c r="AC360" i="1"/>
  <c r="X360" i="1"/>
  <c r="U360" i="1" a="1"/>
  <c r="U360" i="1" s="1"/>
  <c r="S360" i="1" a="1"/>
  <c r="S360" i="1" s="1"/>
  <c r="N360" i="1"/>
  <c r="L360" i="1"/>
  <c r="J360" i="1"/>
  <c r="AC359" i="1"/>
  <c r="X359" i="1"/>
  <c r="U359" i="1" a="1"/>
  <c r="U359" i="1" s="1"/>
  <c r="S359" i="1" a="1"/>
  <c r="S359" i="1" s="1"/>
  <c r="N359" i="1"/>
  <c r="L359" i="1"/>
  <c r="J359" i="1"/>
  <c r="AC358" i="1"/>
  <c r="X358" i="1"/>
  <c r="U358" i="1"/>
  <c r="U358" i="1" a="1"/>
  <c r="S358" i="1" a="1"/>
  <c r="S358" i="1" s="1"/>
  <c r="N358" i="1"/>
  <c r="L358" i="1"/>
  <c r="J358" i="1"/>
  <c r="AC357" i="1"/>
  <c r="X357" i="1"/>
  <c r="U357" i="1" a="1"/>
  <c r="U357" i="1" s="1"/>
  <c r="S357" i="1" a="1"/>
  <c r="S357" i="1" s="1"/>
  <c r="N357" i="1"/>
  <c r="L357" i="1"/>
  <c r="J357" i="1"/>
  <c r="AC356" i="1"/>
  <c r="X356" i="1"/>
  <c r="U356" i="1" a="1"/>
  <c r="U356" i="1" s="1"/>
  <c r="S356" i="1" a="1"/>
  <c r="S356" i="1" s="1"/>
  <c r="N356" i="1"/>
  <c r="L356" i="1"/>
  <c r="J356" i="1"/>
  <c r="AC355" i="1"/>
  <c r="X355" i="1"/>
  <c r="U355" i="1" a="1"/>
  <c r="U355" i="1" s="1"/>
  <c r="S355" i="1" a="1"/>
  <c r="S355" i="1" s="1"/>
  <c r="N355" i="1"/>
  <c r="L355" i="1"/>
  <c r="J355" i="1"/>
  <c r="AC354" i="1"/>
  <c r="X354" i="1"/>
  <c r="U354" i="1"/>
  <c r="U354" i="1" a="1"/>
  <c r="S354" i="1" a="1"/>
  <c r="S354" i="1" s="1"/>
  <c r="N354" i="1"/>
  <c r="L354" i="1"/>
  <c r="J354" i="1"/>
  <c r="AC353" i="1"/>
  <c r="X353" i="1"/>
  <c r="U353" i="1" a="1"/>
  <c r="U353" i="1" s="1"/>
  <c r="S353" i="1"/>
  <c r="S353" i="1" a="1"/>
  <c r="N353" i="1"/>
  <c r="L353" i="1"/>
  <c r="J353" i="1"/>
  <c r="AC352" i="1"/>
  <c r="X352" i="1"/>
  <c r="U352" i="1" a="1"/>
  <c r="U352" i="1" s="1"/>
  <c r="S352" i="1" a="1"/>
  <c r="S352" i="1" s="1"/>
  <c r="N352" i="1"/>
  <c r="L352" i="1"/>
  <c r="J352" i="1"/>
  <c r="AC351" i="1"/>
  <c r="X351" i="1"/>
  <c r="U351" i="1" a="1"/>
  <c r="U351" i="1" s="1"/>
  <c r="S351" i="1" a="1"/>
  <c r="S351" i="1" s="1"/>
  <c r="N351" i="1"/>
  <c r="L351" i="1"/>
  <c r="J351" i="1"/>
  <c r="AC350" i="1"/>
  <c r="X350" i="1"/>
  <c r="U350" i="1"/>
  <c r="U350" i="1" a="1"/>
  <c r="S350" i="1" a="1"/>
  <c r="S350" i="1" s="1"/>
  <c r="N350" i="1"/>
  <c r="L350" i="1"/>
  <c r="J350" i="1"/>
  <c r="AC349" i="1"/>
  <c r="X349" i="1"/>
  <c r="U349" i="1" a="1"/>
  <c r="U349" i="1" s="1"/>
  <c r="S349" i="1" a="1"/>
  <c r="S349" i="1" s="1"/>
  <c r="N349" i="1"/>
  <c r="L349" i="1"/>
  <c r="J349" i="1"/>
  <c r="AC348" i="1"/>
  <c r="X348" i="1"/>
  <c r="U348" i="1" a="1"/>
  <c r="U348" i="1" s="1"/>
  <c r="S348" i="1" a="1"/>
  <c r="S348" i="1" s="1"/>
  <c r="N348" i="1"/>
  <c r="L348" i="1"/>
  <c r="J348" i="1"/>
  <c r="AC347" i="1"/>
  <c r="X347" i="1"/>
  <c r="U347" i="1" a="1"/>
  <c r="U347" i="1" s="1"/>
  <c r="S347" i="1" a="1"/>
  <c r="S347" i="1" s="1"/>
  <c r="N347" i="1"/>
  <c r="L347" i="1"/>
  <c r="J347" i="1"/>
  <c r="AC346" i="1"/>
  <c r="X346" i="1"/>
  <c r="U346" i="1"/>
  <c r="U346" i="1" a="1"/>
  <c r="S346" i="1" a="1"/>
  <c r="S346" i="1" s="1"/>
  <c r="N346" i="1"/>
  <c r="L346" i="1"/>
  <c r="J346" i="1"/>
  <c r="AC345" i="1"/>
  <c r="X345" i="1"/>
  <c r="U345" i="1" a="1"/>
  <c r="U345" i="1" s="1"/>
  <c r="S345" i="1" a="1"/>
  <c r="S345" i="1" s="1"/>
  <c r="N345" i="1"/>
  <c r="L345" i="1"/>
  <c r="J345" i="1"/>
  <c r="AC344" i="1"/>
  <c r="X344" i="1"/>
  <c r="U344" i="1" a="1"/>
  <c r="U344" i="1" s="1"/>
  <c r="S344" i="1" a="1"/>
  <c r="S344" i="1" s="1"/>
  <c r="N344" i="1"/>
  <c r="L344" i="1"/>
  <c r="J344" i="1"/>
  <c r="AC343" i="1"/>
  <c r="X343" i="1"/>
  <c r="U343" i="1"/>
  <c r="U343" i="1" a="1"/>
  <c r="S343" i="1" a="1"/>
  <c r="S343" i="1" s="1"/>
  <c r="N343" i="1"/>
  <c r="L343" i="1"/>
  <c r="J343" i="1"/>
  <c r="AC342" i="1"/>
  <c r="X342" i="1"/>
  <c r="U342" i="1"/>
  <c r="U342" i="1" a="1"/>
  <c r="S342" i="1" a="1"/>
  <c r="S342" i="1" s="1"/>
  <c r="N342" i="1"/>
  <c r="L342" i="1"/>
  <c r="J342" i="1"/>
  <c r="AC341" i="1"/>
  <c r="X341" i="1"/>
  <c r="U341" i="1" a="1"/>
  <c r="U341" i="1" s="1"/>
  <c r="S341" i="1"/>
  <c r="S341" i="1" a="1"/>
  <c r="N341" i="1"/>
  <c r="L341" i="1"/>
  <c r="J341" i="1"/>
  <c r="AC340" i="1"/>
  <c r="X340" i="1"/>
  <c r="U340" i="1" a="1"/>
  <c r="U340" i="1" s="1"/>
  <c r="S340" i="1" a="1"/>
  <c r="S340" i="1" s="1"/>
  <c r="N340" i="1"/>
  <c r="L340" i="1"/>
  <c r="J340" i="1"/>
  <c r="AC339" i="1"/>
  <c r="X339" i="1"/>
  <c r="U339" i="1" a="1"/>
  <c r="U339" i="1" s="1"/>
  <c r="S339" i="1" a="1"/>
  <c r="S339" i="1" s="1"/>
  <c r="N339" i="1"/>
  <c r="L339" i="1"/>
  <c r="J339" i="1"/>
  <c r="AC338" i="1"/>
  <c r="X338" i="1"/>
  <c r="U338" i="1"/>
  <c r="U338" i="1" a="1"/>
  <c r="S338" i="1" a="1"/>
  <c r="S338" i="1" s="1"/>
  <c r="N338" i="1"/>
  <c r="L338" i="1"/>
  <c r="J338" i="1"/>
  <c r="AC337" i="1"/>
  <c r="X337" i="1"/>
  <c r="U337" i="1" a="1"/>
  <c r="U337" i="1" s="1"/>
  <c r="S337" i="1" a="1"/>
  <c r="S337" i="1" s="1"/>
  <c r="N337" i="1"/>
  <c r="L337" i="1"/>
  <c r="J337" i="1"/>
  <c r="AC336" i="1"/>
  <c r="X336" i="1"/>
  <c r="U336" i="1" a="1"/>
  <c r="U336" i="1" s="1"/>
  <c r="S336" i="1" a="1"/>
  <c r="S336" i="1" s="1"/>
  <c r="N336" i="1"/>
  <c r="L336" i="1"/>
  <c r="J336" i="1"/>
  <c r="AC335" i="1"/>
  <c r="X335" i="1"/>
  <c r="U335" i="1" a="1"/>
  <c r="U335" i="1" s="1"/>
  <c r="S335" i="1"/>
  <c r="S335" i="1" a="1"/>
  <c r="N335" i="1"/>
  <c r="L335" i="1"/>
  <c r="J335" i="1"/>
  <c r="AC334" i="1"/>
  <c r="X334" i="1"/>
  <c r="U334" i="1"/>
  <c r="U334" i="1" a="1"/>
  <c r="S334" i="1" a="1"/>
  <c r="S334" i="1" s="1"/>
  <c r="N334" i="1"/>
  <c r="L334" i="1"/>
  <c r="J334" i="1"/>
  <c r="AC333" i="1"/>
  <c r="X333" i="1"/>
  <c r="U333" i="1" a="1"/>
  <c r="U333" i="1" s="1"/>
  <c r="S333" i="1" a="1"/>
  <c r="S333" i="1" s="1"/>
  <c r="N333" i="1"/>
  <c r="L333" i="1"/>
  <c r="J333" i="1"/>
  <c r="AC332" i="1"/>
  <c r="X332" i="1"/>
  <c r="U332" i="1"/>
  <c r="U332" i="1" a="1"/>
  <c r="S332" i="1" a="1"/>
  <c r="S332" i="1" s="1"/>
  <c r="N332" i="1"/>
  <c r="L332" i="1"/>
  <c r="J332" i="1"/>
  <c r="AC331" i="1"/>
  <c r="X331" i="1"/>
  <c r="U331" i="1"/>
  <c r="U331" i="1" a="1"/>
  <c r="S331" i="1" a="1"/>
  <c r="S331" i="1" s="1"/>
  <c r="N331" i="1"/>
  <c r="L331" i="1"/>
  <c r="J331" i="1"/>
  <c r="AC330" i="1"/>
  <c r="X330" i="1"/>
  <c r="U330" i="1"/>
  <c r="U330" i="1" a="1"/>
  <c r="S330" i="1" a="1"/>
  <c r="S330" i="1" s="1"/>
  <c r="N330" i="1"/>
  <c r="L330" i="1"/>
  <c r="J330" i="1"/>
  <c r="AC329" i="1"/>
  <c r="X329" i="1"/>
  <c r="U329" i="1" a="1"/>
  <c r="U329" i="1" s="1"/>
  <c r="S329" i="1"/>
  <c r="S329" i="1" a="1"/>
  <c r="N329" i="1"/>
  <c r="L329" i="1"/>
  <c r="J329" i="1"/>
  <c r="AC328" i="1"/>
  <c r="X328" i="1"/>
  <c r="U328" i="1" a="1"/>
  <c r="U328" i="1" s="1"/>
  <c r="S328" i="1" a="1"/>
  <c r="S328" i="1" s="1"/>
  <c r="N328" i="1"/>
  <c r="L328" i="1"/>
  <c r="J328" i="1"/>
  <c r="AC327" i="1"/>
  <c r="X327" i="1"/>
  <c r="U327" i="1" a="1"/>
  <c r="U327" i="1" s="1"/>
  <c r="S327" i="1" a="1"/>
  <c r="S327" i="1" s="1"/>
  <c r="N327" i="1"/>
  <c r="L327" i="1"/>
  <c r="J327" i="1"/>
  <c r="AC326" i="1"/>
  <c r="X326" i="1"/>
  <c r="U326" i="1"/>
  <c r="U326" i="1" a="1"/>
  <c r="S326" i="1" a="1"/>
  <c r="S326" i="1" s="1"/>
  <c r="N326" i="1"/>
  <c r="L326" i="1"/>
  <c r="J326" i="1"/>
  <c r="AC325" i="1"/>
  <c r="X325" i="1"/>
  <c r="U325" i="1" a="1"/>
  <c r="U325" i="1" s="1"/>
  <c r="S325" i="1" a="1"/>
  <c r="S325" i="1" s="1"/>
  <c r="N325" i="1"/>
  <c r="L325" i="1"/>
  <c r="J325" i="1"/>
  <c r="AC324" i="1"/>
  <c r="X324" i="1"/>
  <c r="U324" i="1" a="1"/>
  <c r="U324" i="1" s="1"/>
  <c r="S324" i="1"/>
  <c r="S324" i="1" a="1"/>
  <c r="N324" i="1"/>
  <c r="L324" i="1"/>
  <c r="J324" i="1"/>
  <c r="AC323" i="1"/>
  <c r="X323" i="1"/>
  <c r="U323" i="1"/>
  <c r="U323" i="1" a="1"/>
  <c r="S323" i="1" a="1"/>
  <c r="S323" i="1" s="1"/>
  <c r="N323" i="1"/>
  <c r="L323" i="1"/>
  <c r="J323" i="1"/>
  <c r="AC322" i="1"/>
  <c r="X322" i="1"/>
  <c r="U322" i="1"/>
  <c r="U322" i="1" a="1"/>
  <c r="S322" i="1" a="1"/>
  <c r="S322" i="1" s="1"/>
  <c r="N322" i="1"/>
  <c r="L322" i="1"/>
  <c r="J322" i="1"/>
  <c r="X321" i="1"/>
  <c r="U321" i="1" a="1"/>
  <c r="U321" i="1" s="1"/>
  <c r="S321" i="1" a="1"/>
  <c r="S321" i="1" s="1"/>
  <c r="X320" i="1"/>
  <c r="U320" i="1"/>
  <c r="U320" i="1" a="1"/>
  <c r="S320" i="1"/>
  <c r="S320" i="1" a="1"/>
  <c r="X319" i="1"/>
  <c r="U319" i="1" a="1"/>
  <c r="U319" i="1" s="1"/>
  <c r="S319" i="1" a="1"/>
  <c r="S319" i="1" s="1"/>
  <c r="X318" i="1"/>
  <c r="U318" i="1" a="1"/>
  <c r="U318" i="1" s="1"/>
  <c r="S318" i="1" a="1"/>
  <c r="S318" i="1" s="1"/>
  <c r="AC317" i="1"/>
  <c r="X317" i="1"/>
  <c r="U317" i="1"/>
  <c r="U317" i="1" a="1"/>
  <c r="S317" i="1"/>
  <c r="S317" i="1" a="1"/>
  <c r="N317" i="1"/>
  <c r="L317" i="1"/>
  <c r="J317" i="1"/>
  <c r="AC316" i="1"/>
  <c r="X316" i="1"/>
  <c r="U316" i="1" a="1"/>
  <c r="U316" i="1" s="1"/>
  <c r="S316" i="1" a="1"/>
  <c r="S316" i="1" s="1"/>
  <c r="N316" i="1"/>
  <c r="L316" i="1"/>
  <c r="J316" i="1"/>
  <c r="AC315" i="1"/>
  <c r="X315" i="1"/>
  <c r="U315" i="1"/>
  <c r="U315" i="1" a="1"/>
  <c r="S315" i="1" a="1"/>
  <c r="S315" i="1" s="1"/>
  <c r="N315" i="1"/>
  <c r="L315" i="1"/>
  <c r="J315" i="1"/>
  <c r="AC314" i="1"/>
  <c r="X314" i="1"/>
  <c r="U314" i="1"/>
  <c r="U314" i="1" a="1"/>
  <c r="S314" i="1" a="1"/>
  <c r="S314" i="1" s="1"/>
  <c r="N314" i="1"/>
  <c r="L314" i="1"/>
  <c r="J314" i="1"/>
  <c r="AC313" i="1"/>
  <c r="X313" i="1"/>
  <c r="U313" i="1" a="1"/>
  <c r="U313" i="1" s="1"/>
  <c r="S313" i="1"/>
  <c r="S313" i="1" a="1"/>
  <c r="N313" i="1"/>
  <c r="L313" i="1"/>
  <c r="J313" i="1"/>
  <c r="AC312" i="1"/>
  <c r="X312" i="1"/>
  <c r="U312" i="1" a="1"/>
  <c r="U312" i="1" s="1"/>
  <c r="S312" i="1" a="1"/>
  <c r="S312" i="1" s="1"/>
  <c r="N312" i="1"/>
  <c r="L312" i="1"/>
  <c r="J312" i="1"/>
  <c r="AC311" i="1"/>
  <c r="X311" i="1"/>
  <c r="U311" i="1"/>
  <c r="U311" i="1" a="1"/>
  <c r="S311" i="1" a="1"/>
  <c r="S311" i="1" s="1"/>
  <c r="N311" i="1"/>
  <c r="L311" i="1"/>
  <c r="J311" i="1"/>
  <c r="AC310" i="1"/>
  <c r="X310" i="1"/>
  <c r="U310" i="1" a="1"/>
  <c r="U310" i="1" s="1"/>
  <c r="S310" i="1"/>
  <c r="S310" i="1" a="1"/>
  <c r="N310" i="1"/>
  <c r="L310" i="1"/>
  <c r="J310" i="1"/>
  <c r="AC309" i="1"/>
  <c r="X309" i="1"/>
  <c r="U309" i="1" a="1"/>
  <c r="U309" i="1" s="1"/>
  <c r="S309" i="1" a="1"/>
  <c r="S309" i="1" s="1"/>
  <c r="N309" i="1"/>
  <c r="L309" i="1"/>
  <c r="J309" i="1"/>
  <c r="AC308" i="1"/>
  <c r="X308" i="1"/>
  <c r="U308" i="1" a="1"/>
  <c r="U308" i="1" s="1"/>
  <c r="S308" i="1" a="1"/>
  <c r="S308" i="1" s="1"/>
  <c r="N308" i="1"/>
  <c r="L308" i="1"/>
  <c r="J308" i="1"/>
  <c r="AC307" i="1"/>
  <c r="X307" i="1"/>
  <c r="U307" i="1" a="1"/>
  <c r="U307" i="1" s="1"/>
  <c r="S307" i="1" a="1"/>
  <c r="S307" i="1" s="1"/>
  <c r="N307" i="1"/>
  <c r="L307" i="1"/>
  <c r="J307" i="1"/>
  <c r="AC306" i="1"/>
  <c r="X306" i="1"/>
  <c r="U306" i="1" a="1"/>
  <c r="U306" i="1" s="1"/>
  <c r="S306" i="1" a="1"/>
  <c r="S306" i="1" s="1"/>
  <c r="N306" i="1"/>
  <c r="L306" i="1"/>
  <c r="J306" i="1"/>
  <c r="AC305" i="1"/>
  <c r="X305" i="1"/>
  <c r="U305" i="1" a="1"/>
  <c r="U305" i="1" s="1"/>
  <c r="S305" i="1" a="1"/>
  <c r="S305" i="1" s="1"/>
  <c r="N305" i="1"/>
  <c r="L305" i="1"/>
  <c r="J305" i="1"/>
  <c r="AC304" i="1"/>
  <c r="X304" i="1"/>
  <c r="U304" i="1" a="1"/>
  <c r="U304" i="1" s="1"/>
  <c r="S304" i="1" a="1"/>
  <c r="S304" i="1" s="1"/>
  <c r="N304" i="1"/>
  <c r="L304" i="1"/>
  <c r="J304" i="1"/>
  <c r="AC303" i="1"/>
  <c r="X303" i="1"/>
  <c r="U303" i="1" a="1"/>
  <c r="U303" i="1" s="1"/>
  <c r="S303" i="1" a="1"/>
  <c r="S303" i="1" s="1"/>
  <c r="N303" i="1"/>
  <c r="L303" i="1"/>
  <c r="J303" i="1"/>
  <c r="AC302" i="1"/>
  <c r="X302" i="1"/>
  <c r="U302" i="1" a="1"/>
  <c r="U302" i="1" s="1"/>
  <c r="S302" i="1" a="1"/>
  <c r="S302" i="1" s="1"/>
  <c r="N302" i="1"/>
  <c r="L302" i="1"/>
  <c r="J302" i="1"/>
  <c r="AC301" i="1"/>
  <c r="X301" i="1"/>
  <c r="U301" i="1" a="1"/>
  <c r="U301" i="1" s="1"/>
  <c r="S301" i="1" a="1"/>
  <c r="S301" i="1" s="1"/>
  <c r="N301" i="1"/>
  <c r="L301" i="1"/>
  <c r="J301" i="1"/>
  <c r="AC300" i="1"/>
  <c r="X300" i="1"/>
  <c r="U300" i="1" a="1"/>
  <c r="U300" i="1" s="1"/>
  <c r="S300" i="1" a="1"/>
  <c r="S300" i="1" s="1"/>
  <c r="N300" i="1"/>
  <c r="L300" i="1"/>
  <c r="J300" i="1"/>
  <c r="AC299" i="1"/>
  <c r="X299" i="1"/>
  <c r="U299" i="1"/>
  <c r="U299" i="1" a="1"/>
  <c r="S299" i="1" a="1"/>
  <c r="S299" i="1" s="1"/>
  <c r="N299" i="1"/>
  <c r="L299" i="1"/>
  <c r="J299" i="1"/>
  <c r="AC298" i="1"/>
  <c r="X298" i="1"/>
  <c r="U298" i="1"/>
  <c r="U298" i="1" a="1"/>
  <c r="S298" i="1" a="1"/>
  <c r="S298" i="1" s="1"/>
  <c r="N298" i="1"/>
  <c r="L298" i="1"/>
  <c r="J298" i="1"/>
  <c r="AC297" i="1"/>
  <c r="X297" i="1"/>
  <c r="U297" i="1" a="1"/>
  <c r="U297" i="1" s="1"/>
  <c r="S297" i="1" a="1"/>
  <c r="S297" i="1" s="1"/>
  <c r="N297" i="1"/>
  <c r="L297" i="1"/>
  <c r="J297" i="1"/>
  <c r="AC296" i="1"/>
  <c r="X296" i="1"/>
  <c r="U296" i="1" a="1"/>
  <c r="U296" i="1" s="1"/>
  <c r="S296" i="1" a="1"/>
  <c r="S296" i="1" s="1"/>
  <c r="N296" i="1"/>
  <c r="L296" i="1"/>
  <c r="J296" i="1"/>
  <c r="AC295" i="1"/>
  <c r="X295" i="1"/>
  <c r="U295" i="1" a="1"/>
  <c r="U295" i="1" s="1"/>
  <c r="S295" i="1" a="1"/>
  <c r="S295" i="1" s="1"/>
  <c r="N295" i="1"/>
  <c r="L295" i="1"/>
  <c r="J295" i="1"/>
  <c r="AC294" i="1"/>
  <c r="X294" i="1"/>
  <c r="U294" i="1" a="1"/>
  <c r="U294" i="1" s="1"/>
  <c r="S294" i="1"/>
  <c r="S294" i="1" a="1"/>
  <c r="N294" i="1"/>
  <c r="L294" i="1"/>
  <c r="J294" i="1"/>
  <c r="AC293" i="1"/>
  <c r="X293" i="1"/>
  <c r="U293" i="1" a="1"/>
  <c r="U293" i="1" s="1"/>
  <c r="S293" i="1" a="1"/>
  <c r="S293" i="1" s="1"/>
  <c r="N293" i="1"/>
  <c r="L293" i="1"/>
  <c r="J293" i="1"/>
  <c r="AC292" i="1"/>
  <c r="X292" i="1"/>
  <c r="U292" i="1" a="1"/>
  <c r="U292" i="1" s="1"/>
  <c r="S292" i="1"/>
  <c r="S292" i="1" a="1"/>
  <c r="N292" i="1"/>
  <c r="L292" i="1"/>
  <c r="J292" i="1"/>
  <c r="AC291" i="1"/>
  <c r="X291" i="1"/>
  <c r="U291" i="1"/>
  <c r="U291" i="1" a="1"/>
  <c r="S291" i="1" a="1"/>
  <c r="S291" i="1" s="1"/>
  <c r="N291" i="1"/>
  <c r="L291" i="1"/>
  <c r="J291" i="1"/>
  <c r="AC290" i="1"/>
  <c r="X290" i="1"/>
  <c r="U290" i="1" a="1"/>
  <c r="U290" i="1" s="1"/>
  <c r="S290" i="1" a="1"/>
  <c r="S290" i="1" s="1"/>
  <c r="N290" i="1"/>
  <c r="L290" i="1"/>
  <c r="J290" i="1"/>
  <c r="X289" i="1"/>
  <c r="U289" i="1"/>
  <c r="U289" i="1" a="1"/>
  <c r="S289" i="1"/>
  <c r="S289" i="1" a="1"/>
  <c r="N289" i="1"/>
  <c r="L289" i="1"/>
  <c r="J289" i="1"/>
  <c r="X288" i="1"/>
  <c r="U288" i="1"/>
  <c r="U288" i="1" a="1"/>
  <c r="S288" i="1" a="1"/>
  <c r="S288" i="1" s="1"/>
  <c r="N288" i="1"/>
  <c r="L288" i="1"/>
  <c r="J288" i="1"/>
  <c r="X287" i="1"/>
  <c r="U287" i="1" a="1"/>
  <c r="U287" i="1" s="1"/>
  <c r="S287" i="1" a="1"/>
  <c r="S287" i="1" s="1"/>
  <c r="N287" i="1"/>
  <c r="L287" i="1"/>
  <c r="J287" i="1"/>
  <c r="AC286" i="1"/>
  <c r="X286" i="1"/>
  <c r="U286" i="1"/>
  <c r="U286" i="1" a="1"/>
  <c r="S286" i="1"/>
  <c r="S286" i="1" a="1"/>
  <c r="N286" i="1"/>
  <c r="L286" i="1"/>
  <c r="J286" i="1"/>
  <c r="AC285" i="1"/>
  <c r="X285" i="1"/>
  <c r="U285" i="1" a="1"/>
  <c r="U285" i="1" s="1"/>
  <c r="S285" i="1" a="1"/>
  <c r="S285" i="1" s="1"/>
  <c r="N285" i="1"/>
  <c r="L285" i="1"/>
  <c r="J285" i="1"/>
  <c r="AC284" i="1"/>
  <c r="X284" i="1"/>
  <c r="U284" i="1" a="1"/>
  <c r="U284" i="1" s="1"/>
  <c r="S284" i="1" a="1"/>
  <c r="S284" i="1" s="1"/>
  <c r="N284" i="1"/>
  <c r="L284" i="1"/>
  <c r="J284" i="1"/>
  <c r="AC283" i="1"/>
  <c r="X283" i="1"/>
  <c r="U283" i="1"/>
  <c r="U283" i="1" a="1"/>
  <c r="S283" i="1"/>
  <c r="S283" i="1" a="1"/>
  <c r="N283" i="1"/>
  <c r="L283" i="1"/>
  <c r="J283" i="1"/>
  <c r="AC282" i="1"/>
  <c r="X282" i="1"/>
  <c r="U282" i="1" a="1"/>
  <c r="U282" i="1" s="1"/>
  <c r="S282" i="1" a="1"/>
  <c r="S282" i="1" s="1"/>
  <c r="N282" i="1"/>
  <c r="L282" i="1"/>
  <c r="J282" i="1"/>
  <c r="AC281" i="1"/>
  <c r="X281" i="1"/>
  <c r="U281" i="1" a="1"/>
  <c r="U281" i="1" s="1"/>
  <c r="S281" i="1" a="1"/>
  <c r="S281" i="1" s="1"/>
  <c r="N281" i="1"/>
  <c r="L281" i="1"/>
  <c r="J281" i="1"/>
  <c r="AC280" i="1"/>
  <c r="X280" i="1"/>
  <c r="U280" i="1"/>
  <c r="U280" i="1" a="1"/>
  <c r="S280" i="1" a="1"/>
  <c r="S280" i="1" s="1"/>
  <c r="N280" i="1"/>
  <c r="L280" i="1"/>
  <c r="J280" i="1"/>
  <c r="AC279" i="1"/>
  <c r="X279" i="1"/>
  <c r="U279" i="1" a="1"/>
  <c r="U279" i="1" s="1"/>
  <c r="S279" i="1" a="1"/>
  <c r="S279" i="1" s="1"/>
  <c r="N279" i="1"/>
  <c r="L279" i="1"/>
  <c r="J279" i="1"/>
  <c r="AC278" i="1"/>
  <c r="X278" i="1"/>
  <c r="U278" i="1" a="1"/>
  <c r="U278" i="1" s="1"/>
  <c r="S278" i="1" a="1"/>
  <c r="S278" i="1" s="1"/>
  <c r="N278" i="1"/>
  <c r="L278" i="1"/>
  <c r="J278" i="1"/>
  <c r="AC277" i="1"/>
  <c r="X277" i="1"/>
  <c r="U277" i="1"/>
  <c r="U277" i="1" a="1"/>
  <c r="S277" i="1"/>
  <c r="S277" i="1" a="1"/>
  <c r="N277" i="1"/>
  <c r="L277" i="1"/>
  <c r="J277" i="1"/>
  <c r="AC276" i="1"/>
  <c r="X276" i="1"/>
  <c r="U276" i="1" a="1"/>
  <c r="U276" i="1" s="1"/>
  <c r="S276" i="1" a="1"/>
  <c r="S276" i="1" s="1"/>
  <c r="N276" i="1"/>
  <c r="L276" i="1"/>
  <c r="J276" i="1"/>
  <c r="AC275" i="1"/>
  <c r="X275" i="1"/>
  <c r="U275" i="1" a="1"/>
  <c r="U275" i="1" s="1"/>
  <c r="S275" i="1" a="1"/>
  <c r="S275" i="1" s="1"/>
  <c r="N275" i="1"/>
  <c r="L275" i="1"/>
  <c r="J275" i="1"/>
  <c r="AC274" i="1"/>
  <c r="X274" i="1"/>
  <c r="U274" i="1"/>
  <c r="U274" i="1" a="1"/>
  <c r="S274" i="1" a="1"/>
  <c r="S274" i="1" s="1"/>
  <c r="N274" i="1"/>
  <c r="L274" i="1"/>
  <c r="J274" i="1"/>
  <c r="AC273" i="1"/>
  <c r="X273" i="1"/>
  <c r="U273" i="1" a="1"/>
  <c r="U273" i="1" s="1"/>
  <c r="S273" i="1"/>
  <c r="S273" i="1" a="1"/>
  <c r="N273" i="1"/>
  <c r="L273" i="1"/>
  <c r="J273" i="1"/>
  <c r="AC272" i="1"/>
  <c r="X272" i="1"/>
  <c r="U272" i="1" a="1"/>
  <c r="U272" i="1" s="1"/>
  <c r="S272" i="1" a="1"/>
  <c r="S272" i="1" s="1"/>
  <c r="N272" i="1"/>
  <c r="L272" i="1"/>
  <c r="J272" i="1"/>
  <c r="AC271" i="1"/>
  <c r="X271" i="1"/>
  <c r="U271" i="1" a="1"/>
  <c r="U271" i="1" s="1"/>
  <c r="S271" i="1" a="1"/>
  <c r="S271" i="1" s="1"/>
  <c r="N271" i="1"/>
  <c r="L271" i="1"/>
  <c r="J271" i="1"/>
  <c r="AC270" i="1"/>
  <c r="X270" i="1"/>
  <c r="U270" i="1" a="1"/>
  <c r="U270" i="1" s="1"/>
  <c r="S270" i="1" a="1"/>
  <c r="S270" i="1" s="1"/>
  <c r="N270" i="1"/>
  <c r="L270" i="1"/>
  <c r="J270" i="1"/>
  <c r="AC269" i="1"/>
  <c r="X269" i="1"/>
  <c r="U269" i="1" a="1"/>
  <c r="U269" i="1" s="1"/>
  <c r="S269" i="1" a="1"/>
  <c r="S269" i="1" s="1"/>
  <c r="N269" i="1"/>
  <c r="L269" i="1"/>
  <c r="J269" i="1"/>
  <c r="AC268" i="1"/>
  <c r="X268" i="1"/>
  <c r="U268" i="1" a="1"/>
  <c r="U268" i="1" s="1"/>
  <c r="S268" i="1" a="1"/>
  <c r="S268" i="1" s="1"/>
  <c r="N268" i="1"/>
  <c r="L268" i="1"/>
  <c r="J268" i="1"/>
  <c r="AC267" i="1"/>
  <c r="X267" i="1"/>
  <c r="U267" i="1" a="1"/>
  <c r="U267" i="1" s="1"/>
  <c r="S267" i="1" a="1"/>
  <c r="S267" i="1" s="1"/>
  <c r="N267" i="1"/>
  <c r="L267" i="1"/>
  <c r="J267" i="1"/>
  <c r="AC266" i="1"/>
  <c r="X266" i="1"/>
  <c r="U266" i="1" a="1"/>
  <c r="U266" i="1" s="1"/>
  <c r="S266" i="1"/>
  <c r="S266" i="1" a="1"/>
  <c r="N266" i="1"/>
  <c r="L266" i="1"/>
  <c r="J266" i="1"/>
  <c r="AC265" i="1"/>
  <c r="X265" i="1"/>
  <c r="U265" i="1" a="1"/>
  <c r="U265" i="1" s="1"/>
  <c r="S265" i="1" a="1"/>
  <c r="S265" i="1" s="1"/>
  <c r="N265" i="1"/>
  <c r="L265" i="1"/>
  <c r="J265" i="1"/>
  <c r="AC264" i="1"/>
  <c r="X264" i="1"/>
  <c r="U264" i="1"/>
  <c r="U264" i="1" a="1"/>
  <c r="S264" i="1" a="1"/>
  <c r="S264" i="1" s="1"/>
  <c r="N264" i="1"/>
  <c r="L264" i="1"/>
  <c r="J264" i="1"/>
  <c r="AC263" i="1"/>
  <c r="X263" i="1"/>
  <c r="U263" i="1"/>
  <c r="U263" i="1" a="1"/>
  <c r="S263" i="1" a="1"/>
  <c r="S263" i="1" s="1"/>
  <c r="N263" i="1"/>
  <c r="L263" i="1"/>
  <c r="J263" i="1"/>
  <c r="AC262" i="1"/>
  <c r="X262" i="1"/>
  <c r="U262" i="1" a="1"/>
  <c r="U262" i="1" s="1"/>
  <c r="S262" i="1" a="1"/>
  <c r="S262" i="1" s="1"/>
  <c r="N262" i="1"/>
  <c r="L262" i="1"/>
  <c r="J262" i="1"/>
  <c r="AC261" i="1"/>
  <c r="X261" i="1"/>
  <c r="U261" i="1"/>
  <c r="U261" i="1" a="1"/>
  <c r="S261" i="1" a="1"/>
  <c r="S261" i="1" s="1"/>
  <c r="N261" i="1"/>
  <c r="L261" i="1"/>
  <c r="J261" i="1"/>
  <c r="AC260" i="1"/>
  <c r="X260" i="1"/>
  <c r="U260" i="1" a="1"/>
  <c r="U260" i="1" s="1"/>
  <c r="S260" i="1" a="1"/>
  <c r="S260" i="1" s="1"/>
  <c r="N260" i="1"/>
  <c r="L260" i="1"/>
  <c r="J260" i="1"/>
  <c r="AC259" i="1"/>
  <c r="X259" i="1"/>
  <c r="U259" i="1" a="1"/>
  <c r="U259" i="1" s="1"/>
  <c r="S259" i="1" a="1"/>
  <c r="S259" i="1" s="1"/>
  <c r="N259" i="1"/>
  <c r="L259" i="1"/>
  <c r="J259" i="1"/>
  <c r="AC258" i="1"/>
  <c r="X258" i="1"/>
  <c r="U258" i="1"/>
  <c r="U258" i="1" a="1"/>
  <c r="S258" i="1" a="1"/>
  <c r="S258" i="1" s="1"/>
  <c r="N258" i="1"/>
  <c r="L258" i="1"/>
  <c r="J258" i="1"/>
  <c r="AC257" i="1"/>
  <c r="X257" i="1"/>
  <c r="U257" i="1" a="1"/>
  <c r="U257" i="1" s="1"/>
  <c r="S257" i="1"/>
  <c r="S257" i="1" a="1"/>
  <c r="N257" i="1"/>
  <c r="L257" i="1"/>
  <c r="J257" i="1"/>
  <c r="AC256" i="1"/>
  <c r="X256" i="1"/>
  <c r="U256" i="1" a="1"/>
  <c r="U256" i="1" s="1"/>
  <c r="S256" i="1" a="1"/>
  <c r="S256" i="1" s="1"/>
  <c r="N256" i="1"/>
  <c r="L256" i="1"/>
  <c r="J256" i="1"/>
  <c r="AC255" i="1"/>
  <c r="X255" i="1"/>
  <c r="U255" i="1" a="1"/>
  <c r="U255" i="1" s="1"/>
  <c r="S255" i="1"/>
  <c r="S255" i="1" a="1"/>
  <c r="N255" i="1"/>
  <c r="L255" i="1"/>
  <c r="J255" i="1"/>
  <c r="AC254" i="1"/>
  <c r="X254" i="1"/>
  <c r="U254" i="1"/>
  <c r="U254" i="1" a="1"/>
  <c r="S254" i="1"/>
  <c r="S254" i="1" a="1"/>
  <c r="N254" i="1"/>
  <c r="L254" i="1"/>
  <c r="J254" i="1"/>
  <c r="AC253" i="1"/>
  <c r="X253" i="1"/>
  <c r="U253" i="1"/>
  <c r="U253" i="1" a="1"/>
  <c r="S253" i="1" a="1"/>
  <c r="S253" i="1" s="1"/>
  <c r="N253" i="1"/>
  <c r="J253" i="1"/>
  <c r="AC252" i="1"/>
  <c r="X252" i="1"/>
  <c r="U252" i="1"/>
  <c r="U252" i="1" a="1"/>
  <c r="S252" i="1"/>
  <c r="S252" i="1" a="1"/>
  <c r="N252" i="1"/>
  <c r="J252" i="1"/>
  <c r="X251" i="1"/>
  <c r="U251" i="1"/>
  <c r="U251" i="1" a="1"/>
  <c r="S251" i="1"/>
  <c r="S251" i="1" a="1"/>
  <c r="N251" i="1"/>
  <c r="L251" i="1"/>
  <c r="J251" i="1"/>
  <c r="X250" i="1"/>
  <c r="U250" i="1" a="1"/>
  <c r="U250" i="1" s="1"/>
  <c r="S250" i="1"/>
  <c r="S250" i="1" a="1"/>
  <c r="N250" i="1"/>
  <c r="L250" i="1"/>
  <c r="J250" i="1"/>
  <c r="X249" i="1"/>
  <c r="U249" i="1" a="1"/>
  <c r="U249" i="1" s="1"/>
  <c r="S249" i="1"/>
  <c r="S249" i="1" a="1"/>
  <c r="N249" i="1"/>
  <c r="L249" i="1"/>
  <c r="J249" i="1"/>
  <c r="X248" i="1"/>
  <c r="U248" i="1" a="1"/>
  <c r="U248" i="1" s="1"/>
  <c r="S248" i="1"/>
  <c r="S248" i="1" a="1"/>
  <c r="N248" i="1"/>
  <c r="L248" i="1"/>
  <c r="J248" i="1"/>
  <c r="X247" i="1"/>
  <c r="U247" i="1" a="1"/>
  <c r="U247" i="1" s="1"/>
  <c r="S247" i="1" a="1"/>
  <c r="S247" i="1" s="1"/>
  <c r="N247" i="1"/>
  <c r="L247" i="1"/>
  <c r="J247" i="1"/>
  <c r="X246" i="1"/>
  <c r="U246" i="1"/>
  <c r="U246" i="1" a="1"/>
  <c r="S246" i="1" a="1"/>
  <c r="S246" i="1" s="1"/>
  <c r="N246" i="1"/>
  <c r="L246" i="1"/>
  <c r="J246" i="1"/>
  <c r="X245" i="1"/>
  <c r="U245" i="1" a="1"/>
  <c r="U245" i="1" s="1"/>
  <c r="S245" i="1"/>
  <c r="S245" i="1" a="1"/>
  <c r="N245" i="1"/>
  <c r="L245" i="1"/>
  <c r="J245" i="1"/>
  <c r="AC244" i="1"/>
  <c r="X244" i="1"/>
  <c r="U244" i="1" a="1"/>
  <c r="U244" i="1" s="1"/>
  <c r="S244" i="1" a="1"/>
  <c r="S244" i="1" s="1"/>
  <c r="N244" i="1"/>
  <c r="L244" i="1"/>
  <c r="J244" i="1"/>
  <c r="AC243" i="1"/>
  <c r="X243" i="1"/>
  <c r="U243" i="1"/>
  <c r="U243" i="1" a="1"/>
  <c r="S243" i="1" a="1"/>
  <c r="S243" i="1" s="1"/>
  <c r="N243" i="1"/>
  <c r="L243" i="1"/>
  <c r="J243" i="1"/>
  <c r="AC242" i="1"/>
  <c r="X242" i="1"/>
  <c r="U242" i="1" a="1"/>
  <c r="U242" i="1" s="1"/>
  <c r="S242" i="1"/>
  <c r="S242" i="1" a="1"/>
  <c r="N242" i="1"/>
  <c r="L242" i="1"/>
  <c r="J242" i="1"/>
  <c r="AC241" i="1"/>
  <c r="X241" i="1"/>
  <c r="U241" i="1" a="1"/>
  <c r="U241" i="1" s="1"/>
  <c r="S241" i="1" a="1"/>
  <c r="S241" i="1" s="1"/>
  <c r="N241" i="1"/>
  <c r="L241" i="1"/>
  <c r="J241" i="1"/>
  <c r="AC240" i="1"/>
  <c r="X240" i="1"/>
  <c r="U240" i="1"/>
  <c r="U240" i="1" a="1"/>
  <c r="S240" i="1" a="1"/>
  <c r="S240" i="1" s="1"/>
  <c r="N240" i="1"/>
  <c r="L240" i="1"/>
  <c r="J240" i="1"/>
  <c r="AC239" i="1"/>
  <c r="X239" i="1"/>
  <c r="U239" i="1"/>
  <c r="U239" i="1" a="1"/>
  <c r="S239" i="1" a="1"/>
  <c r="S239" i="1" s="1"/>
  <c r="N239" i="1"/>
  <c r="L239" i="1"/>
  <c r="J239" i="1"/>
  <c r="AC238" i="1"/>
  <c r="X238" i="1"/>
  <c r="U238" i="1" a="1"/>
  <c r="U238" i="1" s="1"/>
  <c r="S238" i="1" a="1"/>
  <c r="S238" i="1" s="1"/>
  <c r="N238" i="1"/>
  <c r="L238" i="1"/>
  <c r="J238" i="1"/>
  <c r="AC237" i="1"/>
  <c r="X237" i="1"/>
  <c r="U237" i="1" a="1"/>
  <c r="U237" i="1" s="1"/>
  <c r="S237" i="1" a="1"/>
  <c r="S237" i="1" s="1"/>
  <c r="N237" i="1"/>
  <c r="L237" i="1"/>
  <c r="J237" i="1"/>
  <c r="AC236" i="1"/>
  <c r="X236" i="1"/>
  <c r="U236" i="1"/>
  <c r="U236" i="1" a="1"/>
  <c r="S236" i="1" a="1"/>
  <c r="S236" i="1" s="1"/>
  <c r="N236" i="1"/>
  <c r="L236" i="1"/>
  <c r="J236" i="1"/>
  <c r="AC235" i="1"/>
  <c r="X235" i="1"/>
  <c r="U235" i="1" a="1"/>
  <c r="U235" i="1" s="1"/>
  <c r="S235" i="1" a="1"/>
  <c r="S235" i="1" s="1"/>
  <c r="N235" i="1"/>
  <c r="L235" i="1"/>
  <c r="J235" i="1"/>
  <c r="AC234" i="1"/>
  <c r="X234" i="1"/>
  <c r="U234" i="1" a="1"/>
  <c r="U234" i="1" s="1"/>
  <c r="S234" i="1" a="1"/>
  <c r="S234" i="1" s="1"/>
  <c r="N234" i="1"/>
  <c r="L234" i="1"/>
  <c r="J234" i="1"/>
  <c r="AC233" i="1"/>
  <c r="X233" i="1"/>
  <c r="U233" i="1" a="1"/>
  <c r="U233" i="1" s="1"/>
  <c r="S233" i="1" a="1"/>
  <c r="S233" i="1" s="1"/>
  <c r="N233" i="1"/>
  <c r="L233" i="1"/>
  <c r="J233" i="1"/>
  <c r="AC232" i="1"/>
  <c r="X232" i="1"/>
  <c r="U232" i="1" a="1"/>
  <c r="U232" i="1" s="1"/>
  <c r="S232" i="1"/>
  <c r="S232" i="1" a="1"/>
  <c r="N232" i="1"/>
  <c r="L232" i="1"/>
  <c r="J232" i="1"/>
  <c r="AC231" i="1"/>
  <c r="X231" i="1"/>
  <c r="U231" i="1" a="1"/>
  <c r="U231" i="1" s="1"/>
  <c r="S231" i="1" a="1"/>
  <c r="S231" i="1" s="1"/>
  <c r="N231" i="1"/>
  <c r="L231" i="1"/>
  <c r="J231" i="1"/>
  <c r="AC230" i="1"/>
  <c r="X230" i="1"/>
  <c r="U230" i="1" a="1"/>
  <c r="U230" i="1" s="1"/>
  <c r="S230" i="1" a="1"/>
  <c r="S230" i="1" s="1"/>
  <c r="N230" i="1"/>
  <c r="L230" i="1"/>
  <c r="J230" i="1"/>
  <c r="AC229" i="1"/>
  <c r="X229" i="1"/>
  <c r="U229" i="1"/>
  <c r="U229" i="1" a="1"/>
  <c r="S229" i="1" a="1"/>
  <c r="S229" i="1" s="1"/>
  <c r="N229" i="1"/>
  <c r="L229" i="1"/>
  <c r="J229" i="1"/>
  <c r="AC228" i="1"/>
  <c r="X228" i="1"/>
  <c r="U228" i="1"/>
  <c r="U228" i="1" a="1"/>
  <c r="S228" i="1"/>
  <c r="S228" i="1" a="1"/>
  <c r="N228" i="1"/>
  <c r="L228" i="1"/>
  <c r="J228" i="1"/>
  <c r="AC227" i="1"/>
  <c r="X227" i="1"/>
  <c r="U227" i="1" a="1"/>
  <c r="U227" i="1" s="1"/>
  <c r="S227" i="1" a="1"/>
  <c r="S227" i="1" s="1"/>
  <c r="N227" i="1"/>
  <c r="L227" i="1"/>
  <c r="J227" i="1"/>
  <c r="AC226" i="1"/>
  <c r="X226" i="1"/>
  <c r="U226" i="1" a="1"/>
  <c r="U226" i="1" s="1"/>
  <c r="S226" i="1"/>
  <c r="S226" i="1" a="1"/>
  <c r="N226" i="1"/>
  <c r="L226" i="1"/>
  <c r="J226" i="1"/>
  <c r="AC225" i="1"/>
  <c r="X225" i="1"/>
  <c r="U225" i="1"/>
  <c r="U225" i="1" a="1"/>
  <c r="S225" i="1" a="1"/>
  <c r="S225" i="1" s="1"/>
  <c r="N225" i="1"/>
  <c r="L225" i="1"/>
  <c r="J225" i="1"/>
  <c r="AC224" i="1"/>
  <c r="X224" i="1"/>
  <c r="U224" i="1" a="1"/>
  <c r="U224" i="1" s="1"/>
  <c r="S224" i="1" a="1"/>
  <c r="S224" i="1" s="1"/>
  <c r="N224" i="1"/>
  <c r="L224" i="1"/>
  <c r="J224" i="1"/>
  <c r="AC223" i="1"/>
  <c r="X223" i="1"/>
  <c r="U223" i="1"/>
  <c r="U223" i="1" a="1"/>
  <c r="S223" i="1" a="1"/>
  <c r="S223" i="1" s="1"/>
  <c r="N223" i="1"/>
  <c r="L223" i="1"/>
  <c r="J223" i="1"/>
  <c r="AC222" i="1"/>
  <c r="X222" i="1"/>
  <c r="U222" i="1" a="1"/>
  <c r="U222" i="1" s="1"/>
  <c r="S222" i="1"/>
  <c r="S222" i="1" a="1"/>
  <c r="N222" i="1"/>
  <c r="L222" i="1"/>
  <c r="J222" i="1"/>
  <c r="AC221" i="1"/>
  <c r="X221" i="1"/>
  <c r="U221" i="1" a="1"/>
  <c r="U221" i="1" s="1"/>
  <c r="S221" i="1"/>
  <c r="S221" i="1" a="1"/>
  <c r="N221" i="1"/>
  <c r="L221" i="1"/>
  <c r="J221" i="1"/>
  <c r="AC220" i="1"/>
  <c r="X220" i="1"/>
  <c r="U220" i="1" a="1"/>
  <c r="U220" i="1" s="1"/>
  <c r="S220" i="1" a="1"/>
  <c r="S220" i="1" s="1"/>
  <c r="N220" i="1"/>
  <c r="L220" i="1"/>
  <c r="J220" i="1"/>
  <c r="AC219" i="1"/>
  <c r="X219" i="1"/>
  <c r="U219" i="1"/>
  <c r="U219" i="1" a="1"/>
  <c r="S219" i="1" a="1"/>
  <c r="S219" i="1" s="1"/>
  <c r="N219" i="1"/>
  <c r="L219" i="1"/>
  <c r="J219" i="1"/>
  <c r="AC218" i="1"/>
  <c r="X218" i="1"/>
  <c r="U218" i="1"/>
  <c r="U218" i="1" a="1"/>
  <c r="S218" i="1" a="1"/>
  <c r="S218" i="1" s="1"/>
  <c r="N218" i="1"/>
  <c r="L218" i="1"/>
  <c r="J218" i="1"/>
  <c r="AC217" i="1"/>
  <c r="X217" i="1"/>
  <c r="U217" i="1" a="1"/>
  <c r="U217" i="1" s="1"/>
  <c r="S217" i="1"/>
  <c r="S217" i="1" a="1"/>
  <c r="N217" i="1"/>
  <c r="L217" i="1"/>
  <c r="J217" i="1"/>
  <c r="AC216" i="1"/>
  <c r="X216" i="1"/>
  <c r="U216" i="1"/>
  <c r="U216" i="1" a="1"/>
  <c r="S216" i="1" a="1"/>
  <c r="S216" i="1" s="1"/>
  <c r="N216" i="1"/>
  <c r="L216" i="1"/>
  <c r="J216" i="1"/>
  <c r="AC215" i="1"/>
  <c r="X215" i="1"/>
  <c r="U215" i="1" a="1"/>
  <c r="U215" i="1" s="1"/>
  <c r="S215" i="1" a="1"/>
  <c r="S215" i="1" s="1"/>
  <c r="N215" i="1"/>
  <c r="L215" i="1"/>
  <c r="J215" i="1"/>
  <c r="AC214" i="1"/>
  <c r="X214" i="1"/>
  <c r="U214" i="1"/>
  <c r="U214" i="1" a="1"/>
  <c r="S214" i="1" a="1"/>
  <c r="S214" i="1" s="1"/>
  <c r="N214" i="1"/>
  <c r="L214" i="1"/>
  <c r="J214" i="1"/>
  <c r="AC213" i="1"/>
  <c r="X213" i="1"/>
  <c r="U213" i="1"/>
  <c r="U213" i="1" a="1"/>
  <c r="S213" i="1" a="1"/>
  <c r="S213" i="1" s="1"/>
  <c r="N213" i="1"/>
  <c r="L213" i="1"/>
  <c r="J213" i="1"/>
  <c r="AC212" i="1"/>
  <c r="X212" i="1"/>
  <c r="U212" i="1" a="1"/>
  <c r="U212" i="1" s="1"/>
  <c r="S212" i="1"/>
  <c r="S212" i="1" a="1"/>
  <c r="N212" i="1"/>
  <c r="L212" i="1"/>
  <c r="J212" i="1"/>
  <c r="AC211" i="1"/>
  <c r="X211" i="1"/>
  <c r="U211" i="1" a="1"/>
  <c r="U211" i="1" s="1"/>
  <c r="S211" i="1" a="1"/>
  <c r="S211" i="1" s="1"/>
  <c r="N211" i="1"/>
  <c r="L211" i="1"/>
  <c r="J211" i="1"/>
  <c r="AC210" i="1"/>
  <c r="X210" i="1"/>
  <c r="U210" i="1" a="1"/>
  <c r="U210" i="1" s="1"/>
  <c r="S210" i="1"/>
  <c r="S210" i="1" a="1"/>
  <c r="N210" i="1"/>
  <c r="L210" i="1"/>
  <c r="J210" i="1"/>
  <c r="AC209" i="1"/>
  <c r="X209" i="1"/>
  <c r="U209" i="1"/>
  <c r="U209" i="1" a="1"/>
  <c r="S209" i="1"/>
  <c r="S209" i="1" a="1"/>
  <c r="N209" i="1"/>
  <c r="L209" i="1"/>
  <c r="J209" i="1"/>
  <c r="AC208" i="1"/>
  <c r="X208" i="1"/>
  <c r="U208" i="1" a="1"/>
  <c r="U208" i="1" s="1"/>
  <c r="S208" i="1" a="1"/>
  <c r="S208" i="1" s="1"/>
  <c r="N208" i="1"/>
  <c r="L208" i="1"/>
  <c r="J208" i="1"/>
  <c r="AC207" i="1"/>
  <c r="X207" i="1"/>
  <c r="U207" i="1" a="1"/>
  <c r="U207" i="1" s="1"/>
  <c r="S207" i="1" a="1"/>
  <c r="S207" i="1" s="1"/>
  <c r="N207" i="1"/>
  <c r="L207" i="1"/>
  <c r="J207" i="1"/>
  <c r="AC206" i="1"/>
  <c r="X206" i="1"/>
  <c r="U206" i="1"/>
  <c r="U206" i="1" a="1"/>
  <c r="S206" i="1"/>
  <c r="S206" i="1" a="1"/>
  <c r="N206" i="1"/>
  <c r="L206" i="1"/>
  <c r="J206" i="1"/>
  <c r="AC205" i="1"/>
  <c r="X205" i="1"/>
  <c r="U205" i="1" a="1"/>
  <c r="U205" i="1" s="1"/>
  <c r="S205" i="1"/>
  <c r="S205" i="1" a="1"/>
  <c r="N205" i="1"/>
  <c r="L205" i="1"/>
  <c r="J205" i="1"/>
  <c r="AC204" i="1"/>
  <c r="X204" i="1"/>
  <c r="U204" i="1" a="1"/>
  <c r="U204" i="1" s="1"/>
  <c r="S204" i="1" a="1"/>
  <c r="S204" i="1" s="1"/>
  <c r="N204" i="1"/>
  <c r="L204" i="1"/>
  <c r="J204" i="1"/>
  <c r="AC203" i="1"/>
  <c r="X203" i="1"/>
  <c r="U203" i="1"/>
  <c r="U203" i="1" a="1"/>
  <c r="S203" i="1" a="1"/>
  <c r="S203" i="1" s="1"/>
  <c r="N203" i="1"/>
  <c r="L203" i="1"/>
  <c r="J203" i="1"/>
  <c r="AC202" i="1"/>
  <c r="X202" i="1"/>
  <c r="U202" i="1"/>
  <c r="U202" i="1" a="1"/>
  <c r="S202" i="1"/>
  <c r="S202" i="1" a="1"/>
  <c r="N202" i="1"/>
  <c r="L202" i="1"/>
  <c r="J202" i="1"/>
  <c r="AC201" i="1"/>
  <c r="X201" i="1"/>
  <c r="U201" i="1" a="1"/>
  <c r="U201" i="1" s="1"/>
  <c r="S201" i="1" a="1"/>
  <c r="S201" i="1" s="1"/>
  <c r="N201" i="1"/>
  <c r="L201" i="1"/>
  <c r="J201" i="1"/>
  <c r="AC200" i="1"/>
  <c r="X200" i="1"/>
  <c r="U200" i="1" a="1"/>
  <c r="U200" i="1" s="1"/>
  <c r="S200" i="1" a="1"/>
  <c r="S200" i="1" s="1"/>
  <c r="N200" i="1"/>
  <c r="L200" i="1"/>
  <c r="J200" i="1"/>
  <c r="AC199" i="1"/>
  <c r="X199" i="1"/>
  <c r="U199" i="1"/>
  <c r="U199" i="1" a="1"/>
  <c r="S199" i="1" a="1"/>
  <c r="S199" i="1" s="1"/>
  <c r="N199" i="1"/>
  <c r="L199" i="1"/>
  <c r="J199" i="1"/>
  <c r="AC198" i="1"/>
  <c r="X198" i="1"/>
  <c r="U198" i="1" a="1"/>
  <c r="U198" i="1" s="1"/>
  <c r="S198" i="1"/>
  <c r="S198" i="1" a="1"/>
  <c r="N198" i="1"/>
  <c r="L198" i="1"/>
  <c r="J198" i="1"/>
  <c r="AC197" i="1"/>
  <c r="X197" i="1"/>
  <c r="U197" i="1" a="1"/>
  <c r="U197" i="1" s="1"/>
  <c r="S197" i="1"/>
  <c r="S197" i="1" a="1"/>
  <c r="N197" i="1"/>
  <c r="L197" i="1"/>
  <c r="J197" i="1"/>
  <c r="AC196" i="1"/>
  <c r="X196" i="1"/>
  <c r="U196" i="1" a="1"/>
  <c r="U196" i="1" s="1"/>
  <c r="S196" i="1" a="1"/>
  <c r="S196" i="1" s="1"/>
  <c r="N196" i="1"/>
  <c r="L196" i="1"/>
  <c r="J196" i="1"/>
  <c r="AC195" i="1"/>
  <c r="X195" i="1"/>
  <c r="U195" i="1"/>
  <c r="U195" i="1" a="1"/>
  <c r="S195" i="1" a="1"/>
  <c r="S195" i="1" s="1"/>
  <c r="N195" i="1"/>
  <c r="L195" i="1"/>
  <c r="J195" i="1"/>
  <c r="AC194" i="1"/>
  <c r="X194" i="1"/>
  <c r="U194" i="1" a="1"/>
  <c r="U194" i="1" s="1"/>
  <c r="S194" i="1"/>
  <c r="S194" i="1" a="1"/>
  <c r="N194" i="1"/>
  <c r="L194" i="1"/>
  <c r="J194" i="1"/>
  <c r="AC193" i="1"/>
  <c r="X193" i="1"/>
  <c r="U193" i="1" a="1"/>
  <c r="U193" i="1" s="1"/>
  <c r="S193" i="1" a="1"/>
  <c r="S193" i="1" s="1"/>
  <c r="N193" i="1"/>
  <c r="L193" i="1"/>
  <c r="J193" i="1"/>
  <c r="AC192" i="1"/>
  <c r="X192" i="1"/>
  <c r="U192" i="1"/>
  <c r="U192" i="1" a="1"/>
  <c r="S192" i="1" a="1"/>
  <c r="S192" i="1" s="1"/>
  <c r="N192" i="1"/>
  <c r="L192" i="1"/>
  <c r="J192" i="1"/>
  <c r="AC191" i="1"/>
  <c r="X191" i="1"/>
  <c r="U191" i="1" a="1"/>
  <c r="U191" i="1" s="1"/>
  <c r="S191" i="1" a="1"/>
  <c r="S191" i="1" s="1"/>
  <c r="N191" i="1"/>
  <c r="L191" i="1"/>
  <c r="J191" i="1"/>
  <c r="AC190" i="1"/>
  <c r="X190" i="1"/>
  <c r="U190" i="1" a="1"/>
  <c r="U190" i="1" s="1"/>
  <c r="S190" i="1" a="1"/>
  <c r="S190" i="1" s="1"/>
  <c r="N190" i="1"/>
  <c r="L190" i="1"/>
  <c r="J190" i="1"/>
  <c r="AC189" i="1"/>
  <c r="X189" i="1"/>
  <c r="U189" i="1" a="1"/>
  <c r="U189" i="1" s="1"/>
  <c r="S189" i="1" a="1"/>
  <c r="S189" i="1" s="1"/>
  <c r="N189" i="1"/>
  <c r="L189" i="1"/>
  <c r="J189" i="1"/>
  <c r="AC188" i="1"/>
  <c r="X188" i="1"/>
  <c r="U188" i="1"/>
  <c r="U188" i="1" a="1"/>
  <c r="S188" i="1" a="1"/>
  <c r="S188" i="1" s="1"/>
  <c r="N188" i="1"/>
  <c r="L188" i="1"/>
  <c r="J188" i="1"/>
  <c r="AC187" i="1"/>
  <c r="X187" i="1"/>
  <c r="U187" i="1" a="1"/>
  <c r="U187" i="1" s="1"/>
  <c r="S187" i="1" a="1"/>
  <c r="S187" i="1" s="1"/>
  <c r="N187" i="1"/>
  <c r="L187" i="1"/>
  <c r="J187" i="1"/>
  <c r="AC186" i="1"/>
  <c r="X186" i="1"/>
  <c r="U186" i="1" a="1"/>
  <c r="U186" i="1" s="1"/>
  <c r="S186" i="1" a="1"/>
  <c r="S186" i="1" s="1"/>
  <c r="N186" i="1"/>
  <c r="L186" i="1"/>
  <c r="J186" i="1"/>
  <c r="AC185" i="1"/>
  <c r="X185" i="1"/>
  <c r="U185" i="1" a="1"/>
  <c r="U185" i="1" s="1"/>
  <c r="S185" i="1"/>
  <c r="S185" i="1" a="1"/>
  <c r="N185" i="1"/>
  <c r="L185" i="1"/>
  <c r="J185" i="1"/>
  <c r="AC184" i="1"/>
  <c r="X184" i="1"/>
  <c r="U184" i="1"/>
  <c r="U184" i="1" a="1"/>
  <c r="S184" i="1"/>
  <c r="S184" i="1" a="1"/>
  <c r="N184" i="1"/>
  <c r="L184" i="1"/>
  <c r="J184" i="1"/>
  <c r="AC183" i="1"/>
  <c r="X183" i="1"/>
  <c r="U183" i="1" a="1"/>
  <c r="U183" i="1" s="1"/>
  <c r="S183" i="1" a="1"/>
  <c r="S183" i="1" s="1"/>
  <c r="N183" i="1"/>
  <c r="L183" i="1"/>
  <c r="J183" i="1"/>
  <c r="AC182" i="1"/>
  <c r="X182" i="1"/>
  <c r="U182" i="1"/>
  <c r="U182" i="1" a="1"/>
  <c r="S182" i="1" a="1"/>
  <c r="S182" i="1" s="1"/>
  <c r="N182" i="1"/>
  <c r="L182" i="1"/>
  <c r="AC181" i="1"/>
  <c r="X181" i="1"/>
  <c r="U181" i="1"/>
  <c r="U181" i="1" a="1"/>
  <c r="S181" i="1" a="1"/>
  <c r="S181" i="1" s="1"/>
  <c r="N181" i="1"/>
  <c r="L181" i="1"/>
  <c r="J181" i="1"/>
  <c r="AC180" i="1"/>
  <c r="X180" i="1"/>
  <c r="U180" i="1" a="1"/>
  <c r="U180" i="1" s="1"/>
  <c r="S180" i="1" a="1"/>
  <c r="S180" i="1" s="1"/>
  <c r="N180" i="1"/>
  <c r="L180" i="1"/>
  <c r="J180" i="1"/>
  <c r="AC179" i="1"/>
  <c r="X179" i="1"/>
  <c r="U179" i="1"/>
  <c r="U179" i="1" a="1"/>
  <c r="S179" i="1"/>
  <c r="S179" i="1" a="1"/>
  <c r="N179" i="1"/>
  <c r="L179" i="1"/>
  <c r="J179" i="1"/>
  <c r="AC178" i="1"/>
  <c r="X178" i="1"/>
  <c r="U178" i="1" a="1"/>
  <c r="U178" i="1" s="1"/>
  <c r="S178" i="1" a="1"/>
  <c r="S178" i="1" s="1"/>
  <c r="N178" i="1"/>
  <c r="L178" i="1"/>
  <c r="J178" i="1"/>
  <c r="AC177" i="1"/>
  <c r="X177" i="1"/>
  <c r="U177" i="1" a="1"/>
  <c r="U177" i="1" s="1"/>
  <c r="S177" i="1"/>
  <c r="S177" i="1" a="1"/>
  <c r="N177" i="1"/>
  <c r="L177" i="1"/>
  <c r="J177" i="1"/>
  <c r="AC176" i="1"/>
  <c r="X176" i="1"/>
  <c r="U176" i="1" a="1"/>
  <c r="U176" i="1" s="1"/>
  <c r="S176" i="1" a="1"/>
  <c r="S176" i="1" s="1"/>
  <c r="N176" i="1"/>
  <c r="L176" i="1"/>
  <c r="J176" i="1"/>
  <c r="AC175" i="1"/>
  <c r="X175" i="1"/>
  <c r="U175" i="1" a="1"/>
  <c r="U175" i="1" s="1"/>
  <c r="S175" i="1"/>
  <c r="S175" i="1" a="1"/>
  <c r="N175" i="1"/>
  <c r="L175" i="1"/>
  <c r="J175" i="1"/>
  <c r="AC174" i="1"/>
  <c r="X174" i="1"/>
  <c r="U174" i="1"/>
  <c r="U174" i="1" a="1"/>
  <c r="S174" i="1" a="1"/>
  <c r="S174" i="1" s="1"/>
  <c r="N174" i="1"/>
  <c r="L174" i="1"/>
  <c r="J174" i="1"/>
  <c r="AC173" i="1"/>
  <c r="X173" i="1"/>
  <c r="U173" i="1" a="1"/>
  <c r="U173" i="1" s="1"/>
  <c r="S173" i="1"/>
  <c r="S173" i="1" a="1"/>
  <c r="N173" i="1"/>
  <c r="L173" i="1"/>
  <c r="J173" i="1"/>
  <c r="AC172" i="1"/>
  <c r="X172" i="1"/>
  <c r="U172" i="1" a="1"/>
  <c r="U172" i="1" s="1"/>
  <c r="S172" i="1"/>
  <c r="S172" i="1" a="1"/>
  <c r="N172" i="1"/>
  <c r="L172" i="1"/>
  <c r="J172" i="1"/>
  <c r="AC171" i="1"/>
  <c r="X171" i="1"/>
  <c r="U171" i="1" a="1"/>
  <c r="U171" i="1" s="1"/>
  <c r="S171" i="1"/>
  <c r="S171" i="1" a="1"/>
  <c r="N171" i="1"/>
  <c r="L171" i="1"/>
  <c r="J171" i="1"/>
  <c r="AC170" i="1"/>
  <c r="X170" i="1"/>
  <c r="U170" i="1"/>
  <c r="U170" i="1" a="1"/>
  <c r="S170" i="1" a="1"/>
  <c r="S170" i="1" s="1"/>
  <c r="N170" i="1"/>
  <c r="L170" i="1"/>
  <c r="J170" i="1"/>
  <c r="AC169" i="1"/>
  <c r="X169" i="1"/>
  <c r="U169" i="1"/>
  <c r="U169" i="1" a="1"/>
  <c r="S169" i="1" a="1"/>
  <c r="S169" i="1" s="1"/>
  <c r="N169" i="1"/>
  <c r="L169" i="1"/>
  <c r="J169" i="1"/>
  <c r="AC168" i="1"/>
  <c r="X168" i="1"/>
  <c r="U168" i="1" a="1"/>
  <c r="U168" i="1" s="1"/>
  <c r="S168" i="1" a="1"/>
  <c r="S168" i="1" s="1"/>
  <c r="N168" i="1"/>
  <c r="L168" i="1"/>
  <c r="J168" i="1"/>
  <c r="AC167" i="1"/>
  <c r="X167" i="1"/>
  <c r="U167" i="1" a="1"/>
  <c r="U167" i="1" s="1"/>
  <c r="S167" i="1"/>
  <c r="S167" i="1" a="1"/>
  <c r="N167" i="1"/>
  <c r="L167" i="1"/>
  <c r="J167" i="1"/>
  <c r="AC166" i="1"/>
  <c r="X166" i="1"/>
  <c r="U166" i="1"/>
  <c r="U166" i="1" a="1"/>
  <c r="S166" i="1"/>
  <c r="S166" i="1" a="1"/>
  <c r="N166" i="1"/>
  <c r="L166" i="1"/>
  <c r="J166" i="1"/>
  <c r="AC165" i="1"/>
  <c r="X165" i="1"/>
  <c r="U165" i="1" a="1"/>
  <c r="U165" i="1" s="1"/>
  <c r="S165" i="1"/>
  <c r="S165" i="1" a="1"/>
  <c r="N165" i="1"/>
  <c r="L165" i="1"/>
  <c r="J165" i="1"/>
  <c r="AC164" i="1"/>
  <c r="X164" i="1"/>
  <c r="U164" i="1" a="1"/>
  <c r="U164" i="1" s="1"/>
  <c r="S164" i="1" a="1"/>
  <c r="S164" i="1" s="1"/>
  <c r="N164" i="1"/>
  <c r="L164" i="1"/>
  <c r="J164" i="1"/>
  <c r="AC163" i="1"/>
  <c r="X163" i="1"/>
  <c r="U163" i="1"/>
  <c r="U163" i="1" a="1"/>
  <c r="S163" i="1"/>
  <c r="S163" i="1" a="1"/>
  <c r="N163" i="1"/>
  <c r="L163" i="1"/>
  <c r="J163" i="1"/>
  <c r="AC162" i="1"/>
  <c r="X162" i="1"/>
  <c r="U162" i="1"/>
  <c r="U162" i="1" a="1"/>
  <c r="S162" i="1"/>
  <c r="S162" i="1" a="1"/>
  <c r="N162" i="1"/>
  <c r="L162" i="1"/>
  <c r="J162" i="1"/>
  <c r="AC161" i="1"/>
  <c r="X161" i="1"/>
  <c r="U161" i="1" a="1"/>
  <c r="U161" i="1" s="1"/>
  <c r="S161" i="1"/>
  <c r="S161" i="1" a="1"/>
  <c r="N161" i="1"/>
  <c r="L161" i="1"/>
  <c r="J161" i="1"/>
  <c r="AC160" i="1"/>
  <c r="X160" i="1"/>
  <c r="U160" i="1" a="1"/>
  <c r="U160" i="1" s="1"/>
  <c r="S160" i="1" a="1"/>
  <c r="S160" i="1" s="1"/>
  <c r="N160" i="1"/>
  <c r="L160" i="1"/>
  <c r="J160" i="1"/>
  <c r="AC159" i="1"/>
  <c r="X159" i="1"/>
  <c r="U159" i="1"/>
  <c r="U159" i="1" a="1"/>
  <c r="S159" i="1"/>
  <c r="S159" i="1" a="1"/>
  <c r="N159" i="1"/>
  <c r="L159" i="1"/>
  <c r="J159" i="1"/>
  <c r="AC158" i="1"/>
  <c r="X158" i="1"/>
  <c r="U158" i="1"/>
  <c r="U158" i="1" a="1"/>
  <c r="S158" i="1"/>
  <c r="S158" i="1" a="1"/>
  <c r="N158" i="1"/>
  <c r="L158" i="1"/>
  <c r="J158" i="1"/>
  <c r="AC157" i="1"/>
  <c r="X157" i="1"/>
  <c r="U157" i="1" a="1"/>
  <c r="U157" i="1" s="1"/>
  <c r="S157" i="1" a="1"/>
  <c r="S157" i="1" s="1"/>
  <c r="N157" i="1"/>
  <c r="L157" i="1"/>
  <c r="J157" i="1"/>
  <c r="AC156" i="1"/>
  <c r="X156" i="1"/>
  <c r="U156" i="1" a="1"/>
  <c r="U156" i="1" s="1"/>
  <c r="S156" i="1" a="1"/>
  <c r="S156" i="1" s="1"/>
  <c r="N156" i="1"/>
  <c r="L156" i="1"/>
  <c r="J156" i="1"/>
  <c r="AC155" i="1"/>
  <c r="U155" i="1"/>
  <c r="U155" i="1" a="1"/>
  <c r="S155" i="1"/>
  <c r="S155" i="1" a="1"/>
  <c r="N155" i="1"/>
  <c r="L155" i="1"/>
  <c r="J155" i="1"/>
  <c r="AC154" i="1"/>
  <c r="U154" i="1" a="1"/>
  <c r="U154" i="1" s="1"/>
  <c r="S154" i="1" a="1"/>
  <c r="S154" i="1" s="1"/>
  <c r="N154" i="1"/>
  <c r="L154" i="1"/>
  <c r="J154" i="1"/>
  <c r="AC153" i="1"/>
  <c r="X153" i="1"/>
  <c r="U153" i="1" a="1"/>
  <c r="U153" i="1" s="1"/>
  <c r="S153" i="1" a="1"/>
  <c r="S153" i="1" s="1"/>
  <c r="N153" i="1"/>
  <c r="L153" i="1"/>
  <c r="J153" i="1"/>
  <c r="AC152" i="1"/>
  <c r="X152" i="1"/>
  <c r="U152" i="1"/>
  <c r="U152" i="1" a="1"/>
  <c r="S152" i="1" a="1"/>
  <c r="S152" i="1" s="1"/>
  <c r="N152" i="1"/>
  <c r="L152" i="1"/>
  <c r="J152" i="1"/>
  <c r="AC151" i="1"/>
  <c r="X151" i="1"/>
  <c r="U151" i="1" a="1"/>
  <c r="U151" i="1" s="1"/>
  <c r="S151" i="1"/>
  <c r="S151" i="1" a="1"/>
  <c r="N151" i="1"/>
  <c r="L151" i="1"/>
  <c r="J151" i="1"/>
  <c r="AC150" i="1"/>
  <c r="X150" i="1"/>
  <c r="U150" i="1" a="1"/>
  <c r="U150" i="1" s="1"/>
  <c r="S150" i="1" a="1"/>
  <c r="S150" i="1" s="1"/>
  <c r="N150" i="1"/>
  <c r="L150" i="1"/>
  <c r="J150" i="1"/>
  <c r="AC149" i="1"/>
  <c r="X149" i="1"/>
  <c r="U149" i="1" a="1"/>
  <c r="U149" i="1" s="1"/>
  <c r="S149" i="1" a="1"/>
  <c r="S149" i="1" s="1"/>
  <c r="N149" i="1"/>
  <c r="L149" i="1"/>
  <c r="J149" i="1"/>
  <c r="AC148" i="1"/>
  <c r="X148" i="1"/>
  <c r="U148" i="1"/>
  <c r="U148" i="1" a="1"/>
  <c r="S148" i="1" a="1"/>
  <c r="S148" i="1" s="1"/>
  <c r="N148" i="1"/>
  <c r="L148" i="1"/>
  <c r="J148" i="1"/>
  <c r="AC147" i="1"/>
  <c r="X147" i="1"/>
  <c r="U147" i="1" a="1"/>
  <c r="U147" i="1" s="1"/>
  <c r="S147" i="1" a="1"/>
  <c r="S147" i="1" s="1"/>
  <c r="N147" i="1"/>
  <c r="L147" i="1"/>
  <c r="J147" i="1"/>
  <c r="AC146" i="1"/>
  <c r="X146" i="1"/>
  <c r="U146" i="1" a="1"/>
  <c r="U146" i="1" s="1"/>
  <c r="S146" i="1" a="1"/>
  <c r="S146" i="1" s="1"/>
  <c r="N146" i="1"/>
  <c r="L146" i="1"/>
  <c r="J146" i="1"/>
  <c r="AC145" i="1"/>
  <c r="X145" i="1"/>
  <c r="U145" i="1"/>
  <c r="U145" i="1" a="1"/>
  <c r="S145" i="1" a="1"/>
  <c r="S145" i="1" s="1"/>
  <c r="N145" i="1"/>
  <c r="L145" i="1"/>
  <c r="J145" i="1"/>
  <c r="AC144" i="1"/>
  <c r="X144" i="1"/>
  <c r="U144" i="1" a="1"/>
  <c r="U144" i="1" s="1"/>
  <c r="S144" i="1" a="1"/>
  <c r="S144" i="1" s="1"/>
  <c r="N144" i="1"/>
  <c r="L144" i="1"/>
  <c r="AC143" i="1"/>
  <c r="X143" i="1"/>
  <c r="U143" i="1" a="1"/>
  <c r="U143" i="1" s="1"/>
  <c r="S143" i="1" a="1"/>
  <c r="S143" i="1" s="1"/>
  <c r="N143" i="1"/>
  <c r="L143" i="1"/>
  <c r="AC142" i="1"/>
  <c r="X142" i="1"/>
  <c r="U142" i="1"/>
  <c r="U142" i="1" a="1"/>
  <c r="S142" i="1" a="1"/>
  <c r="S142" i="1" s="1"/>
  <c r="N142" i="1"/>
  <c r="L142" i="1"/>
  <c r="AC141" i="1"/>
  <c r="X141" i="1"/>
  <c r="U141" i="1"/>
  <c r="U141" i="1" a="1"/>
  <c r="S141" i="1" a="1"/>
  <c r="S141" i="1" s="1"/>
  <c r="N141" i="1"/>
  <c r="L141" i="1"/>
  <c r="AC140" i="1"/>
  <c r="X140" i="1"/>
  <c r="U140" i="1" a="1"/>
  <c r="U140" i="1" s="1"/>
  <c r="S140" i="1" a="1"/>
  <c r="S140" i="1" s="1"/>
  <c r="N140" i="1"/>
  <c r="J140" i="1"/>
  <c r="AC139" i="1"/>
  <c r="X139" i="1"/>
  <c r="U139" i="1"/>
  <c r="U139" i="1" a="1"/>
  <c r="S139" i="1" a="1"/>
  <c r="S139" i="1" s="1"/>
  <c r="N139" i="1"/>
  <c r="J139" i="1"/>
  <c r="AC138" i="1"/>
  <c r="X138" i="1"/>
  <c r="U138" i="1" a="1"/>
  <c r="U138" i="1" s="1"/>
  <c r="S138" i="1" a="1"/>
  <c r="S138" i="1" s="1"/>
  <c r="N138" i="1"/>
  <c r="L138" i="1"/>
  <c r="J138" i="1"/>
  <c r="AC137" i="1"/>
  <c r="X137" i="1"/>
  <c r="U137" i="1"/>
  <c r="U137" i="1" a="1"/>
  <c r="S137" i="1" a="1"/>
  <c r="S137" i="1" s="1"/>
  <c r="N137" i="1"/>
  <c r="L137" i="1"/>
  <c r="J137" i="1"/>
  <c r="AC136" i="1"/>
  <c r="X136" i="1"/>
  <c r="U136" i="1"/>
  <c r="U136" i="1" a="1"/>
  <c r="S136" i="1" a="1"/>
  <c r="S136" i="1" s="1"/>
  <c r="N136" i="1"/>
  <c r="L136" i="1"/>
  <c r="J136" i="1"/>
  <c r="AC135" i="1"/>
  <c r="X135" i="1"/>
  <c r="U135" i="1" a="1"/>
  <c r="U135" i="1" s="1"/>
  <c r="S135" i="1"/>
  <c r="S135" i="1" a="1"/>
  <c r="N135" i="1"/>
  <c r="L135" i="1"/>
  <c r="J135" i="1"/>
  <c r="AC134" i="1"/>
  <c r="X134" i="1"/>
  <c r="U134" i="1" a="1"/>
  <c r="U134" i="1" s="1"/>
  <c r="S134" i="1" a="1"/>
  <c r="S134" i="1" s="1"/>
  <c r="N134" i="1"/>
  <c r="L134" i="1"/>
  <c r="J134" i="1"/>
  <c r="AC133" i="1"/>
  <c r="X133" i="1"/>
  <c r="U133" i="1" a="1"/>
  <c r="U133" i="1" s="1"/>
  <c r="S133" i="1"/>
  <c r="S133" i="1" a="1"/>
  <c r="N133" i="1"/>
  <c r="L133" i="1"/>
  <c r="J133" i="1"/>
  <c r="AC132" i="1"/>
  <c r="X132" i="1"/>
  <c r="U132" i="1"/>
  <c r="U132" i="1" a="1"/>
  <c r="S132" i="1" a="1"/>
  <c r="S132" i="1" s="1"/>
  <c r="N132" i="1"/>
  <c r="L132" i="1"/>
  <c r="J132" i="1"/>
  <c r="AC131" i="1"/>
  <c r="X131" i="1"/>
  <c r="U131" i="1" a="1"/>
  <c r="U131" i="1" s="1"/>
  <c r="S131" i="1" a="1"/>
  <c r="S131" i="1" s="1"/>
  <c r="N131" i="1"/>
  <c r="L131" i="1"/>
  <c r="J131" i="1"/>
  <c r="AC130" i="1"/>
  <c r="X130" i="1"/>
  <c r="U130" i="1"/>
  <c r="U130" i="1" a="1"/>
  <c r="S130" i="1" a="1"/>
  <c r="S130" i="1" s="1"/>
  <c r="N130" i="1"/>
  <c r="L130" i="1"/>
  <c r="J130" i="1"/>
  <c r="AC129" i="1"/>
  <c r="X129" i="1"/>
  <c r="U129" i="1" a="1"/>
  <c r="U129" i="1" s="1"/>
  <c r="S129" i="1" a="1"/>
  <c r="S129" i="1" s="1"/>
  <c r="N129" i="1"/>
  <c r="L129" i="1"/>
  <c r="J129" i="1"/>
  <c r="AC128" i="1"/>
  <c r="X128" i="1"/>
  <c r="U128" i="1" a="1"/>
  <c r="U128" i="1" s="1"/>
  <c r="S128" i="1"/>
  <c r="S128" i="1" a="1"/>
  <c r="N128" i="1"/>
  <c r="L128" i="1"/>
  <c r="J128" i="1"/>
  <c r="AC127" i="1"/>
  <c r="X127" i="1"/>
  <c r="U127" i="1"/>
  <c r="U127" i="1" a="1"/>
  <c r="S127" i="1" a="1"/>
  <c r="S127" i="1" s="1"/>
  <c r="N127" i="1"/>
  <c r="L127" i="1"/>
  <c r="J127" i="1"/>
  <c r="AC126" i="1"/>
  <c r="X126" i="1"/>
  <c r="U126" i="1" a="1"/>
  <c r="U126" i="1" s="1"/>
  <c r="S126" i="1" a="1"/>
  <c r="S126" i="1" s="1"/>
  <c r="N126" i="1"/>
  <c r="L126" i="1"/>
  <c r="J126" i="1"/>
  <c r="AC125" i="1"/>
  <c r="X125" i="1"/>
  <c r="U125" i="1"/>
  <c r="U125" i="1" a="1"/>
  <c r="S125" i="1" a="1"/>
  <c r="S125" i="1" s="1"/>
  <c r="N125" i="1"/>
  <c r="L125" i="1"/>
  <c r="J125" i="1"/>
  <c r="AC124" i="1"/>
  <c r="X124" i="1"/>
  <c r="U124" i="1" a="1"/>
  <c r="U124" i="1" s="1"/>
  <c r="S124" i="1"/>
  <c r="S124" i="1" a="1"/>
  <c r="N124" i="1"/>
  <c r="L124" i="1"/>
  <c r="J124" i="1"/>
  <c r="AC123" i="1"/>
  <c r="X123" i="1"/>
  <c r="U123" i="1"/>
  <c r="U123" i="1" a="1"/>
  <c r="S123" i="1"/>
  <c r="S123" i="1" a="1"/>
  <c r="N123" i="1"/>
  <c r="L123" i="1"/>
  <c r="J123" i="1"/>
  <c r="AC122" i="1"/>
  <c r="X122" i="1"/>
  <c r="U122" i="1" a="1"/>
  <c r="U122" i="1" s="1"/>
  <c r="S122" i="1" a="1"/>
  <c r="S122" i="1" s="1"/>
  <c r="N122" i="1"/>
  <c r="L122" i="1"/>
  <c r="J122" i="1"/>
  <c r="AC121" i="1"/>
  <c r="X121" i="1"/>
  <c r="U121" i="1"/>
  <c r="U121" i="1" a="1"/>
  <c r="S121" i="1" a="1"/>
  <c r="S121" i="1" s="1"/>
  <c r="N121" i="1"/>
  <c r="L121" i="1"/>
  <c r="J121" i="1"/>
  <c r="AC120" i="1"/>
  <c r="X120" i="1"/>
  <c r="U120" i="1"/>
  <c r="U120" i="1" a="1"/>
  <c r="S120" i="1" a="1"/>
  <c r="S120" i="1" s="1"/>
  <c r="N120" i="1"/>
  <c r="L120" i="1"/>
  <c r="J120" i="1"/>
  <c r="AC119" i="1"/>
  <c r="X119" i="1"/>
  <c r="U119" i="1" a="1"/>
  <c r="U119" i="1" s="1"/>
  <c r="S119" i="1"/>
  <c r="S119" i="1" a="1"/>
  <c r="N119" i="1"/>
  <c r="L119" i="1"/>
  <c r="J119" i="1"/>
  <c r="AC118" i="1"/>
  <c r="X118" i="1"/>
  <c r="U118" i="1" a="1"/>
  <c r="U118" i="1" s="1"/>
  <c r="S118" i="1" a="1"/>
  <c r="S118" i="1" s="1"/>
  <c r="N118" i="1"/>
  <c r="L118" i="1"/>
  <c r="J118" i="1"/>
  <c r="AC117" i="1"/>
  <c r="X117" i="1"/>
  <c r="U117" i="1"/>
  <c r="U117" i="1" a="1"/>
  <c r="S117" i="1"/>
  <c r="S117" i="1" a="1"/>
  <c r="N117" i="1"/>
  <c r="L117" i="1"/>
  <c r="J117" i="1"/>
  <c r="AC116" i="1"/>
  <c r="X116" i="1"/>
  <c r="U116" i="1" a="1"/>
  <c r="U116" i="1" s="1"/>
  <c r="S116" i="1"/>
  <c r="S116" i="1" a="1"/>
  <c r="N116" i="1"/>
  <c r="L116" i="1"/>
  <c r="J116" i="1"/>
  <c r="AC115" i="1"/>
  <c r="X115" i="1"/>
  <c r="U115" i="1"/>
  <c r="U115" i="1" a="1"/>
  <c r="S115" i="1" a="1"/>
  <c r="S115" i="1" s="1"/>
  <c r="N115" i="1"/>
  <c r="L115" i="1"/>
  <c r="J115" i="1"/>
  <c r="AC114" i="1"/>
  <c r="X114" i="1"/>
  <c r="U114" i="1" a="1"/>
  <c r="U114" i="1" s="1"/>
  <c r="S114" i="1" a="1"/>
  <c r="S114" i="1" s="1"/>
  <c r="N114" i="1"/>
  <c r="L114" i="1"/>
  <c r="J114" i="1"/>
  <c r="AC113" i="1"/>
  <c r="X113" i="1"/>
  <c r="U113" i="1"/>
  <c r="U113" i="1" a="1"/>
  <c r="S113" i="1"/>
  <c r="S113" i="1" a="1"/>
  <c r="N113" i="1"/>
  <c r="L113" i="1"/>
  <c r="J113" i="1"/>
  <c r="AC112" i="1"/>
  <c r="X112" i="1"/>
  <c r="U112" i="1" a="1"/>
  <c r="U112" i="1" s="1"/>
  <c r="S112" i="1" a="1"/>
  <c r="S112" i="1" s="1"/>
  <c r="N112" i="1"/>
  <c r="L112" i="1"/>
  <c r="J112" i="1"/>
  <c r="AC111" i="1"/>
  <c r="X111" i="1"/>
  <c r="U111" i="1" a="1"/>
  <c r="U111" i="1" s="1"/>
  <c r="S111" i="1" a="1"/>
  <c r="S111" i="1" s="1"/>
  <c r="N111" i="1"/>
  <c r="L111" i="1"/>
  <c r="J111" i="1"/>
  <c r="AC110" i="1"/>
  <c r="X110" i="1"/>
  <c r="U110" i="1"/>
  <c r="U110" i="1" a="1"/>
  <c r="S110" i="1" a="1"/>
  <c r="S110" i="1" s="1"/>
  <c r="N110" i="1"/>
  <c r="L110" i="1"/>
  <c r="J110" i="1"/>
  <c r="AC109" i="1"/>
  <c r="X109" i="1"/>
  <c r="U109" i="1" a="1"/>
  <c r="U109" i="1" s="1"/>
  <c r="S109" i="1"/>
  <c r="S109" i="1" a="1"/>
  <c r="N109" i="1"/>
  <c r="L109" i="1"/>
  <c r="J109" i="1"/>
  <c r="AC108" i="1"/>
  <c r="X108" i="1"/>
  <c r="U108" i="1" a="1"/>
  <c r="U108" i="1" s="1"/>
  <c r="S108" i="1" a="1"/>
  <c r="S108" i="1" s="1"/>
  <c r="N108" i="1"/>
  <c r="L108" i="1"/>
  <c r="J108" i="1"/>
  <c r="AC107" i="1"/>
  <c r="X107" i="1"/>
  <c r="U107" i="1" a="1"/>
  <c r="U107" i="1" s="1"/>
  <c r="S107" i="1" a="1"/>
  <c r="S107" i="1" s="1"/>
  <c r="N107" i="1"/>
  <c r="L107" i="1"/>
  <c r="J107" i="1"/>
  <c r="AC106" i="1"/>
  <c r="X106" i="1"/>
  <c r="U106" i="1"/>
  <c r="U106" i="1" a="1"/>
  <c r="S106" i="1" a="1"/>
  <c r="S106" i="1" s="1"/>
  <c r="N106" i="1"/>
  <c r="L106" i="1"/>
  <c r="J106" i="1"/>
  <c r="AC105" i="1"/>
  <c r="X105" i="1"/>
  <c r="U105" i="1" a="1"/>
  <c r="U105" i="1" s="1"/>
  <c r="S105" i="1" a="1"/>
  <c r="S105" i="1" s="1"/>
  <c r="N105" i="1"/>
  <c r="L105" i="1"/>
  <c r="J105" i="1"/>
  <c r="AC104" i="1"/>
  <c r="X104" i="1"/>
  <c r="U104" i="1" a="1"/>
  <c r="U104" i="1" s="1"/>
  <c r="S104" i="1" a="1"/>
  <c r="S104" i="1" s="1"/>
  <c r="N104" i="1"/>
  <c r="L104" i="1"/>
  <c r="J104" i="1"/>
  <c r="AC103" i="1"/>
  <c r="X103" i="1"/>
  <c r="U103" i="1" a="1"/>
  <c r="U103" i="1" s="1"/>
  <c r="S103" i="1" a="1"/>
  <c r="S103" i="1" s="1"/>
  <c r="N103" i="1"/>
  <c r="L103" i="1"/>
  <c r="J103" i="1"/>
  <c r="AC102" i="1"/>
  <c r="X102" i="1"/>
  <c r="U102" i="1" a="1"/>
  <c r="U102" i="1" s="1"/>
  <c r="S102" i="1" a="1"/>
  <c r="S102" i="1" s="1"/>
  <c r="N102" i="1"/>
  <c r="L102" i="1"/>
  <c r="J102" i="1"/>
  <c r="AC101" i="1"/>
  <c r="X101" i="1"/>
  <c r="U101" i="1" a="1"/>
  <c r="U101" i="1" s="1"/>
  <c r="S101" i="1" a="1"/>
  <c r="S101" i="1" s="1"/>
  <c r="N101" i="1"/>
  <c r="L101" i="1"/>
  <c r="J101" i="1"/>
  <c r="AC100" i="1"/>
  <c r="X100" i="1"/>
  <c r="U100" i="1" a="1"/>
  <c r="U100" i="1" s="1"/>
  <c r="S100" i="1" a="1"/>
  <c r="S100" i="1" s="1"/>
  <c r="N100" i="1"/>
  <c r="L100" i="1"/>
  <c r="J100" i="1"/>
  <c r="AC99" i="1"/>
  <c r="X99" i="1"/>
  <c r="U99" i="1"/>
  <c r="U99" i="1" a="1"/>
  <c r="S99" i="1" a="1"/>
  <c r="S99" i="1" s="1"/>
  <c r="N99" i="1"/>
  <c r="L99" i="1"/>
  <c r="J99" i="1"/>
  <c r="AC98" i="1"/>
  <c r="X98" i="1"/>
  <c r="U98" i="1" a="1"/>
  <c r="U98" i="1" s="1"/>
  <c r="S98" i="1" a="1"/>
  <c r="S98" i="1" s="1"/>
  <c r="N98" i="1"/>
  <c r="L98" i="1"/>
  <c r="J98" i="1"/>
  <c r="AC97" i="1"/>
  <c r="X97" i="1"/>
  <c r="U97" i="1" a="1"/>
  <c r="U97" i="1" s="1"/>
  <c r="S97" i="1" a="1"/>
  <c r="S97" i="1" s="1"/>
  <c r="N97" i="1"/>
  <c r="L97" i="1"/>
  <c r="J97" i="1"/>
  <c r="AC96" i="1"/>
  <c r="X96" i="1"/>
  <c r="U96" i="1"/>
  <c r="U96" i="1" a="1"/>
  <c r="S96" i="1" a="1"/>
  <c r="S96" i="1" s="1"/>
  <c r="N96" i="1"/>
  <c r="L96" i="1"/>
  <c r="J96" i="1"/>
  <c r="AC95" i="1"/>
  <c r="X95" i="1"/>
  <c r="U95" i="1"/>
  <c r="U95" i="1" a="1"/>
  <c r="S95" i="1" a="1"/>
  <c r="S95" i="1" s="1"/>
  <c r="N95" i="1"/>
  <c r="L95" i="1"/>
  <c r="J95" i="1"/>
  <c r="AC94" i="1"/>
  <c r="X94" i="1"/>
  <c r="U94" i="1" a="1"/>
  <c r="U94" i="1" s="1"/>
  <c r="S94" i="1" a="1"/>
  <c r="S94" i="1" s="1"/>
  <c r="N94" i="1"/>
  <c r="L94" i="1"/>
  <c r="J94" i="1"/>
  <c r="AC93" i="1"/>
  <c r="X93" i="1"/>
  <c r="U93" i="1" a="1"/>
  <c r="U93" i="1" s="1"/>
  <c r="S93" i="1" a="1"/>
  <c r="S93" i="1" s="1"/>
  <c r="N93" i="1"/>
  <c r="L93" i="1"/>
  <c r="J93" i="1"/>
  <c r="AC92" i="1"/>
  <c r="X92" i="1"/>
  <c r="U92" i="1" a="1"/>
  <c r="U92" i="1" s="1"/>
  <c r="S92" i="1"/>
  <c r="S92" i="1" a="1"/>
  <c r="N92" i="1"/>
  <c r="L92" i="1"/>
  <c r="J92" i="1"/>
  <c r="AC91" i="1"/>
  <c r="X91" i="1"/>
  <c r="U91" i="1" a="1"/>
  <c r="U91" i="1" s="1"/>
  <c r="S91" i="1"/>
  <c r="S91" i="1" a="1"/>
  <c r="N91" i="1"/>
  <c r="L91" i="1"/>
  <c r="J91" i="1"/>
  <c r="AC90" i="1"/>
  <c r="X90" i="1"/>
  <c r="U90" i="1" a="1"/>
  <c r="U90" i="1" s="1"/>
  <c r="S90" i="1" a="1"/>
  <c r="S90" i="1" s="1"/>
  <c r="N90" i="1"/>
  <c r="L90" i="1"/>
  <c r="J90" i="1"/>
  <c r="AC89" i="1"/>
  <c r="X89" i="1"/>
  <c r="U89" i="1"/>
  <c r="U89" i="1" a="1"/>
  <c r="S89" i="1" a="1"/>
  <c r="S89" i="1" s="1"/>
  <c r="N89" i="1"/>
  <c r="L89" i="1"/>
  <c r="J89" i="1"/>
  <c r="AC88" i="1"/>
  <c r="X88" i="1"/>
  <c r="U88" i="1" a="1"/>
  <c r="U88" i="1" s="1"/>
  <c r="S88" i="1"/>
  <c r="S88" i="1" a="1"/>
  <c r="N88" i="1"/>
  <c r="L88" i="1"/>
  <c r="J88" i="1"/>
  <c r="AC87" i="1"/>
  <c r="X87" i="1"/>
  <c r="U87" i="1" a="1"/>
  <c r="U87" i="1" s="1"/>
  <c r="S87" i="1"/>
  <c r="S87" i="1" a="1"/>
  <c r="N87" i="1"/>
  <c r="L87" i="1"/>
  <c r="J87" i="1"/>
  <c r="AC86" i="1"/>
  <c r="X86" i="1"/>
  <c r="U86" i="1" a="1"/>
  <c r="U86" i="1" s="1"/>
  <c r="S86" i="1" a="1"/>
  <c r="S86" i="1" s="1"/>
  <c r="N86" i="1"/>
  <c r="L86" i="1"/>
  <c r="J86" i="1"/>
  <c r="AC85" i="1"/>
  <c r="X85" i="1"/>
  <c r="U85" i="1"/>
  <c r="U85" i="1" a="1"/>
  <c r="S85" i="1" a="1"/>
  <c r="S85" i="1" s="1"/>
  <c r="N85" i="1"/>
  <c r="L85" i="1"/>
  <c r="J85" i="1"/>
  <c r="AC84" i="1"/>
  <c r="X84" i="1"/>
  <c r="U84" i="1" a="1"/>
  <c r="U84" i="1" s="1"/>
  <c r="S84" i="1" a="1"/>
  <c r="S84" i="1" s="1"/>
  <c r="N84" i="1"/>
  <c r="L84" i="1"/>
  <c r="J84" i="1"/>
  <c r="AC83" i="1"/>
  <c r="X83" i="1"/>
  <c r="U83" i="1" a="1"/>
  <c r="U83" i="1" s="1"/>
  <c r="S83" i="1"/>
  <c r="S83" i="1" a="1"/>
  <c r="N83" i="1"/>
  <c r="L83" i="1"/>
  <c r="J83" i="1"/>
  <c r="AC82" i="1"/>
  <c r="X82" i="1"/>
  <c r="U82" i="1" a="1"/>
  <c r="U82" i="1" s="1"/>
  <c r="S82" i="1" a="1"/>
  <c r="S82" i="1" s="1"/>
  <c r="N82" i="1"/>
  <c r="L82" i="1"/>
  <c r="J82" i="1"/>
  <c r="AC81" i="1"/>
  <c r="X81" i="1"/>
  <c r="U81" i="1"/>
  <c r="U81" i="1" a="1"/>
  <c r="S81" i="1"/>
  <c r="S81" i="1" a="1"/>
  <c r="N81" i="1"/>
  <c r="L81" i="1"/>
  <c r="J81" i="1"/>
  <c r="AC80" i="1"/>
  <c r="X80" i="1"/>
  <c r="U80" i="1" a="1"/>
  <c r="U80" i="1" s="1"/>
  <c r="S80" i="1" a="1"/>
  <c r="S80" i="1" s="1"/>
  <c r="N80" i="1"/>
  <c r="L80" i="1"/>
  <c r="J80" i="1"/>
  <c r="AC79" i="1"/>
  <c r="X79" i="1"/>
  <c r="U79" i="1" a="1"/>
  <c r="U79" i="1" s="1"/>
  <c r="S79" i="1"/>
  <c r="S79" i="1" a="1"/>
  <c r="N79" i="1"/>
  <c r="L79" i="1"/>
  <c r="J79" i="1"/>
  <c r="AC78" i="1"/>
  <c r="X78" i="1"/>
  <c r="U78" i="1"/>
  <c r="U78" i="1" a="1"/>
  <c r="S78" i="1" a="1"/>
  <c r="S78" i="1" s="1"/>
  <c r="N78" i="1"/>
  <c r="L78" i="1"/>
  <c r="J78" i="1"/>
  <c r="AC77" i="1"/>
  <c r="X77" i="1"/>
  <c r="U77" i="1" a="1"/>
  <c r="U77" i="1" s="1"/>
  <c r="S77" i="1"/>
  <c r="S77" i="1" a="1"/>
  <c r="N77" i="1"/>
  <c r="L77" i="1"/>
  <c r="J77" i="1"/>
  <c r="AC76" i="1"/>
  <c r="X76" i="1"/>
  <c r="U76" i="1" a="1"/>
  <c r="U76" i="1" s="1"/>
  <c r="S76" i="1"/>
  <c r="S76" i="1" a="1"/>
  <c r="N76" i="1"/>
  <c r="L76" i="1"/>
  <c r="J76" i="1"/>
  <c r="AC75" i="1"/>
  <c r="X75" i="1"/>
  <c r="U75" i="1" a="1"/>
  <c r="U75" i="1" s="1"/>
  <c r="S75" i="1"/>
  <c r="S75" i="1" a="1"/>
  <c r="N75" i="1"/>
  <c r="L75" i="1"/>
  <c r="J75" i="1"/>
  <c r="AC74" i="1"/>
  <c r="X74" i="1"/>
  <c r="U74" i="1"/>
  <c r="U74" i="1" a="1"/>
  <c r="S74" i="1" a="1"/>
  <c r="S74" i="1" s="1"/>
  <c r="N74" i="1"/>
  <c r="L74" i="1"/>
  <c r="J74" i="1"/>
  <c r="AC73" i="1"/>
  <c r="X73" i="1"/>
  <c r="U73" i="1" a="1"/>
  <c r="U73" i="1" s="1"/>
  <c r="S73" i="1"/>
  <c r="S73" i="1" a="1"/>
  <c r="N73" i="1"/>
  <c r="L73" i="1"/>
  <c r="J73" i="1"/>
  <c r="AC72" i="1"/>
  <c r="X72" i="1"/>
  <c r="U72" i="1" a="1"/>
  <c r="U72" i="1" s="1"/>
  <c r="S72" i="1" a="1"/>
  <c r="S72" i="1" s="1"/>
  <c r="N72" i="1"/>
  <c r="L72" i="1"/>
  <c r="J72" i="1"/>
  <c r="AC71" i="1"/>
  <c r="X71" i="1"/>
  <c r="U71" i="1" a="1"/>
  <c r="U71" i="1" s="1"/>
  <c r="S71" i="1"/>
  <c r="S71" i="1" a="1"/>
  <c r="N71" i="1"/>
  <c r="L71" i="1"/>
  <c r="J71" i="1"/>
  <c r="AC70" i="1"/>
  <c r="X70" i="1"/>
  <c r="U70" i="1"/>
  <c r="U70" i="1" a="1"/>
  <c r="S70" i="1"/>
  <c r="S70" i="1" a="1"/>
  <c r="N70" i="1"/>
  <c r="L70" i="1"/>
  <c r="J70" i="1"/>
  <c r="AC69" i="1"/>
  <c r="X69" i="1"/>
  <c r="U69" i="1" a="1"/>
  <c r="U69" i="1" s="1"/>
  <c r="S69" i="1" a="1"/>
  <c r="S69" i="1" s="1"/>
  <c r="N69" i="1"/>
  <c r="L69" i="1"/>
  <c r="J69" i="1"/>
  <c r="AC68" i="1"/>
  <c r="X68" i="1"/>
  <c r="U68" i="1" a="1"/>
  <c r="U68" i="1" s="1"/>
  <c r="S68" i="1" a="1"/>
  <c r="S68" i="1" s="1"/>
  <c r="N68" i="1"/>
  <c r="L68" i="1"/>
  <c r="J68" i="1"/>
  <c r="AC67" i="1"/>
  <c r="X67" i="1"/>
  <c r="U67" i="1"/>
  <c r="U67" i="1" a="1"/>
  <c r="S67" i="1"/>
  <c r="S67" i="1" a="1"/>
  <c r="N67" i="1"/>
  <c r="L67" i="1"/>
  <c r="J67" i="1"/>
  <c r="AC66" i="1"/>
  <c r="X66" i="1"/>
  <c r="U66" i="1" a="1"/>
  <c r="U66" i="1" s="1"/>
  <c r="S66" i="1"/>
  <c r="S66" i="1" a="1"/>
  <c r="N66" i="1"/>
  <c r="L66" i="1"/>
  <c r="J66" i="1"/>
  <c r="AC65" i="1"/>
  <c r="X65" i="1"/>
  <c r="U65" i="1" a="1"/>
  <c r="U65" i="1" s="1"/>
  <c r="S65" i="1" a="1"/>
  <c r="S65" i="1" s="1"/>
  <c r="N65" i="1"/>
  <c r="L65" i="1"/>
  <c r="J65" i="1"/>
  <c r="AC64" i="1"/>
  <c r="X64" i="1"/>
  <c r="U64" i="1" a="1"/>
  <c r="U64" i="1" s="1"/>
  <c r="S64" i="1" a="1"/>
  <c r="S64" i="1" s="1"/>
  <c r="N64" i="1"/>
  <c r="L64" i="1"/>
  <c r="J64" i="1"/>
  <c r="AC63" i="1"/>
  <c r="X63" i="1"/>
  <c r="U63" i="1"/>
  <c r="U63" i="1" a="1"/>
  <c r="S63" i="1" a="1"/>
  <c r="S63" i="1" s="1"/>
  <c r="N63" i="1"/>
  <c r="L63" i="1"/>
  <c r="J63" i="1"/>
  <c r="AC62" i="1"/>
  <c r="X62" i="1"/>
  <c r="U62" i="1" a="1"/>
  <c r="U62" i="1" s="1"/>
  <c r="S62" i="1" a="1"/>
  <c r="S62" i="1" s="1"/>
  <c r="N62" i="1"/>
  <c r="L62" i="1"/>
  <c r="J62" i="1"/>
  <c r="AC61" i="1"/>
  <c r="X61" i="1"/>
  <c r="U61" i="1" a="1"/>
  <c r="U61" i="1" s="1"/>
  <c r="S61" i="1" a="1"/>
  <c r="S61" i="1" s="1"/>
  <c r="N61" i="1"/>
  <c r="L61" i="1"/>
  <c r="J61" i="1"/>
  <c r="AC60" i="1"/>
  <c r="X60" i="1"/>
  <c r="U60" i="1" a="1"/>
  <c r="U60" i="1" s="1"/>
  <c r="S60" i="1" a="1"/>
  <c r="S60" i="1" s="1"/>
  <c r="N60" i="1"/>
  <c r="L60" i="1"/>
  <c r="J60" i="1"/>
  <c r="AC59" i="1"/>
  <c r="X59" i="1"/>
  <c r="U59" i="1" a="1"/>
  <c r="U59" i="1" s="1"/>
  <c r="S59" i="1" a="1"/>
  <c r="S59" i="1" s="1"/>
  <c r="N59" i="1"/>
  <c r="L59" i="1"/>
  <c r="J59" i="1"/>
  <c r="AC58" i="1"/>
  <c r="X58" i="1"/>
  <c r="U58" i="1" a="1"/>
  <c r="U58" i="1" s="1"/>
  <c r="S58" i="1" a="1"/>
  <c r="S58" i="1" s="1"/>
  <c r="N58" i="1"/>
  <c r="L58" i="1"/>
  <c r="J58" i="1"/>
  <c r="AC57" i="1"/>
  <c r="X57" i="1"/>
  <c r="U57" i="1" a="1"/>
  <c r="U57" i="1" s="1"/>
  <c r="S57" i="1" a="1"/>
  <c r="S57" i="1" s="1"/>
  <c r="N57" i="1"/>
  <c r="L57" i="1"/>
  <c r="J57" i="1"/>
  <c r="AC56" i="1"/>
  <c r="X56" i="1"/>
  <c r="U56" i="1" a="1"/>
  <c r="U56" i="1" s="1"/>
  <c r="S56" i="1"/>
  <c r="S56" i="1" a="1"/>
  <c r="N56" i="1"/>
  <c r="L56" i="1"/>
  <c r="J56" i="1"/>
  <c r="AC55" i="1"/>
  <c r="X55" i="1"/>
  <c r="U55" i="1" a="1"/>
  <c r="U55" i="1" s="1"/>
  <c r="S55" i="1" a="1"/>
  <c r="S55" i="1" s="1"/>
  <c r="N55" i="1"/>
  <c r="L55" i="1"/>
  <c r="J55" i="1"/>
  <c r="AC54" i="1"/>
  <c r="X54" i="1"/>
  <c r="U54" i="1" a="1"/>
  <c r="U54" i="1" s="1"/>
  <c r="S54" i="1" a="1"/>
  <c r="S54" i="1" s="1"/>
  <c r="N54" i="1"/>
  <c r="L54" i="1"/>
  <c r="J54" i="1"/>
  <c r="AC53" i="1"/>
  <c r="X53" i="1"/>
  <c r="U53" i="1"/>
  <c r="U53" i="1" a="1"/>
  <c r="S53" i="1" a="1"/>
  <c r="S53" i="1" s="1"/>
  <c r="N53" i="1"/>
  <c r="L53" i="1"/>
  <c r="J53" i="1"/>
  <c r="AC52" i="1"/>
  <c r="X52" i="1"/>
  <c r="U52" i="1" a="1"/>
  <c r="U52" i="1" s="1"/>
  <c r="S52" i="1"/>
  <c r="S52" i="1" a="1"/>
  <c r="N52" i="1"/>
  <c r="L52" i="1"/>
  <c r="J52" i="1"/>
  <c r="AC51" i="1"/>
  <c r="X51" i="1"/>
  <c r="U51" i="1" a="1"/>
  <c r="U51" i="1" s="1"/>
  <c r="S51" i="1" a="1"/>
  <c r="S51" i="1" s="1"/>
  <c r="N51" i="1"/>
  <c r="L51" i="1"/>
  <c r="J51" i="1"/>
  <c r="AC50" i="1"/>
  <c r="X50" i="1"/>
  <c r="U50" i="1" a="1"/>
  <c r="U50" i="1" s="1"/>
  <c r="S50" i="1" a="1"/>
  <c r="S50" i="1" s="1"/>
  <c r="N50" i="1"/>
  <c r="L50" i="1"/>
  <c r="J50" i="1"/>
  <c r="AC49" i="1"/>
  <c r="X49" i="1"/>
  <c r="U49" i="1"/>
  <c r="U49" i="1" a="1"/>
  <c r="S49" i="1"/>
  <c r="S49" i="1" a="1"/>
  <c r="N49" i="1"/>
  <c r="L49" i="1"/>
  <c r="J49" i="1"/>
  <c r="AC48" i="1"/>
  <c r="X48" i="1"/>
  <c r="U48" i="1" a="1"/>
  <c r="U48" i="1" s="1"/>
  <c r="S48" i="1" a="1"/>
  <c r="S48" i="1" s="1"/>
  <c r="N48" i="1"/>
  <c r="L48" i="1"/>
  <c r="J48" i="1"/>
  <c r="AC47" i="1"/>
  <c r="X47" i="1"/>
  <c r="U47" i="1" a="1"/>
  <c r="U47" i="1" s="1"/>
  <c r="S47" i="1" a="1"/>
  <c r="S47" i="1" s="1"/>
  <c r="N47" i="1"/>
  <c r="L47" i="1"/>
  <c r="J47" i="1"/>
  <c r="AC46" i="1"/>
  <c r="X46" i="1"/>
  <c r="U46" i="1"/>
  <c r="U46" i="1" a="1"/>
  <c r="S46" i="1" a="1"/>
  <c r="S46" i="1" s="1"/>
  <c r="N46" i="1"/>
  <c r="L46" i="1"/>
  <c r="J46" i="1"/>
  <c r="AC45" i="1"/>
  <c r="X45" i="1"/>
  <c r="U45" i="1" a="1"/>
  <c r="U45" i="1" s="1"/>
  <c r="S45" i="1"/>
  <c r="S45" i="1" a="1"/>
  <c r="N45" i="1"/>
  <c r="L45" i="1"/>
  <c r="J45" i="1"/>
  <c r="AC44" i="1"/>
  <c r="X44" i="1"/>
  <c r="U44" i="1" a="1"/>
  <c r="U44" i="1" s="1"/>
  <c r="S44" i="1" a="1"/>
  <c r="S44" i="1" s="1"/>
  <c r="N44" i="1"/>
  <c r="L44" i="1"/>
  <c r="J44" i="1"/>
  <c r="AC43" i="1"/>
  <c r="X43" i="1"/>
  <c r="U43" i="1" a="1"/>
  <c r="U43" i="1" s="1"/>
  <c r="S43" i="1" a="1"/>
  <c r="S43" i="1" s="1"/>
  <c r="N43" i="1"/>
  <c r="L43" i="1"/>
  <c r="J43" i="1"/>
  <c r="AC42" i="1"/>
  <c r="X42" i="1"/>
  <c r="U42" i="1" a="1"/>
  <c r="U42" i="1" s="1"/>
  <c r="S42" i="1"/>
  <c r="S42" i="1" a="1"/>
  <c r="N42" i="1"/>
  <c r="L42" i="1"/>
  <c r="J42" i="1"/>
  <c r="AC41" i="1"/>
  <c r="X41" i="1"/>
  <c r="U41" i="1" a="1"/>
  <c r="U41" i="1" s="1"/>
  <c r="S41" i="1" a="1"/>
  <c r="S41" i="1" s="1"/>
  <c r="N41" i="1"/>
  <c r="L41" i="1"/>
  <c r="J41" i="1"/>
  <c r="AC40" i="1"/>
  <c r="X40" i="1"/>
  <c r="U40" i="1" a="1"/>
  <c r="U40" i="1" s="1"/>
  <c r="S40" i="1" a="1"/>
  <c r="S40" i="1" s="1"/>
  <c r="N40" i="1"/>
  <c r="L40" i="1"/>
  <c r="J40" i="1"/>
  <c r="AC39" i="1"/>
  <c r="X39" i="1"/>
  <c r="U39" i="1"/>
  <c r="U39" i="1" a="1"/>
  <c r="S39" i="1" a="1"/>
  <c r="S39" i="1" s="1"/>
  <c r="N39" i="1"/>
  <c r="L39" i="1"/>
  <c r="J39" i="1"/>
  <c r="AC38" i="1"/>
  <c r="X38" i="1"/>
  <c r="U38" i="1" a="1"/>
  <c r="U38" i="1" s="1"/>
  <c r="S38" i="1" a="1"/>
  <c r="S38" i="1" s="1"/>
  <c r="N38" i="1"/>
  <c r="L38" i="1"/>
  <c r="J38" i="1"/>
  <c r="AC37" i="1"/>
  <c r="X37" i="1"/>
  <c r="U37" i="1" a="1"/>
  <c r="U37" i="1" s="1"/>
  <c r="S37" i="1" a="1"/>
  <c r="S37" i="1" s="1"/>
  <c r="N37" i="1"/>
  <c r="L37" i="1"/>
  <c r="J37" i="1"/>
  <c r="AC36" i="1"/>
  <c r="X36" i="1"/>
  <c r="U36" i="1" a="1"/>
  <c r="U36" i="1" s="1"/>
  <c r="S36" i="1" a="1"/>
  <c r="S36" i="1" s="1"/>
  <c r="N36" i="1"/>
  <c r="L36" i="1"/>
  <c r="J36" i="1"/>
  <c r="AC35" i="1"/>
  <c r="X35" i="1"/>
  <c r="U35" i="1" a="1"/>
  <c r="U35" i="1" s="1"/>
  <c r="S35" i="1" a="1"/>
  <c r="S35" i="1" s="1"/>
  <c r="N35" i="1"/>
  <c r="L35" i="1"/>
  <c r="J35" i="1"/>
  <c r="AC34" i="1"/>
  <c r="X34" i="1"/>
  <c r="U34" i="1" a="1"/>
  <c r="U34" i="1" s="1"/>
  <c r="S34" i="1" a="1"/>
  <c r="S34" i="1" s="1"/>
  <c r="N34" i="1"/>
  <c r="L34" i="1"/>
  <c r="J34" i="1"/>
  <c r="AC33" i="1"/>
  <c r="X33" i="1"/>
  <c r="U33" i="1" a="1"/>
  <c r="U33" i="1" s="1"/>
  <c r="S33" i="1" a="1"/>
  <c r="S33" i="1" s="1"/>
  <c r="N33" i="1"/>
  <c r="J33" i="1"/>
  <c r="AC32" i="1"/>
  <c r="X32" i="1"/>
  <c r="U32" i="1" a="1"/>
  <c r="U32" i="1" s="1"/>
  <c r="S32" i="1"/>
  <c r="S32" i="1" a="1"/>
  <c r="N32" i="1"/>
  <c r="J32" i="1"/>
  <c r="AC31" i="1"/>
  <c r="X31" i="1"/>
  <c r="U31" i="1" a="1"/>
  <c r="U31" i="1" s="1"/>
  <c r="S31" i="1" a="1"/>
  <c r="S31" i="1" s="1"/>
  <c r="N31" i="1"/>
  <c r="L31" i="1"/>
  <c r="J31" i="1"/>
  <c r="AC30" i="1"/>
  <c r="X30" i="1"/>
  <c r="U30" i="1" a="1"/>
  <c r="U30" i="1" s="1"/>
  <c r="S30" i="1" a="1"/>
  <c r="S30" i="1" s="1"/>
  <c r="N30" i="1"/>
  <c r="L30" i="1"/>
  <c r="J30" i="1"/>
  <c r="AC29" i="1"/>
  <c r="X29" i="1"/>
  <c r="U29" i="1"/>
  <c r="U29" i="1" a="1"/>
  <c r="S29" i="1" a="1"/>
  <c r="S29" i="1" s="1"/>
  <c r="N29" i="1"/>
  <c r="L29" i="1"/>
  <c r="J29" i="1"/>
  <c r="AC28" i="1"/>
  <c r="X28" i="1"/>
  <c r="U28" i="1"/>
  <c r="U28" i="1" a="1"/>
  <c r="S28" i="1" a="1"/>
  <c r="S28" i="1" s="1"/>
  <c r="N28" i="1"/>
  <c r="L28" i="1"/>
  <c r="J28" i="1"/>
  <c r="AC27" i="1"/>
  <c r="X27" i="1"/>
  <c r="U27" i="1" a="1"/>
  <c r="U27" i="1" s="1"/>
  <c r="S27" i="1" a="1"/>
  <c r="S27" i="1" s="1"/>
  <c r="N27" i="1"/>
  <c r="L27" i="1"/>
  <c r="J27" i="1"/>
  <c r="AC26" i="1"/>
  <c r="X26" i="1"/>
  <c r="U26" i="1" a="1"/>
  <c r="U26" i="1" s="1"/>
  <c r="S26" i="1" a="1"/>
  <c r="S26" i="1" s="1"/>
  <c r="N26" i="1"/>
  <c r="L26" i="1"/>
  <c r="J26" i="1"/>
  <c r="AC25" i="1"/>
  <c r="X25" i="1"/>
  <c r="U25" i="1"/>
  <c r="U25" i="1" a="1"/>
  <c r="S25" i="1"/>
  <c r="S25" i="1" a="1"/>
  <c r="N25" i="1"/>
  <c r="L25" i="1"/>
  <c r="J25" i="1"/>
  <c r="AC24" i="1"/>
  <c r="X24" i="1"/>
  <c r="U24" i="1"/>
  <c r="U24" i="1" a="1"/>
  <c r="S24" i="1" a="1"/>
  <c r="S24" i="1" s="1"/>
  <c r="N24" i="1"/>
  <c r="L24" i="1"/>
  <c r="J24" i="1"/>
  <c r="AC23" i="1"/>
  <c r="X23" i="1"/>
  <c r="U23" i="1" a="1"/>
  <c r="U23" i="1" s="1"/>
  <c r="S23" i="1" a="1"/>
  <c r="S23" i="1" s="1"/>
  <c r="N23" i="1"/>
  <c r="L23" i="1"/>
  <c r="J23" i="1"/>
  <c r="AC22" i="1"/>
  <c r="X22" i="1"/>
  <c r="U22" i="1"/>
  <c r="U22" i="1" a="1"/>
  <c r="S22" i="1" a="1"/>
  <c r="S22" i="1" s="1"/>
  <c r="N22" i="1"/>
  <c r="L22" i="1"/>
  <c r="J22" i="1"/>
  <c r="AC21" i="1"/>
  <c r="X21" i="1"/>
  <c r="U21" i="1" a="1"/>
  <c r="U21" i="1" s="1"/>
  <c r="S21" i="1"/>
  <c r="S21" i="1" a="1"/>
  <c r="N21" i="1"/>
  <c r="L21" i="1"/>
  <c r="J21" i="1"/>
  <c r="AC20" i="1"/>
  <c r="X20" i="1"/>
  <c r="U20" i="1"/>
  <c r="U20" i="1" a="1"/>
  <c r="S20" i="1" a="1"/>
  <c r="S20" i="1" s="1"/>
  <c r="N20" i="1"/>
  <c r="L20" i="1"/>
  <c r="J20" i="1"/>
  <c r="AC19" i="1"/>
  <c r="X19" i="1"/>
  <c r="U19" i="1" a="1"/>
  <c r="U19" i="1" s="1"/>
  <c r="S19" i="1" a="1"/>
  <c r="S19" i="1" s="1"/>
  <c r="N19" i="1"/>
  <c r="L19" i="1"/>
  <c r="J19" i="1"/>
  <c r="AC18" i="1"/>
  <c r="X18" i="1"/>
  <c r="U18" i="1"/>
  <c r="U18" i="1" a="1"/>
  <c r="S18" i="1" a="1"/>
  <c r="S18" i="1" s="1"/>
  <c r="N18" i="1"/>
  <c r="L18" i="1"/>
  <c r="J18" i="1"/>
  <c r="AC17" i="1"/>
  <c r="X17" i="1"/>
  <c r="U17" i="1" a="1"/>
  <c r="U17" i="1" s="1"/>
  <c r="S17" i="1"/>
  <c r="S17" i="1" a="1"/>
  <c r="N17" i="1"/>
  <c r="L17" i="1"/>
  <c r="J17" i="1"/>
  <c r="AC16" i="1"/>
  <c r="X16" i="1"/>
  <c r="U16" i="1"/>
  <c r="U16" i="1" a="1"/>
  <c r="S16" i="1" a="1"/>
  <c r="S16" i="1" s="1"/>
  <c r="N16" i="1"/>
  <c r="L16" i="1"/>
  <c r="J16" i="1"/>
  <c r="AC15" i="1"/>
  <c r="X15" i="1"/>
  <c r="U15" i="1" a="1"/>
  <c r="U15" i="1" s="1"/>
  <c r="S15" i="1" a="1"/>
  <c r="S15" i="1" s="1"/>
  <c r="N15" i="1"/>
  <c r="L15" i="1"/>
  <c r="J15" i="1"/>
  <c r="AC14" i="1"/>
  <c r="X14" i="1"/>
  <c r="U14" i="1"/>
  <c r="U14" i="1" a="1"/>
  <c r="S14" i="1"/>
  <c r="S14" i="1" a="1"/>
  <c r="N14" i="1"/>
  <c r="L14" i="1"/>
  <c r="J14" i="1"/>
  <c r="AC13" i="1"/>
  <c r="X13" i="1"/>
  <c r="U13" i="1" a="1"/>
  <c r="U13" i="1" s="1"/>
  <c r="S13" i="1" a="1"/>
  <c r="S13" i="1" s="1"/>
  <c r="N13" i="1"/>
  <c r="L13" i="1"/>
  <c r="J13" i="1"/>
  <c r="AC12" i="1"/>
  <c r="X12" i="1"/>
  <c r="U12" i="1"/>
  <c r="U12" i="1" a="1"/>
  <c r="S12" i="1" a="1"/>
  <c r="S12" i="1" s="1"/>
  <c r="N12" i="1"/>
  <c r="L12" i="1"/>
  <c r="J12" i="1"/>
  <c r="AC11" i="1"/>
  <c r="X11" i="1"/>
  <c r="U11" i="1"/>
  <c r="U11" i="1" a="1"/>
  <c r="S11" i="1" a="1"/>
  <c r="S11" i="1" s="1"/>
  <c r="N11" i="1"/>
  <c r="L11" i="1"/>
  <c r="J11" i="1"/>
  <c r="AC10" i="1"/>
  <c r="X10" i="1"/>
  <c r="U10" i="1" a="1"/>
  <c r="U10" i="1" s="1"/>
  <c r="S10" i="1"/>
  <c r="S10" i="1" a="1"/>
  <c r="N10" i="1"/>
  <c r="L10" i="1"/>
  <c r="J10" i="1"/>
  <c r="AC9" i="1"/>
  <c r="X9" i="1"/>
  <c r="U9" i="1" a="1"/>
  <c r="U9" i="1" s="1"/>
  <c r="S9" i="1" a="1"/>
  <c r="S9" i="1" s="1"/>
  <c r="N9" i="1"/>
  <c r="L9" i="1"/>
  <c r="J9" i="1"/>
  <c r="AC8" i="1"/>
  <c r="X8" i="1"/>
  <c r="U8" i="1"/>
  <c r="U8" i="1" a="1"/>
  <c r="S8" i="1" a="1"/>
  <c r="S8" i="1" s="1"/>
  <c r="N8" i="1"/>
  <c r="L8" i="1"/>
  <c r="J8" i="1"/>
  <c r="AC7" i="1"/>
  <c r="X7" i="1"/>
  <c r="U7" i="1"/>
  <c r="U7" i="1" a="1"/>
  <c r="S7" i="1" a="1"/>
  <c r="S7" i="1" s="1"/>
  <c r="N7" i="1"/>
  <c r="L7" i="1"/>
  <c r="J7" i="1"/>
  <c r="AC6" i="1"/>
  <c r="X6" i="1"/>
  <c r="U6" i="1" a="1"/>
  <c r="U6" i="1" s="1"/>
  <c r="S6" i="1"/>
  <c r="S6" i="1" a="1"/>
  <c r="N6" i="1"/>
  <c r="L6" i="1"/>
  <c r="J6" i="1"/>
  <c r="AC5" i="1"/>
  <c r="X5" i="1"/>
  <c r="U5" i="1" a="1"/>
  <c r="U5" i="1" s="1"/>
  <c r="S5" i="1" a="1"/>
  <c r="S5" i="1" s="1"/>
  <c r="N5" i="1"/>
  <c r="L5" i="1"/>
  <c r="J5" i="1"/>
  <c r="X4" i="1"/>
  <c r="U4" i="1" a="1"/>
  <c r="U4" i="1" s="1"/>
  <c r="S4" i="1" a="1"/>
  <c r="S4" i="1" s="1"/>
  <c r="N4" i="1"/>
  <c r="X3" i="1"/>
  <c r="U3" i="1" a="1"/>
  <c r="U3" i="1" s="1"/>
  <c r="S3" i="1" a="1"/>
  <c r="S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Com</author>
    <author>com</author>
  </authors>
  <commentList>
    <comment ref="AB30" authorId="0" shapeId="0" xr:uid="{D54367E9-D6F5-4454-B1DC-8FD6D58DCD2F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34" authorId="0" shapeId="0" xr:uid="{DB5C7A2C-613B-4744-A55F-CD7D87F90194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 SOC</t>
        </r>
        <r>
          <rPr>
            <sz val="11"/>
            <color indexed="81"/>
            <rFont val="돋움"/>
            <family val="3"/>
            <charset val="129"/>
          </rPr>
          <t>밴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RSF93195 /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 CY / </t>
        </r>
        <r>
          <rPr>
            <sz val="11"/>
            <color indexed="81"/>
            <rFont val="돋움"/>
            <family val="3"/>
            <charset val="129"/>
          </rPr>
          <t>인천연수구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송도동</t>
        </r>
        <r>
          <rPr>
            <sz val="11"/>
            <color indexed="81"/>
            <rFont val="Tahoma"/>
            <family val="2"/>
          </rPr>
          <t xml:space="preserve"> 593 / 032-884-2662
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(10.245KG)
** SURABAYA VOYAGER / SBVG-16/ 12-08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BPT </t>
        </r>
        <r>
          <rPr>
            <sz val="11"/>
            <color indexed="81"/>
            <rFont val="돋움"/>
            <family val="3"/>
            <charset val="129"/>
          </rPr>
          <t>신선대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반입</t>
        </r>
      </text>
    </comment>
    <comment ref="AB36" authorId="0" shapeId="0" xr:uid="{64C1ACB6-7DF3-4959-9399-ECFAD7C1AB9A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** </t>
        </r>
        <r>
          <rPr>
            <sz val="12"/>
            <color indexed="81"/>
            <rFont val="돋움"/>
            <family val="3"/>
            <charset val="129"/>
          </rPr>
          <t>공만차계근</t>
        </r>
        <r>
          <rPr>
            <sz val="12"/>
            <color indexed="81"/>
            <rFont val="Tahoma"/>
            <family val="2"/>
          </rPr>
          <t xml:space="preserve"> (  23,2380
KGS )
** SURABAYA VOYAGR / SBVG-16 / 12-07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BPT </t>
        </r>
        <r>
          <rPr>
            <sz val="12"/>
            <color indexed="81"/>
            <rFont val="돋움"/>
            <family val="3"/>
            <charset val="129"/>
          </rPr>
          <t>신선대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</text>
    </comment>
    <comment ref="AB38" authorId="0" shapeId="0" xr:uid="{EFF0B1D1-AD2F-4E23-977D-A38C63C48081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)
* KMTC SHENZHEN / 2509E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: 2025/12/09 08:00
**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FULL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셔틀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39" authorId="0" shapeId="0" xr:uid="{ACA0954A-6B9E-402C-A391-2EEA2F0DFCB2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)
* KMTC SHENZHEN / 2509E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: 2025/12/09 08:00
**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FULL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셔틀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47" authorId="0" shapeId="0" xr:uid="{610143C3-D5D8-4692-BA1E-D74BF15CE654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12/2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 xml:space="preserve"> ~ 12/4 </t>
        </r>
        <r>
          <rPr>
            <sz val="11"/>
            <color indexed="81"/>
            <rFont val="돋움"/>
            <family val="3"/>
            <charset val="129"/>
          </rPr>
          <t>반입
총</t>
        </r>
        <r>
          <rPr>
            <sz val="11"/>
            <color indexed="81"/>
            <rFont val="Tahoma"/>
            <family val="2"/>
          </rPr>
          <t xml:space="preserve"> 3</t>
        </r>
        <r>
          <rPr>
            <sz val="11"/>
            <color indexed="81"/>
            <rFont val="돋움"/>
            <family val="3"/>
            <charset val="129"/>
          </rPr>
          <t>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중
</t>
        </r>
        <r>
          <rPr>
            <sz val="11"/>
            <color indexed="81"/>
            <rFont val="Tahoma"/>
            <family val="2"/>
          </rPr>
          <t>1</t>
        </r>
        <r>
          <rPr>
            <sz val="11"/>
            <color indexed="81"/>
            <rFont val="돋움"/>
            <family val="3"/>
            <charset val="129"/>
          </rPr>
          <t>일치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정리하여
</t>
        </r>
        <r>
          <rPr>
            <sz val="11"/>
            <color indexed="81"/>
            <rFont val="Tahoma"/>
            <family val="2"/>
          </rPr>
          <t>5 + 6 + 3 = 14</t>
        </r>
        <r>
          <rPr>
            <sz val="11"/>
            <color indexed="81"/>
            <rFont val="돋움"/>
            <family val="3"/>
            <charset val="129"/>
          </rPr>
          <t>만원
장비사용료</t>
        </r>
        <r>
          <rPr>
            <sz val="11"/>
            <color indexed="81"/>
            <rFont val="Tahoma"/>
            <family val="2"/>
          </rPr>
          <t xml:space="preserve"> : 50,000 </t>
        </r>
        <r>
          <rPr>
            <sz val="11"/>
            <color indexed="81"/>
            <rFont val="돋움"/>
            <family val="3"/>
            <charset val="129"/>
          </rPr>
          <t>원
셔틀료</t>
        </r>
        <r>
          <rPr>
            <sz val="11"/>
            <color indexed="81"/>
            <rFont val="Tahoma"/>
            <family val="2"/>
          </rPr>
          <t xml:space="preserve"> : 60,000 </t>
        </r>
        <r>
          <rPr>
            <sz val="11"/>
            <color indexed="81"/>
            <rFont val="돋움"/>
            <family val="3"/>
            <charset val="129"/>
          </rPr>
          <t>원
보관료</t>
        </r>
        <r>
          <rPr>
            <sz val="11"/>
            <color indexed="81"/>
            <rFont val="Tahoma"/>
            <family val="2"/>
          </rPr>
          <t xml:space="preserve"> : 15,000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/ DAY</t>
        </r>
        <r>
          <rPr>
            <sz val="11"/>
            <color indexed="81"/>
            <rFont val="돋움"/>
            <family val="3"/>
            <charset val="129"/>
          </rPr>
          <t>당</t>
        </r>
      </text>
    </comment>
    <comment ref="AB51" authorId="0" shapeId="0" xr:uid="{08AE5E6C-D222-4EBE-B793-23BEF483573F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** </t>
        </r>
        <r>
          <rPr>
            <sz val="9"/>
            <color indexed="81"/>
            <rFont val="돋움"/>
            <family val="3"/>
            <charset val="129"/>
          </rPr>
          <t>온그라운딩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 (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: 12/02 (</t>
        </r>
        <r>
          <rPr>
            <sz val="9"/>
            <color indexed="81"/>
            <rFont val="돋움"/>
            <family val="3"/>
            <charset val="129"/>
          </rPr>
          <t>화</t>
        </r>
        <r>
          <rPr>
            <sz val="9"/>
            <color indexed="81"/>
            <rFont val="Tahoma"/>
            <family val="2"/>
          </rPr>
          <t>) 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~ </t>
        </r>
        <r>
          <rPr>
            <sz val="9"/>
            <color indexed="81"/>
            <rFont val="돋움"/>
            <family val="3"/>
            <charset val="129"/>
          </rPr>
          <t>회수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미정</t>
        </r>
        <r>
          <rPr>
            <sz val="9"/>
            <color indexed="81"/>
            <rFont val="Tahoma"/>
            <family val="2"/>
          </rPr>
          <t xml:space="preserve"> )
  ** 11.18 (</t>
        </r>
        <r>
          <rPr>
            <sz val="9"/>
            <color indexed="81"/>
            <rFont val="돋움"/>
            <family val="3"/>
            <charset val="129"/>
          </rPr>
          <t>화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다모아</t>
        </r>
        <r>
          <rPr>
            <sz val="9"/>
            <color indexed="81"/>
            <rFont val="Tahoma"/>
            <family val="2"/>
          </rPr>
          <t xml:space="preserve">(13)  / BKG. SITPUCB058581 / SITU9196360 / SITB264744 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교체
</t>
        </r>
        <r>
          <rPr>
            <sz val="9"/>
            <color indexed="81"/>
            <rFont val="Tahoma"/>
            <family val="2"/>
          </rPr>
          <t xml:space="preserve">  ** </t>
        </r>
        <r>
          <rPr>
            <sz val="9"/>
            <color indexed="81"/>
            <rFont val="돋움"/>
            <family val="3"/>
            <charset val="129"/>
          </rPr>
          <t>회수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 SITC SHUNDE / 2522S / STND-001 /   2025/12/03 19:00  </t>
        </r>
        <r>
          <rPr>
            <sz val="9"/>
            <color indexed="81"/>
            <rFont val="돋움"/>
            <family val="3"/>
            <charset val="129"/>
          </rPr>
          <t>접안예정</t>
        </r>
        <r>
          <rPr>
            <sz val="9"/>
            <color indexed="81"/>
            <rFont val="Tahoma"/>
            <family val="2"/>
          </rPr>
          <t xml:space="preserve"> / BPT</t>
        </r>
        <r>
          <rPr>
            <sz val="9"/>
            <color indexed="81"/>
            <rFont val="돋움"/>
            <family val="3"/>
            <charset val="129"/>
          </rPr>
          <t>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</text>
    </comment>
    <comment ref="AB60" authorId="0" shapeId="0" xr:uid="{68D9AA61-2D0B-4042-92D6-955330384AD8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승진</t>
        </r>
        <r>
          <rPr>
            <sz val="11"/>
            <color indexed="81"/>
            <rFont val="Tahoma"/>
            <family val="2"/>
          </rPr>
          <t xml:space="preserve"> CY : </t>
        </r>
        <r>
          <rPr>
            <sz val="11"/>
            <color indexed="81"/>
            <rFont val="돋움"/>
            <family val="3"/>
            <charset val="129"/>
          </rPr>
          <t>인천시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연수구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송도동</t>
        </r>
        <r>
          <rPr>
            <sz val="11"/>
            <color indexed="81"/>
            <rFont val="Tahoma"/>
            <family val="2"/>
          </rPr>
          <t xml:space="preserve"> 593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RSF97472
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( 9,940 KGS )  -  </t>
        </r>
        <r>
          <rPr>
            <sz val="11"/>
            <color indexed="81"/>
            <rFont val="돋움"/>
            <family val="3"/>
            <charset val="129"/>
          </rPr>
          <t>김포에서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  <r>
          <rPr>
            <sz val="11"/>
            <color indexed="81"/>
            <rFont val="Tahoma"/>
            <family val="2"/>
          </rPr>
          <t xml:space="preserve">** ZHONG CHUAN HAI YUN / ZCHY010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2025-12-06 00:00 / HPNT </t>
        </r>
        <r>
          <rPr>
            <sz val="11"/>
            <color indexed="81"/>
            <rFont val="돋움"/>
            <family val="3"/>
            <charset val="129"/>
          </rPr>
          <t>반입</t>
        </r>
      </text>
    </comment>
    <comment ref="AB62" authorId="0" shapeId="0" xr:uid="{EED186E9-09F9-4A29-9A0C-D35CF0A107C7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63" authorId="0" shapeId="0" xr:uid="{C35CE564-2FEC-4813-9AB7-8CED5424874D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68" authorId="0" shapeId="0" xr:uid="{DAE4A8E9-E613-4FBC-BD15-7472F912EE4F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)
* KMTC SHENZHEN / 2509E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: 2025/12/09 08:00
**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FULL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셔틀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70" authorId="0" shapeId="0" xr:uid="{FD61B7D2-37FF-4B13-B2D7-25E690F90746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 xml:space="preserve">파주탄현면
</t>
        </r>
        <r>
          <rPr>
            <sz val="11"/>
            <color indexed="81"/>
            <rFont val="Tahoma"/>
            <family val="2"/>
          </rPr>
          <t xml:space="preserve">20':  298,000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 /  40':  335,000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인천구항</t>
        </r>
        <r>
          <rPr>
            <sz val="11"/>
            <color indexed="81"/>
            <rFont val="Tahoma"/>
            <family val="2"/>
          </rPr>
          <t xml:space="preserve">)
20':  319,000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 /  40':  359,000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인천신항</t>
        </r>
        <r>
          <rPr>
            <sz val="11"/>
            <color indexed="81"/>
            <rFont val="Tahoma"/>
            <family val="2"/>
          </rPr>
          <t>)</t>
        </r>
      </text>
    </comment>
    <comment ref="AB71" authorId="0" shapeId="0" xr:uid="{1D7FB3CA-1715-4A17-8463-C211015E78D3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 xml:space="preserve">파주탄현면
</t>
        </r>
        <r>
          <rPr>
            <sz val="11"/>
            <color indexed="81"/>
            <rFont val="Tahoma"/>
            <family val="2"/>
          </rPr>
          <t xml:space="preserve">20':  298,000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 /  40':  335,000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인천구항</t>
        </r>
        <r>
          <rPr>
            <sz val="11"/>
            <color indexed="81"/>
            <rFont val="Tahoma"/>
            <family val="2"/>
          </rPr>
          <t xml:space="preserve">)
20':  319,000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 /  40':  359,000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인천신항</t>
        </r>
        <r>
          <rPr>
            <sz val="11"/>
            <color indexed="81"/>
            <rFont val="Tahoma"/>
            <family val="2"/>
          </rPr>
          <t>)</t>
        </r>
      </text>
    </comment>
    <comment ref="AB74" authorId="0" shapeId="0" xr:uid="{A1C19AB1-EAE7-4758-80AB-5A9ED407709A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)
* KMTC SHENZHEN / 2509E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: 2025/12/09 08:00
**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FULL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셔틀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75" authorId="0" shapeId="0" xr:uid="{6F104363-E02A-46B2-941C-66A1406548D1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76" authorId="0" shapeId="0" xr:uid="{3D70E230-8B0C-439E-A1C7-280FEEEBF9E2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  ** </t>
        </r>
        <r>
          <rPr>
            <sz val="11"/>
            <color indexed="81"/>
            <rFont val="돋움"/>
            <family val="3"/>
            <charset val="129"/>
          </rPr>
          <t>청구</t>
        </r>
        <r>
          <rPr>
            <sz val="11"/>
            <color indexed="81"/>
            <rFont val="Tahoma"/>
            <family val="2"/>
          </rPr>
          <t xml:space="preserve"> :  263,000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(20'GP)  /  296,000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(40'GP)  -  </t>
        </r>
        <r>
          <rPr>
            <sz val="11"/>
            <color indexed="81"/>
            <rFont val="돋움"/>
            <family val="3"/>
            <charset val="129"/>
          </rPr>
          <t xml:space="preserve">북항
</t>
        </r>
        <r>
          <rPr>
            <sz val="11"/>
            <color indexed="81"/>
            <rFont val="Tahoma"/>
            <family val="2"/>
          </rPr>
          <t xml:space="preserve">  ** </t>
        </r>
        <r>
          <rPr>
            <sz val="11"/>
            <color indexed="81"/>
            <rFont val="돋움"/>
            <family val="3"/>
            <charset val="129"/>
          </rPr>
          <t>청구</t>
        </r>
        <r>
          <rPr>
            <sz val="11"/>
            <color indexed="81"/>
            <rFont val="Tahoma"/>
            <family val="2"/>
          </rPr>
          <t xml:space="preserve"> :  280,000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(20'GP)  /  316,000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(40'GP)  -  </t>
        </r>
        <r>
          <rPr>
            <sz val="11"/>
            <color indexed="81"/>
            <rFont val="돋움"/>
            <family val="3"/>
            <charset val="129"/>
          </rPr>
          <t xml:space="preserve">신항
</t>
        </r>
        <r>
          <rPr>
            <sz val="11"/>
            <color indexed="81"/>
            <rFont val="Tahoma"/>
            <family val="2"/>
          </rPr>
          <t xml:space="preserve">  ** </t>
        </r>
        <r>
          <rPr>
            <sz val="11"/>
            <color indexed="81"/>
            <rFont val="돋움"/>
            <family val="3"/>
            <charset val="129"/>
          </rPr>
          <t>계근비</t>
        </r>
        <r>
          <rPr>
            <sz val="11"/>
            <color indexed="81"/>
            <rFont val="Tahoma"/>
            <family val="2"/>
          </rPr>
          <t xml:space="preserve"> :  10,000 </t>
        </r>
        <r>
          <rPr>
            <sz val="11"/>
            <color indexed="81"/>
            <rFont val="돋움"/>
            <family val="3"/>
            <charset val="129"/>
          </rPr>
          <t>원</t>
        </r>
      </text>
    </comment>
    <comment ref="AB90" authorId="0" shapeId="0" xr:uid="{843D8498-4CA5-4660-9579-C89C3892C05A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케이제이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박상래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부장
부곡픽업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>양주백석읍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 xml:space="preserve">부산선적
</t>
        </r>
        <r>
          <rPr>
            <sz val="11"/>
            <color indexed="81"/>
            <rFont val="Tahoma"/>
            <family val="2"/>
          </rPr>
          <t xml:space="preserve">20':  692,000 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 xml:space="preserve">40':  776,000 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부곡재고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부족으로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인천픽업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
인천픽업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>양주백석읍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 xml:space="preserve">부산선적
</t>
        </r>
        <r>
          <rPr>
            <sz val="11"/>
            <color indexed="81"/>
            <rFont val="Tahoma"/>
            <family val="2"/>
          </rPr>
          <t xml:space="preserve">20':  692,000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+ 80,000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= 772,000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/ VAT</t>
        </r>
        <r>
          <rPr>
            <sz val="11"/>
            <color indexed="81"/>
            <rFont val="돋움"/>
            <family val="3"/>
            <charset val="129"/>
          </rPr>
          <t>별도</t>
        </r>
      </text>
    </comment>
    <comment ref="AB91" authorId="0" shapeId="0" xr:uid="{995A9FDA-9E76-463A-AFC9-26270B886C6D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케이제이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박상래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부장
부곡픽업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>양주백석읍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 xml:space="preserve">부산선적
</t>
        </r>
        <r>
          <rPr>
            <sz val="11"/>
            <color indexed="81"/>
            <rFont val="Tahoma"/>
            <family val="2"/>
          </rPr>
          <t xml:space="preserve">20':  692,000 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 xml:space="preserve">40':  776,000 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부곡재고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부족으로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인천픽업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
인천픽업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>양주백석읍</t>
        </r>
        <r>
          <rPr>
            <sz val="11"/>
            <color indexed="81"/>
            <rFont val="Tahoma"/>
            <family val="2"/>
          </rPr>
          <t xml:space="preserve"> - </t>
        </r>
        <r>
          <rPr>
            <sz val="11"/>
            <color indexed="81"/>
            <rFont val="돋움"/>
            <family val="3"/>
            <charset val="129"/>
          </rPr>
          <t xml:space="preserve">부산선적
</t>
        </r>
        <r>
          <rPr>
            <sz val="11"/>
            <color indexed="81"/>
            <rFont val="Tahoma"/>
            <family val="2"/>
          </rPr>
          <t xml:space="preserve">20':  692,000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+ 80,000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= 772,000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/ VAT</t>
        </r>
        <r>
          <rPr>
            <sz val="11"/>
            <color indexed="81"/>
            <rFont val="돋움"/>
            <family val="3"/>
            <charset val="129"/>
          </rPr>
          <t>별도</t>
        </r>
      </text>
    </comment>
    <comment ref="AB92" authorId="0" shapeId="0" xr:uid="{93BD5AB4-8B8A-4DD3-837B-09B214D32EFB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)
* KMTC SHENZHEN / 2509E / </t>
        </r>
        <r>
          <rPr>
            <sz val="11"/>
            <color indexed="81"/>
            <rFont val="돋움"/>
            <family val="3"/>
            <charset val="129"/>
          </rPr>
          <t>접안예정일</t>
        </r>
        <r>
          <rPr>
            <sz val="11"/>
            <color indexed="81"/>
            <rFont val="Tahoma"/>
            <family val="2"/>
          </rPr>
          <t xml:space="preserve"> : 2025/12/09 08:00
**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FULL </t>
        </r>
        <r>
          <rPr>
            <sz val="11"/>
            <color indexed="81"/>
            <rFont val="돋움"/>
            <family val="3"/>
            <charset val="129"/>
          </rPr>
          <t>보관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셔틀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109" authorId="0" shapeId="0" xr:uid="{08C91313-34A0-47C6-B512-CDE9B4C7AF15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BUSAN / QINGDAO 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*SAWSDEE VEGA(SWVG-43) / 2544W / ETA : 12/7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110" authorId="0" shapeId="0" xr:uid="{BE727F89-7870-4CC7-ABB8-638B4887B5E9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BUSAN / QINGDAO 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*SAWSDEE VEGA(SWVG-43) / 2544W / ETA : 12/7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113" authorId="0" shapeId="0" xr:uid="{B130D78C-4141-429B-80C2-DD28AD6CD851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1,300 * 1,100 * 1,300 [5</t>
        </r>
        <r>
          <rPr>
            <sz val="11"/>
            <color indexed="81"/>
            <rFont val="돋움"/>
            <family val="3"/>
            <charset val="129"/>
          </rPr>
          <t>파레트</t>
        </r>
        <r>
          <rPr>
            <sz val="11"/>
            <color indexed="81"/>
            <rFont val="Tahoma"/>
            <family val="2"/>
          </rPr>
          <t>/5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>]
1,100 * 1,100 * 600 [3</t>
        </r>
        <r>
          <rPr>
            <sz val="11"/>
            <color indexed="81"/>
            <rFont val="돋움"/>
            <family val="3"/>
            <charset val="129"/>
          </rPr>
          <t>파레트</t>
        </r>
        <r>
          <rPr>
            <sz val="11"/>
            <color indexed="81"/>
            <rFont val="Tahoma"/>
            <family val="2"/>
          </rPr>
          <t>/1.2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>]
1,100 * 1,100 * 400 [3</t>
        </r>
        <r>
          <rPr>
            <sz val="11"/>
            <color indexed="81"/>
            <rFont val="돋움"/>
            <family val="3"/>
            <charset val="129"/>
          </rPr>
          <t>파레트</t>
        </r>
        <r>
          <rPr>
            <sz val="11"/>
            <color indexed="81"/>
            <rFont val="Tahoma"/>
            <family val="2"/>
          </rPr>
          <t>/2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 xml:space="preserve">]
</t>
        </r>
      </text>
    </comment>
    <comment ref="AB124" authorId="0" shapeId="0" xr:uid="{CD58225F-8F63-4B4F-99AA-B5B87ACB2D8D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BUSAN / QINGDAO 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*SAWSDEE VEGA(SWVG-43) / 2544W / ETA : 12/7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126" authorId="0" shapeId="0" xr:uid="{75230193-954A-496B-B5D6-E9873D554E27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133" authorId="0" shapeId="0" xr:uid="{42458E68-CCC8-4D3B-BC66-AE4C63EB5E30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134" authorId="0" shapeId="0" xr:uid="{ED310151-5976-46CE-B20F-39F7A44B92B2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ZHONG CHUAN HAI / ZCHY010 / 12-06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12-07 </t>
        </r>
        <r>
          <rPr>
            <sz val="11"/>
            <color indexed="81"/>
            <rFont val="돋움"/>
            <family val="3"/>
            <charset val="129"/>
          </rPr>
          <t>출항예졍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현대신항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반입</t>
        </r>
      </text>
    </comment>
    <comment ref="AB135" authorId="0" shapeId="0" xr:uid="{0A8A9D0D-3011-47D1-93F5-D350FD7FBB15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청구동일
</t>
        </r>
      </text>
    </comment>
    <comment ref="AB136" authorId="0" shapeId="0" xr:uid="{B88D43BC-840E-4093-8F22-E4C82CB606F6}">
      <text>
        <r>
          <rPr>
            <b/>
            <sz val="11"/>
            <color indexed="81"/>
            <rFont val="Tahoma"/>
            <family val="2"/>
          </rPr>
          <t xml:space="preserve">
  ** 20':  193,000 </t>
        </r>
        <r>
          <rPr>
            <b/>
            <sz val="11"/>
            <color indexed="81"/>
            <rFont val="돋움"/>
            <family val="3"/>
            <charset val="129"/>
          </rPr>
          <t>원</t>
        </r>
        <r>
          <rPr>
            <b/>
            <sz val="11"/>
            <color indexed="81"/>
            <rFont val="Tahoma"/>
            <family val="2"/>
          </rPr>
          <t xml:space="preserve">  /  40':  216,000 </t>
        </r>
        <r>
          <rPr>
            <b/>
            <sz val="11"/>
            <color indexed="81"/>
            <rFont val="돋움"/>
            <family val="3"/>
            <charset val="129"/>
          </rPr>
          <t>원</t>
        </r>
        <r>
          <rPr>
            <b/>
            <sz val="11"/>
            <color indexed="81"/>
            <rFont val="Tahoma"/>
            <family val="2"/>
          </rPr>
          <t xml:space="preserve"> (</t>
        </r>
        <r>
          <rPr>
            <b/>
            <sz val="11"/>
            <color indexed="81"/>
            <rFont val="돋움"/>
            <family val="3"/>
            <charset val="129"/>
          </rPr>
          <t>부산북항</t>
        </r>
        <r>
          <rPr>
            <b/>
            <sz val="11"/>
            <color indexed="81"/>
            <rFont val="Tahoma"/>
            <family val="2"/>
          </rPr>
          <t xml:space="preserve">)
  ** 20':  143,000 </t>
        </r>
        <r>
          <rPr>
            <b/>
            <sz val="11"/>
            <color indexed="81"/>
            <rFont val="돋움"/>
            <family val="3"/>
            <charset val="129"/>
          </rPr>
          <t>원</t>
        </r>
        <r>
          <rPr>
            <b/>
            <sz val="11"/>
            <color indexed="81"/>
            <rFont val="Tahoma"/>
            <family val="2"/>
          </rPr>
          <t xml:space="preserve">  /  40':  165,000 </t>
        </r>
        <r>
          <rPr>
            <b/>
            <sz val="11"/>
            <color indexed="81"/>
            <rFont val="돋움"/>
            <family val="3"/>
            <charset val="129"/>
          </rPr>
          <t>원</t>
        </r>
        <r>
          <rPr>
            <b/>
            <sz val="11"/>
            <color indexed="81"/>
            <rFont val="Tahoma"/>
            <family val="2"/>
          </rPr>
          <t xml:space="preserve"> (</t>
        </r>
        <r>
          <rPr>
            <b/>
            <sz val="11"/>
            <color indexed="81"/>
            <rFont val="돋움"/>
            <family val="3"/>
            <charset val="129"/>
          </rPr>
          <t>부산신항</t>
        </r>
        <r>
          <rPr>
            <b/>
            <sz val="11"/>
            <color indexed="81"/>
            <rFont val="Tahoma"/>
            <family val="2"/>
          </rPr>
          <t xml:space="preserve">)
  ** </t>
        </r>
        <r>
          <rPr>
            <b/>
            <sz val="11"/>
            <color indexed="81"/>
            <rFont val="돋움"/>
            <family val="3"/>
            <charset val="129"/>
          </rPr>
          <t>계근비</t>
        </r>
        <r>
          <rPr>
            <b/>
            <sz val="11"/>
            <color indexed="81"/>
            <rFont val="Tahoma"/>
            <family val="2"/>
          </rPr>
          <t xml:space="preserve"> :  10,000 </t>
        </r>
        <r>
          <rPr>
            <b/>
            <sz val="11"/>
            <color indexed="81"/>
            <rFont val="돋움"/>
            <family val="3"/>
            <charset val="129"/>
          </rPr>
          <t>원</t>
        </r>
      </text>
    </comment>
    <comment ref="AB137" authorId="0" shapeId="0" xr:uid="{C7813B64-5B68-4D03-BC4D-4B52DF6415D5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  ** </t>
        </r>
        <r>
          <rPr>
            <sz val="11"/>
            <color indexed="81"/>
            <rFont val="돋움"/>
            <family val="3"/>
            <charset val="129"/>
          </rPr>
          <t>청구</t>
        </r>
        <r>
          <rPr>
            <sz val="11"/>
            <color indexed="81"/>
            <rFont val="Tahoma"/>
            <family val="2"/>
          </rPr>
          <t xml:space="preserve"> :  263,000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(20'GP)  /  296,000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(40'GP)  -  </t>
        </r>
        <r>
          <rPr>
            <sz val="11"/>
            <color indexed="81"/>
            <rFont val="돋움"/>
            <family val="3"/>
            <charset val="129"/>
          </rPr>
          <t xml:space="preserve">북항
</t>
        </r>
        <r>
          <rPr>
            <sz val="11"/>
            <color indexed="81"/>
            <rFont val="Tahoma"/>
            <family val="2"/>
          </rPr>
          <t xml:space="preserve">  ** </t>
        </r>
        <r>
          <rPr>
            <sz val="11"/>
            <color indexed="81"/>
            <rFont val="돋움"/>
            <family val="3"/>
            <charset val="129"/>
          </rPr>
          <t>청구</t>
        </r>
        <r>
          <rPr>
            <sz val="11"/>
            <color indexed="81"/>
            <rFont val="Tahoma"/>
            <family val="2"/>
          </rPr>
          <t xml:space="preserve"> :  280,000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(20'GP)  /  316,000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(40'GP)  -  </t>
        </r>
        <r>
          <rPr>
            <sz val="11"/>
            <color indexed="81"/>
            <rFont val="돋움"/>
            <family val="3"/>
            <charset val="129"/>
          </rPr>
          <t xml:space="preserve">신항
</t>
        </r>
        <r>
          <rPr>
            <sz val="11"/>
            <color indexed="81"/>
            <rFont val="Tahoma"/>
            <family val="2"/>
          </rPr>
          <t xml:space="preserve">  ** </t>
        </r>
        <r>
          <rPr>
            <sz val="11"/>
            <color indexed="81"/>
            <rFont val="돋움"/>
            <family val="3"/>
            <charset val="129"/>
          </rPr>
          <t>계근비</t>
        </r>
        <r>
          <rPr>
            <sz val="11"/>
            <color indexed="81"/>
            <rFont val="Tahoma"/>
            <family val="2"/>
          </rPr>
          <t xml:space="preserve"> :  10,000 </t>
        </r>
        <r>
          <rPr>
            <sz val="11"/>
            <color indexed="81"/>
            <rFont val="돋움"/>
            <family val="3"/>
            <charset val="129"/>
          </rPr>
          <t>원</t>
        </r>
      </text>
    </comment>
    <comment ref="AB141" authorId="0" shapeId="0" xr:uid="{B012D476-4690-4043-BC1E-44C2173CFF18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베스트우암</t>
        </r>
        <r>
          <rPr>
            <sz val="11"/>
            <color indexed="81"/>
            <rFont val="Tahoma"/>
            <family val="2"/>
          </rPr>
          <t xml:space="preserve">CY :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우암로</t>
        </r>
        <r>
          <rPr>
            <sz val="11"/>
            <color indexed="81"/>
            <rFont val="Tahoma"/>
            <family val="2"/>
          </rPr>
          <t xml:space="preserve"> 197  /  </t>
        </r>
        <r>
          <rPr>
            <sz val="11"/>
            <color indexed="81"/>
            <rFont val="돋움"/>
            <family val="3"/>
            <charset val="129"/>
          </rPr>
          <t>윤상빈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( T. 070-4848-2666 ) )
** </t>
        </r>
        <r>
          <rPr>
            <sz val="11"/>
            <color indexed="81"/>
            <rFont val="돋움"/>
            <family val="3"/>
            <charset val="129"/>
          </rPr>
          <t>씰은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X  - 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대체하여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압량읍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부적리</t>
        </r>
        <r>
          <rPr>
            <sz val="11"/>
            <color indexed="81"/>
            <rFont val="Tahoma"/>
            <family val="2"/>
          </rPr>
          <t xml:space="preserve"> 337  /  UMARKHON  /  T. 010-5726-6414
**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(48,000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(40') / VAT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- 3</t>
        </r>
        <r>
          <rPr>
            <sz val="11"/>
            <color indexed="81"/>
            <rFont val="돋움"/>
            <family val="3"/>
            <charset val="129"/>
          </rPr>
          <t>일권</t>
        </r>
        <r>
          <rPr>
            <sz val="11"/>
            <color indexed="81"/>
            <rFont val="Tahoma"/>
            <family val="2"/>
          </rPr>
          <t xml:space="preserve">)
** SUNNY ROSE / KSRO08 / 12-10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12-11 </t>
        </r>
        <r>
          <rPr>
            <sz val="11"/>
            <color indexed="81"/>
            <rFont val="돋움"/>
            <family val="3"/>
            <charset val="129"/>
          </rPr>
          <t>출항예정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허치슨감만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>: MCTPUS-YJ1125-4H1 (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>) / KR04269084 (</t>
        </r>
        <r>
          <rPr>
            <sz val="11"/>
            <color indexed="81"/>
            <rFont val="돋움"/>
            <family val="3"/>
            <charset val="129"/>
          </rPr>
          <t>반입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</text>
    </comment>
    <comment ref="AB142" authorId="0" shapeId="0" xr:uid="{AAEEC9B1-8BDF-4694-84A6-75E6B93AD9A0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베스트우암</t>
        </r>
        <r>
          <rPr>
            <sz val="11"/>
            <color indexed="81"/>
            <rFont val="Tahoma"/>
            <family val="2"/>
          </rPr>
          <t xml:space="preserve">CY :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우암로</t>
        </r>
        <r>
          <rPr>
            <sz val="11"/>
            <color indexed="81"/>
            <rFont val="Tahoma"/>
            <family val="2"/>
          </rPr>
          <t xml:space="preserve"> 197  /  </t>
        </r>
        <r>
          <rPr>
            <sz val="11"/>
            <color indexed="81"/>
            <rFont val="돋움"/>
            <family val="3"/>
            <charset val="129"/>
          </rPr>
          <t>윤상빈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( T. 070-4848-2666 ) )
** </t>
        </r>
        <r>
          <rPr>
            <sz val="11"/>
            <color indexed="81"/>
            <rFont val="돋움"/>
            <family val="3"/>
            <charset val="129"/>
          </rPr>
          <t>씰은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X  - 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대체하여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압량읍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부적리</t>
        </r>
        <r>
          <rPr>
            <sz val="11"/>
            <color indexed="81"/>
            <rFont val="Tahoma"/>
            <family val="2"/>
          </rPr>
          <t xml:space="preserve"> 337  /  UMARKHON  /  T. 010-5726-6414
**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(48,000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(40') / VAT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- 3</t>
        </r>
        <r>
          <rPr>
            <sz val="11"/>
            <color indexed="81"/>
            <rFont val="돋움"/>
            <family val="3"/>
            <charset val="129"/>
          </rPr>
          <t>일권</t>
        </r>
        <r>
          <rPr>
            <sz val="11"/>
            <color indexed="81"/>
            <rFont val="Tahoma"/>
            <family val="2"/>
          </rPr>
          <t xml:space="preserve">)
** SUNNY ROSE / KSRO08 / 12-10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12-11 </t>
        </r>
        <r>
          <rPr>
            <sz val="11"/>
            <color indexed="81"/>
            <rFont val="돋움"/>
            <family val="3"/>
            <charset val="129"/>
          </rPr>
          <t>출항예정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허치슨감만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>: MCTPUS-YJ1125-4H1 (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>) / KR04269084 (</t>
        </r>
        <r>
          <rPr>
            <sz val="11"/>
            <color indexed="81"/>
            <rFont val="돋움"/>
            <family val="3"/>
            <charset val="129"/>
          </rPr>
          <t>반입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</text>
    </comment>
    <comment ref="AB143" authorId="0" shapeId="0" xr:uid="{EBF1A1B9-A673-45E0-A230-1629B2E479B2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베스트우암</t>
        </r>
        <r>
          <rPr>
            <sz val="11"/>
            <color indexed="81"/>
            <rFont val="Tahoma"/>
            <family val="2"/>
          </rPr>
          <t xml:space="preserve">CY :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우암로</t>
        </r>
        <r>
          <rPr>
            <sz val="11"/>
            <color indexed="81"/>
            <rFont val="Tahoma"/>
            <family val="2"/>
          </rPr>
          <t xml:space="preserve"> 197  /  </t>
        </r>
        <r>
          <rPr>
            <sz val="11"/>
            <color indexed="81"/>
            <rFont val="돋움"/>
            <family val="3"/>
            <charset val="129"/>
          </rPr>
          <t>윤상빈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( T. 070-4848-2666 ) )
** </t>
        </r>
        <r>
          <rPr>
            <sz val="11"/>
            <color indexed="81"/>
            <rFont val="돋움"/>
            <family val="3"/>
            <charset val="129"/>
          </rPr>
          <t>씰은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X  - 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대체하여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압량읍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부적리</t>
        </r>
        <r>
          <rPr>
            <sz val="11"/>
            <color indexed="81"/>
            <rFont val="Tahoma"/>
            <family val="2"/>
          </rPr>
          <t xml:space="preserve"> 337  /  UMARKHON  /  T. 010-5726-6414
**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(48,000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(40') / VAT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- 3</t>
        </r>
        <r>
          <rPr>
            <sz val="11"/>
            <color indexed="81"/>
            <rFont val="돋움"/>
            <family val="3"/>
            <charset val="129"/>
          </rPr>
          <t>일권</t>
        </r>
        <r>
          <rPr>
            <sz val="11"/>
            <color indexed="81"/>
            <rFont val="Tahoma"/>
            <family val="2"/>
          </rPr>
          <t xml:space="preserve">)
** SUNNY ROSE / KSRO08 / 12-10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12-11 </t>
        </r>
        <r>
          <rPr>
            <sz val="11"/>
            <color indexed="81"/>
            <rFont val="돋움"/>
            <family val="3"/>
            <charset val="129"/>
          </rPr>
          <t>출항예정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허치슨감만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>: MCTPUS-YJ1125-4H1 (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>) / KR04269084 (</t>
        </r>
        <r>
          <rPr>
            <sz val="11"/>
            <color indexed="81"/>
            <rFont val="돋움"/>
            <family val="3"/>
            <charset val="129"/>
          </rPr>
          <t>반입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</text>
    </comment>
    <comment ref="AB144" authorId="0" shapeId="0" xr:uid="{94AAD2AE-2301-484D-ABBA-5AD316E6B69E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베스트우암</t>
        </r>
        <r>
          <rPr>
            <sz val="11"/>
            <color indexed="81"/>
            <rFont val="Tahoma"/>
            <family val="2"/>
          </rPr>
          <t xml:space="preserve">CY :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남구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우암로</t>
        </r>
        <r>
          <rPr>
            <sz val="11"/>
            <color indexed="81"/>
            <rFont val="Tahoma"/>
            <family val="2"/>
          </rPr>
          <t xml:space="preserve"> 197  /  </t>
        </r>
        <r>
          <rPr>
            <sz val="11"/>
            <color indexed="81"/>
            <rFont val="돋움"/>
            <family val="3"/>
            <charset val="129"/>
          </rPr>
          <t>윤상빈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( T. 070-4848-2666 ) )
** </t>
        </r>
        <r>
          <rPr>
            <sz val="11"/>
            <color indexed="81"/>
            <rFont val="돋움"/>
            <family val="3"/>
            <charset val="129"/>
          </rPr>
          <t>씰은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X  - 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대체하여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압량읍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부적리</t>
        </r>
        <r>
          <rPr>
            <sz val="11"/>
            <color indexed="81"/>
            <rFont val="Tahoma"/>
            <family val="2"/>
          </rPr>
          <t xml:space="preserve"> 337  /  UMARKHON  /  T. 010-5726-6414
**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선사에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</t>
        </r>
        <r>
          <rPr>
            <sz val="11"/>
            <color indexed="81"/>
            <rFont val="Tahoma"/>
            <family val="2"/>
          </rPr>
          <t xml:space="preserve">  - 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(48,000 </t>
        </r>
        <r>
          <rPr>
            <sz val="11"/>
            <color indexed="81"/>
            <rFont val="돋움"/>
            <family val="3"/>
            <charset val="129"/>
          </rPr>
          <t>원</t>
        </r>
        <r>
          <rPr>
            <sz val="11"/>
            <color indexed="81"/>
            <rFont val="Tahoma"/>
            <family val="2"/>
          </rPr>
          <t xml:space="preserve"> (40') / VAT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- 3</t>
        </r>
        <r>
          <rPr>
            <sz val="11"/>
            <color indexed="81"/>
            <rFont val="돋움"/>
            <family val="3"/>
            <charset val="129"/>
          </rPr>
          <t>일권</t>
        </r>
        <r>
          <rPr>
            <sz val="11"/>
            <color indexed="81"/>
            <rFont val="Tahoma"/>
            <family val="2"/>
          </rPr>
          <t xml:space="preserve">)
** SUNNY ROSE / KSRO08 / 12-10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12-11 </t>
        </r>
        <r>
          <rPr>
            <sz val="11"/>
            <color indexed="81"/>
            <rFont val="돋움"/>
            <family val="3"/>
            <charset val="129"/>
          </rPr>
          <t>출항예정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허치슨감만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>: MCTPUS-YJ1125-4H1 (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>) / KR04269084 (</t>
        </r>
        <r>
          <rPr>
            <sz val="11"/>
            <color indexed="81"/>
            <rFont val="돋움"/>
            <family val="3"/>
            <charset val="129"/>
          </rPr>
          <t>반입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</text>
    </comment>
    <comment ref="AB145" authorId="0" shapeId="0" xr:uid="{0424852E-C909-4826-8BE2-87A7DCD192A5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인천신항</t>
        </r>
        <r>
          <rPr>
            <sz val="11"/>
            <color indexed="81"/>
            <rFont val="Tahoma"/>
            <family val="2"/>
          </rPr>
          <t xml:space="preserve">)
** CSC PLATE </t>
        </r>
        <r>
          <rPr>
            <sz val="11"/>
            <color indexed="81"/>
            <rFont val="돋움"/>
            <family val="3"/>
            <charset val="129"/>
          </rPr>
          <t>사진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요망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-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/ </t>
        </r>
        <r>
          <rPr>
            <sz val="11"/>
            <color indexed="81"/>
            <rFont val="돋움"/>
            <family val="3"/>
            <charset val="129"/>
          </rPr>
          <t>인천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연수구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송도동</t>
        </r>
        <r>
          <rPr>
            <sz val="11"/>
            <color indexed="81"/>
            <rFont val="Tahoma"/>
            <family val="2"/>
          </rPr>
          <t xml:space="preserve"> 593 / </t>
        </r>
        <r>
          <rPr>
            <sz val="11"/>
            <color indexed="81"/>
            <rFont val="돋움"/>
            <family val="3"/>
            <charset val="129"/>
          </rPr>
          <t>김계호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T. 032-884-2662 )
---- SOC VAN </t>
        </r>
        <r>
          <rPr>
            <sz val="11"/>
            <color indexed="81"/>
            <rFont val="돋움"/>
            <family val="3"/>
            <charset val="129"/>
          </rPr>
          <t>픽업지에서는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안해주고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:  12/5 (</t>
        </r>
        <r>
          <rPr>
            <sz val="11"/>
            <color indexed="81"/>
            <rFont val="돋움"/>
            <family val="3"/>
            <charset val="129"/>
          </rPr>
          <t>금</t>
        </r>
        <r>
          <rPr>
            <sz val="11"/>
            <color indexed="81"/>
            <rFont val="Tahoma"/>
            <family val="2"/>
          </rPr>
          <t>) 17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:  12/8 (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>) 10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)   - 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절대엄수요망</t>
        </r>
        <r>
          <rPr>
            <sz val="11"/>
            <color indexed="81"/>
            <rFont val="Tahoma"/>
            <family val="2"/>
          </rPr>
          <t xml:space="preserve">!!
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추후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)
</t>
        </r>
      </text>
    </comment>
    <comment ref="AB146" authorId="0" shapeId="0" xr:uid="{6B4AFC63-29DE-471B-BAC3-55964E2D4D31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인천신항</t>
        </r>
        <r>
          <rPr>
            <sz val="11"/>
            <color indexed="81"/>
            <rFont val="Tahoma"/>
            <family val="2"/>
          </rPr>
          <t xml:space="preserve">)
** CSC PLATE </t>
        </r>
        <r>
          <rPr>
            <sz val="11"/>
            <color indexed="81"/>
            <rFont val="돋움"/>
            <family val="3"/>
            <charset val="129"/>
          </rPr>
          <t>사진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요망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-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/ </t>
        </r>
        <r>
          <rPr>
            <sz val="11"/>
            <color indexed="81"/>
            <rFont val="돋움"/>
            <family val="3"/>
            <charset val="129"/>
          </rPr>
          <t>인천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연수구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송도동</t>
        </r>
        <r>
          <rPr>
            <sz val="11"/>
            <color indexed="81"/>
            <rFont val="Tahoma"/>
            <family val="2"/>
          </rPr>
          <t xml:space="preserve"> 593 / </t>
        </r>
        <r>
          <rPr>
            <sz val="11"/>
            <color indexed="81"/>
            <rFont val="돋움"/>
            <family val="3"/>
            <charset val="129"/>
          </rPr>
          <t>김계호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T. 032-884-2662 )
---- SOC VAN </t>
        </r>
        <r>
          <rPr>
            <sz val="11"/>
            <color indexed="81"/>
            <rFont val="돋움"/>
            <family val="3"/>
            <charset val="129"/>
          </rPr>
          <t>픽업지에서는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안해주고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:  12/5 (</t>
        </r>
        <r>
          <rPr>
            <sz val="11"/>
            <color indexed="81"/>
            <rFont val="돋움"/>
            <family val="3"/>
            <charset val="129"/>
          </rPr>
          <t>금</t>
        </r>
        <r>
          <rPr>
            <sz val="11"/>
            <color indexed="81"/>
            <rFont val="Tahoma"/>
            <family val="2"/>
          </rPr>
          <t>) 17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:  12/8 (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>) 10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)   - 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절대엄수요망</t>
        </r>
        <r>
          <rPr>
            <sz val="11"/>
            <color indexed="81"/>
            <rFont val="Tahoma"/>
            <family val="2"/>
          </rPr>
          <t xml:space="preserve">!!
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추후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)
</t>
        </r>
      </text>
    </comment>
    <comment ref="AB151" authorId="0" shapeId="0" xr:uid="{39B3FEB5-88CE-4BB7-AEDD-1D770C5E8331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</t>
        </r>
        <r>
          <rPr>
            <sz val="11"/>
            <color indexed="81"/>
            <rFont val="돋움"/>
            <family val="3"/>
            <charset val="129"/>
          </rPr>
          <t xml:space="preserve">
* POD : AUSYD(SYDNEY)
* EVER STRONG(STRO-004) / 0126S / ETA : 12/10 예정
* 선픽업건
</t>
        </r>
      </text>
    </comment>
    <comment ref="AB152" authorId="0" shapeId="0" xr:uid="{28E4E66F-FAE7-40E2-8D80-6F546044DCD7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</t>
        </r>
        <r>
          <rPr>
            <sz val="11"/>
            <color indexed="81"/>
            <rFont val="돋움"/>
            <family val="3"/>
            <charset val="129"/>
          </rPr>
          <t xml:space="preserve">
* POD : AUSYD(SYDNEY)
* EVER STRONG(STRO-004) / 0126S / ETA : 12/10 예정
* 선픽업건
</t>
        </r>
      </text>
    </comment>
    <comment ref="AB153" authorId="0" shapeId="0" xr:uid="{12FF7198-AB47-41EF-A0AE-40EFED169F38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</t>
        </r>
        <r>
          <rPr>
            <sz val="11"/>
            <color indexed="81"/>
            <rFont val="돋움"/>
            <family val="3"/>
            <charset val="129"/>
          </rPr>
          <t xml:space="preserve">
* POD : AUSYD(SYDNEY)
* EVER STRONG(STRO-004) / 0126S / ETA : 12/10 예정
* 선픽업건
</t>
        </r>
      </text>
    </comment>
    <comment ref="AB170" authorId="0" shapeId="0" xr:uid="{A8C64AFF-56CA-4AC3-8726-307B45C00DEA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POD : CNTAO(QINGDAO)
* HEUNG-A JANICE (HAJN-45) / 2545W / ETA : 12/12 </t>
        </r>
        <r>
          <rPr>
            <sz val="11"/>
            <color indexed="81"/>
            <rFont val="돋움"/>
            <family val="3"/>
            <charset val="129"/>
          </rPr>
          <t>예정</t>
        </r>
      </text>
    </comment>
    <comment ref="AB171" authorId="0" shapeId="0" xr:uid="{79421961-84F6-4DE1-9BD2-5001084C3D8D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POD : CNTAO(QINGDAO)
* HEUNG-A JANICE (HAJN-45) / 2545W / ETA : 12/12 </t>
        </r>
        <r>
          <rPr>
            <sz val="11"/>
            <color indexed="81"/>
            <rFont val="돋움"/>
            <family val="3"/>
            <charset val="129"/>
          </rPr>
          <t>예정</t>
        </r>
      </text>
    </comment>
    <comment ref="AB172" authorId="0" shapeId="0" xr:uid="{23C6ADC0-8E15-4BFB-AB4C-5753CFB502F3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173" authorId="0" shapeId="0" xr:uid="{92D80513-52B3-46A1-8C1F-9C95287DC2DD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188" authorId="0" shapeId="0" xr:uid="{53C9AB17-A328-475B-817F-61263E7B93C9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SALES-35669
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대호</t>
        </r>
        <r>
          <rPr>
            <sz val="11"/>
            <color indexed="81"/>
            <rFont val="Tahoma"/>
            <family val="2"/>
          </rPr>
          <t xml:space="preserve"> CTS / </t>
        </r>
        <r>
          <rPr>
            <sz val="11"/>
            <color indexed="81"/>
            <rFont val="돋움"/>
            <family val="3"/>
            <charset val="129"/>
          </rPr>
          <t>창원
허치슨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PANCON SUNSHINE / 2521W
EAS : 12-13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189" authorId="0" shapeId="0" xr:uid="{638EFC4D-625C-43B5-8E81-1973F3BE192E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SALES-35669
</t>
        </r>
        <r>
          <rPr>
            <sz val="11"/>
            <color indexed="81"/>
            <rFont val="돋움"/>
            <family val="3"/>
            <charset val="129"/>
          </rPr>
          <t>픽업지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대호</t>
        </r>
        <r>
          <rPr>
            <sz val="11"/>
            <color indexed="81"/>
            <rFont val="Tahoma"/>
            <family val="2"/>
          </rPr>
          <t xml:space="preserve"> CTS / </t>
        </r>
        <r>
          <rPr>
            <sz val="11"/>
            <color indexed="81"/>
            <rFont val="돋움"/>
            <family val="3"/>
            <charset val="129"/>
          </rPr>
          <t>창원
허치슨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PANCON SUNSHINE / 2521W
EAS : 12-13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207" authorId="0" shapeId="0" xr:uid="{17B8AC22-8E47-40AA-B930-76D57B4C8B80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인천신항</t>
        </r>
        <r>
          <rPr>
            <sz val="11"/>
            <color indexed="81"/>
            <rFont val="Tahoma"/>
            <family val="2"/>
          </rPr>
          <t xml:space="preserve">)
** CSC PLATE </t>
        </r>
        <r>
          <rPr>
            <sz val="11"/>
            <color indexed="81"/>
            <rFont val="돋움"/>
            <family val="3"/>
            <charset val="129"/>
          </rPr>
          <t>사진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요망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- SOC VAN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/ ( </t>
        </r>
        <r>
          <rPr>
            <sz val="11"/>
            <color indexed="81"/>
            <rFont val="돋움"/>
            <family val="3"/>
            <charset val="129"/>
          </rPr>
          <t>인천승진</t>
        </r>
        <r>
          <rPr>
            <sz val="11"/>
            <color indexed="81"/>
            <rFont val="Tahoma"/>
            <family val="2"/>
          </rPr>
          <t xml:space="preserve">CY / </t>
        </r>
        <r>
          <rPr>
            <sz val="11"/>
            <color indexed="81"/>
            <rFont val="돋움"/>
            <family val="3"/>
            <charset val="129"/>
          </rPr>
          <t>인천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연수구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송도동</t>
        </r>
        <r>
          <rPr>
            <sz val="11"/>
            <color indexed="81"/>
            <rFont val="Tahoma"/>
            <family val="2"/>
          </rPr>
          <t xml:space="preserve"> 593 / </t>
        </r>
        <r>
          <rPr>
            <sz val="11"/>
            <color indexed="81"/>
            <rFont val="돋움"/>
            <family val="3"/>
            <charset val="129"/>
          </rPr>
          <t>김계호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님</t>
        </r>
        <r>
          <rPr>
            <sz val="11"/>
            <color indexed="81"/>
            <rFont val="Tahoma"/>
            <family val="2"/>
          </rPr>
          <t xml:space="preserve"> T. 032-884-2662 )
---- SOC VAN </t>
        </r>
        <r>
          <rPr>
            <sz val="11"/>
            <color indexed="81"/>
            <rFont val="돋움"/>
            <family val="3"/>
            <charset val="129"/>
          </rPr>
          <t>픽업지에서는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씰을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별도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안해주고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가지고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말뚝씰로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사용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:  12/5 (</t>
        </r>
        <r>
          <rPr>
            <sz val="11"/>
            <color indexed="81"/>
            <rFont val="돋움"/>
            <family val="3"/>
            <charset val="129"/>
          </rPr>
          <t>금</t>
        </r>
        <r>
          <rPr>
            <sz val="11"/>
            <color indexed="81"/>
            <rFont val="Tahoma"/>
            <family val="2"/>
          </rPr>
          <t>) 17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:  12/8 (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>) 10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)   -  </t>
        </r>
        <r>
          <rPr>
            <sz val="11"/>
            <color indexed="81"/>
            <rFont val="돋움"/>
            <family val="3"/>
            <charset val="129"/>
          </rPr>
          <t>입고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절대엄수요망</t>
        </r>
        <r>
          <rPr>
            <sz val="11"/>
            <color indexed="81"/>
            <rFont val="Tahoma"/>
            <family val="2"/>
          </rPr>
          <t xml:space="preserve">!!
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추후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밥테일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)
</t>
        </r>
      </text>
    </comment>
    <comment ref="AB220" authorId="0" shapeId="0" xr:uid="{5CF39B96-E2B4-4E8C-B713-EC07B34ABE8C}">
      <text>
        <r>
          <rPr>
            <b/>
            <sz val="9"/>
            <color indexed="81"/>
            <rFont val="돋움"/>
            <family val="3"/>
            <charset val="129"/>
          </rPr>
          <t>인천항</t>
        </r>
        <r>
          <rPr>
            <b/>
            <sz val="9"/>
            <color indexed="81"/>
            <rFont val="Tahoma"/>
            <family val="2"/>
          </rPr>
          <t xml:space="preserve"> : 229,000
</t>
        </r>
        <r>
          <rPr>
            <b/>
            <sz val="9"/>
            <color indexed="81"/>
            <rFont val="돋움"/>
            <family val="3"/>
            <charset val="129"/>
          </rPr>
          <t>인천신항</t>
        </r>
        <r>
          <rPr>
            <b/>
            <sz val="9"/>
            <color indexed="81"/>
            <rFont val="Tahoma"/>
            <family val="2"/>
          </rPr>
          <t xml:space="preserve"> : 270,000
</t>
        </r>
      </text>
    </comment>
    <comment ref="AB245" authorId="1" shapeId="0" xr:uid="{CF723E89-E578-41AB-AC67-FDC65A23AB94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SNKO010251204087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JTNAEACH0S8048093 &amp; JTNAEACHXT8053089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AB246" authorId="1" shapeId="0" xr:uid="{6ECF395F-7AAE-4C7C-BB51-14FB4E7B2F97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SNKO010251204087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JTNAEACH0S8048093 &amp; JTNAEACHXT8053089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AB247" authorId="1" shapeId="0" xr:uid="{831CBD78-7CD9-4B2A-A85D-E384768CC276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SNKO010251204087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JTNAEACH0S8048093 &amp; JTNAEACHXT8053089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P248" authorId="2" shapeId="0" xr:uid="{44B1CFD2-6712-4501-90DB-9077C83694AB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AB248" authorId="1" shapeId="0" xr:uid="{FA841C5F-B125-4298-9291-69EB7D868590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12/10 (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10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픽업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당일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하차</t>
        </r>
        <r>
          <rPr>
            <sz val="12"/>
            <color indexed="81"/>
            <rFont val="Tahoma"/>
            <family val="2"/>
          </rPr>
          <t xml:space="preserve"> / CFS </t>
        </r>
        <r>
          <rPr>
            <sz val="12"/>
            <color indexed="81"/>
            <rFont val="돋움"/>
            <family val="3"/>
            <charset val="129"/>
          </rPr>
          <t>작업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반입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보고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반입계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 xml:space="preserve">인천구항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화물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디테일</t>
        </r>
        <r>
          <rPr>
            <sz val="12"/>
            <color indexed="81"/>
            <rFont val="Tahoma"/>
            <family val="2"/>
          </rPr>
          <t xml:space="preserve"> :  10(18)'PLTS ( 86'ROLLS )  /  11,112 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 xml:space="preserve">대
</t>
        </r>
        <r>
          <rPr>
            <sz val="12"/>
            <color indexed="81"/>
            <rFont val="Tahoma"/>
            <family val="2"/>
          </rPr>
          <t xml:space="preserve">  1100 x 1100 x 2230, 8plt, 
  1100 x 1100 x 1500, 1plt
  1100 x 1100 x 600, 1plt 
  ** 20'GP X 1 :  SEGU2482868 / KSC358448 /  / T.W: 2,180 KGS
  ** CLP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공유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요망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화성시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장안면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은골길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42-15  /  </t>
        </r>
        <r>
          <rPr>
            <sz val="12"/>
            <color indexed="81"/>
            <rFont val="돋움"/>
            <family val="3"/>
            <charset val="129"/>
          </rPr>
          <t>문한경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010-5309-4160 )
  **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축항대로</t>
        </r>
        <r>
          <rPr>
            <sz val="12"/>
            <color indexed="81"/>
            <rFont val="Tahoma"/>
            <family val="2"/>
          </rPr>
          <t xml:space="preserve"> 87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10 (</t>
        </r>
        <r>
          <rPr>
            <sz val="12"/>
            <color indexed="81"/>
            <rFont val="돋움"/>
            <family val="3"/>
            <charset val="129"/>
          </rPr>
          <t>항동</t>
        </r>
        <r>
          <rPr>
            <sz val="12"/>
            <color indexed="81"/>
            <rFont val="Tahoma"/>
            <family val="2"/>
          </rPr>
          <t>7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27-157)  /  </t>
        </r>
        <r>
          <rPr>
            <sz val="12"/>
            <color indexed="81"/>
            <rFont val="돋움"/>
            <family val="3"/>
            <charset val="129"/>
          </rPr>
          <t>세광물류</t>
        </r>
        <r>
          <rPr>
            <sz val="12"/>
            <color indexed="81"/>
            <rFont val="Tahoma"/>
            <family val="2"/>
          </rPr>
          <t xml:space="preserve">CFS  /  </t>
        </r>
        <r>
          <rPr>
            <sz val="12"/>
            <color indexed="81"/>
            <rFont val="돋움"/>
            <family val="3"/>
            <charset val="129"/>
          </rPr>
          <t>김정미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부장님</t>
        </r>
        <r>
          <rPr>
            <sz val="12"/>
            <color indexed="81"/>
            <rFont val="Tahoma"/>
            <family val="2"/>
          </rPr>
          <t xml:space="preserve"> ( T. 032-885-3690 / 010-2110-2085 )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- 20'  /  230,000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  / 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125,500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(20') / 144,500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(40')  -  (SHUTTLE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280,000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톤카고차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AG248" authorId="2" shapeId="0" xr:uid="{3F9A38A9-0889-440F-A1AA-C110A00E8366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P249" authorId="2" shapeId="0" xr:uid="{C561A91E-C149-4654-87FC-4457E12A918F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AB249" authorId="1" shapeId="0" xr:uid="{04AC3DC4-0AAE-4745-9D35-F763826F04C8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12/10 (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10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픽업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당일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하차</t>
        </r>
        <r>
          <rPr>
            <sz val="12"/>
            <color indexed="81"/>
            <rFont val="Tahoma"/>
            <family val="2"/>
          </rPr>
          <t xml:space="preserve"> / CFS </t>
        </r>
        <r>
          <rPr>
            <sz val="12"/>
            <color indexed="81"/>
            <rFont val="돋움"/>
            <family val="3"/>
            <charset val="129"/>
          </rPr>
          <t>작업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반입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보고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반입계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 xml:space="preserve">인천구항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화물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디테일</t>
        </r>
        <r>
          <rPr>
            <sz val="12"/>
            <color indexed="81"/>
            <rFont val="Tahoma"/>
            <family val="2"/>
          </rPr>
          <t xml:space="preserve"> :  10(18)'PLTS ( 86'ROLLS )  /  11,112 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 xml:space="preserve">대
</t>
        </r>
        <r>
          <rPr>
            <sz val="12"/>
            <color indexed="81"/>
            <rFont val="Tahoma"/>
            <family val="2"/>
          </rPr>
          <t xml:space="preserve">  1100 x 1100 x 2230, 8plt, 
  1100 x 1100 x 1500, 1plt
  1100 x 1100 x 600, 1plt 
  ** 20'GP X 1 :  SEGU2482868 / KSC358448 /  / T.W: 2,180 KGS
  ** CLP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공유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요망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화성시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장안면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은골길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42-15  /  </t>
        </r>
        <r>
          <rPr>
            <sz val="12"/>
            <color indexed="81"/>
            <rFont val="돋움"/>
            <family val="3"/>
            <charset val="129"/>
          </rPr>
          <t>문한경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010-5309-4160 )
  **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축항대로</t>
        </r>
        <r>
          <rPr>
            <sz val="12"/>
            <color indexed="81"/>
            <rFont val="Tahoma"/>
            <family val="2"/>
          </rPr>
          <t xml:space="preserve"> 87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10 (</t>
        </r>
        <r>
          <rPr>
            <sz val="12"/>
            <color indexed="81"/>
            <rFont val="돋움"/>
            <family val="3"/>
            <charset val="129"/>
          </rPr>
          <t>항동</t>
        </r>
        <r>
          <rPr>
            <sz val="12"/>
            <color indexed="81"/>
            <rFont val="Tahoma"/>
            <family val="2"/>
          </rPr>
          <t>7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27-157)  /  </t>
        </r>
        <r>
          <rPr>
            <sz val="12"/>
            <color indexed="81"/>
            <rFont val="돋움"/>
            <family val="3"/>
            <charset val="129"/>
          </rPr>
          <t>세광물류</t>
        </r>
        <r>
          <rPr>
            <sz val="12"/>
            <color indexed="81"/>
            <rFont val="Tahoma"/>
            <family val="2"/>
          </rPr>
          <t xml:space="preserve">CFS  /  </t>
        </r>
        <r>
          <rPr>
            <sz val="12"/>
            <color indexed="81"/>
            <rFont val="돋움"/>
            <family val="3"/>
            <charset val="129"/>
          </rPr>
          <t>김정미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부장님</t>
        </r>
        <r>
          <rPr>
            <sz val="12"/>
            <color indexed="81"/>
            <rFont val="Tahoma"/>
            <family val="2"/>
          </rPr>
          <t xml:space="preserve"> ( T. 032-885-3690 / 010-2110-2085 )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- 20'  /  230,000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  / 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125,500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(20') / 144,500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(40')  -  (SHUTTLE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280,000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톤카고차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AG249" authorId="2" shapeId="0" xr:uid="{92EEB5D6-381A-4C9F-8EEC-A26997D43264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P250" authorId="2" shapeId="0" xr:uid="{3C62BFF6-D2CD-4C5F-A309-060A537BA5F2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AB250" authorId="1" shapeId="0" xr:uid="{52BD842F-88FB-4B96-8533-469AE5356F75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12/10 (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10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픽업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당일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하차</t>
        </r>
        <r>
          <rPr>
            <sz val="12"/>
            <color indexed="81"/>
            <rFont val="Tahoma"/>
            <family val="2"/>
          </rPr>
          <t xml:space="preserve"> / CFS </t>
        </r>
        <r>
          <rPr>
            <sz val="12"/>
            <color indexed="81"/>
            <rFont val="돋움"/>
            <family val="3"/>
            <charset val="129"/>
          </rPr>
          <t>작업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반입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보고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반입계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 xml:space="preserve">인천구항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화물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디테일</t>
        </r>
        <r>
          <rPr>
            <sz val="12"/>
            <color indexed="81"/>
            <rFont val="Tahoma"/>
            <family val="2"/>
          </rPr>
          <t xml:space="preserve"> :  10(18)'PLTS ( 86'ROLLS )  /  11,112 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 xml:space="preserve">대
</t>
        </r>
        <r>
          <rPr>
            <sz val="12"/>
            <color indexed="81"/>
            <rFont val="Tahoma"/>
            <family val="2"/>
          </rPr>
          <t xml:space="preserve">  1100 x 1100 x 2230, 8plt, 
  1100 x 1100 x 1500, 1plt
  1100 x 1100 x 600, 1plt 
  ** 20'GP X 1 :  SEGU2482868 / KSC358448 /  / T.W: 2,180 KGS
  ** CLP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공유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요망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화성시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장안면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은골길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42-15  /  </t>
        </r>
        <r>
          <rPr>
            <sz val="12"/>
            <color indexed="81"/>
            <rFont val="돋움"/>
            <family val="3"/>
            <charset val="129"/>
          </rPr>
          <t>문한경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010-5309-4160 )
  **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축항대로</t>
        </r>
        <r>
          <rPr>
            <sz val="12"/>
            <color indexed="81"/>
            <rFont val="Tahoma"/>
            <family val="2"/>
          </rPr>
          <t xml:space="preserve"> 87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10 (</t>
        </r>
        <r>
          <rPr>
            <sz val="12"/>
            <color indexed="81"/>
            <rFont val="돋움"/>
            <family val="3"/>
            <charset val="129"/>
          </rPr>
          <t>항동</t>
        </r>
        <r>
          <rPr>
            <sz val="12"/>
            <color indexed="81"/>
            <rFont val="Tahoma"/>
            <family val="2"/>
          </rPr>
          <t>7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27-157)  /  </t>
        </r>
        <r>
          <rPr>
            <sz val="12"/>
            <color indexed="81"/>
            <rFont val="돋움"/>
            <family val="3"/>
            <charset val="129"/>
          </rPr>
          <t>세광물류</t>
        </r>
        <r>
          <rPr>
            <sz val="12"/>
            <color indexed="81"/>
            <rFont val="Tahoma"/>
            <family val="2"/>
          </rPr>
          <t xml:space="preserve">CFS  /  </t>
        </r>
        <r>
          <rPr>
            <sz val="12"/>
            <color indexed="81"/>
            <rFont val="돋움"/>
            <family val="3"/>
            <charset val="129"/>
          </rPr>
          <t>김정미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부장님</t>
        </r>
        <r>
          <rPr>
            <sz val="12"/>
            <color indexed="81"/>
            <rFont val="Tahoma"/>
            <family val="2"/>
          </rPr>
          <t xml:space="preserve"> ( T. 032-885-3690 / 010-2110-2085 )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- 20'  /  230,000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  / 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125,500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(20') / 144,500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(40')  -  (SHUTTLE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280,000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톤카고차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AG250" authorId="2" shapeId="0" xr:uid="{207FAA73-4DBD-46C0-8501-2644C28FD2CD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P251" authorId="2" shapeId="0" xr:uid="{878DEE1B-F942-4B43-8B4F-B912FD313394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AB251" authorId="1" shapeId="0" xr:uid="{A9E7EB04-610C-4EA1-AADF-B15FE2336D8C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12/10 (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10</t>
        </r>
        <r>
          <rPr>
            <sz val="12"/>
            <color indexed="81"/>
            <rFont val="돋움"/>
            <family val="3"/>
            <charset val="129"/>
          </rPr>
          <t>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픽업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당일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바로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하차</t>
        </r>
        <r>
          <rPr>
            <sz val="12"/>
            <color indexed="81"/>
            <rFont val="Tahoma"/>
            <family val="2"/>
          </rPr>
          <t xml:space="preserve"> / CFS </t>
        </r>
        <r>
          <rPr>
            <sz val="12"/>
            <color indexed="81"/>
            <rFont val="돋움"/>
            <family val="3"/>
            <charset val="129"/>
          </rPr>
          <t>작업</t>
        </r>
        <r>
          <rPr>
            <sz val="12"/>
            <color indexed="81"/>
            <rFont val="Tahoma"/>
            <family val="2"/>
          </rPr>
          <t xml:space="preserve">  ~  </t>
        </r>
        <r>
          <rPr>
            <sz val="12"/>
            <color indexed="81"/>
            <rFont val="돋움"/>
            <family val="3"/>
            <charset val="129"/>
          </rPr>
          <t>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반입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보고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반입계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 xml:space="preserve">인천구항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화물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디테일</t>
        </r>
        <r>
          <rPr>
            <sz val="12"/>
            <color indexed="81"/>
            <rFont val="Tahoma"/>
            <family val="2"/>
          </rPr>
          <t xml:space="preserve"> :  10(18)'PLTS ( 86'ROLLS )  /  11,112 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 xml:space="preserve">대
</t>
        </r>
        <r>
          <rPr>
            <sz val="12"/>
            <color indexed="81"/>
            <rFont val="Tahoma"/>
            <family val="2"/>
          </rPr>
          <t xml:space="preserve">  1100 x 1100 x 2230, 8plt, 
  1100 x 1100 x 1500, 1plt
  1100 x 1100 x 600, 1plt 
  ** 20'GP X 1 :  SEGU2482868 / KSC358448 /  / T.W: 2,180 KGS
  ** CLP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공유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요망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화성시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장안면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은골길</t>
        </r>
        <r>
          <rPr>
            <sz val="12"/>
            <color indexed="81"/>
            <rFont val="Tahoma"/>
            <family val="2"/>
          </rPr>
          <t xml:space="preserve"> 30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42-15  /  </t>
        </r>
        <r>
          <rPr>
            <sz val="12"/>
            <color indexed="81"/>
            <rFont val="돋움"/>
            <family val="3"/>
            <charset val="129"/>
          </rPr>
          <t>문한경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010-5309-4160 )
  **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축항대로</t>
        </r>
        <r>
          <rPr>
            <sz val="12"/>
            <color indexed="81"/>
            <rFont val="Tahoma"/>
            <family val="2"/>
          </rPr>
          <t xml:space="preserve"> 87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10 (</t>
        </r>
        <r>
          <rPr>
            <sz val="12"/>
            <color indexed="81"/>
            <rFont val="돋움"/>
            <family val="3"/>
            <charset val="129"/>
          </rPr>
          <t>항동</t>
        </r>
        <r>
          <rPr>
            <sz val="12"/>
            <color indexed="81"/>
            <rFont val="Tahoma"/>
            <family val="2"/>
          </rPr>
          <t>7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27-157)  /  </t>
        </r>
        <r>
          <rPr>
            <sz val="12"/>
            <color indexed="81"/>
            <rFont val="돋움"/>
            <family val="3"/>
            <charset val="129"/>
          </rPr>
          <t>세광물류</t>
        </r>
        <r>
          <rPr>
            <sz val="12"/>
            <color indexed="81"/>
            <rFont val="Tahoma"/>
            <family val="2"/>
          </rPr>
          <t xml:space="preserve">CFS  /  </t>
        </r>
        <r>
          <rPr>
            <sz val="12"/>
            <color indexed="81"/>
            <rFont val="돋움"/>
            <family val="3"/>
            <charset val="129"/>
          </rPr>
          <t>김정미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부장님</t>
        </r>
        <r>
          <rPr>
            <sz val="12"/>
            <color indexed="81"/>
            <rFont val="Tahoma"/>
            <family val="2"/>
          </rPr>
          <t xml:space="preserve"> ( T. 032-885-3690 / 010-2110-2085 )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- 20'  /  230,000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(CFS CHARGE) - 40'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  / 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(SHORING CHARGE) - 20'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125,500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(20') / 144,500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(40')  -  (SHUTTLE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280,000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톤카고차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AG251" authorId="2" shapeId="0" xr:uid="{777B6808-9DE9-4F7C-B93D-809F91A1FE93}">
      <text>
        <r>
          <rPr>
            <b/>
            <sz val="12"/>
            <color indexed="81"/>
            <rFont val="Tahoma"/>
            <family val="2"/>
          </rPr>
          <t xml:space="preserve">com:
</t>
        </r>
        <r>
          <rPr>
            <sz val="12"/>
            <color indexed="81"/>
            <rFont val="Tahoma"/>
            <family val="2"/>
          </rPr>
          <t xml:space="preserve">
  ** SUNWIN / CKSW-31 / 12-15 </t>
        </r>
        <r>
          <rPr>
            <sz val="12"/>
            <color indexed="81"/>
            <rFont val="돋움"/>
            <family val="3"/>
            <charset val="129"/>
          </rPr>
          <t>접안예정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인천</t>
        </r>
        <r>
          <rPr>
            <sz val="12"/>
            <color indexed="81"/>
            <rFont val="Tahoma"/>
            <family val="2"/>
          </rPr>
          <t xml:space="preserve">E1 </t>
        </r>
        <r>
          <rPr>
            <sz val="12"/>
            <color indexed="81"/>
            <rFont val="돋움"/>
            <family val="3"/>
            <charset val="129"/>
          </rPr>
          <t>반입</t>
        </r>
      </text>
    </comment>
    <comment ref="AB254" authorId="0" shapeId="0" xr:uid="{BF808978-DF3A-417F-A1A2-A2EAF2CCB993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공만차계근</t>
        </r>
      </text>
    </comment>
    <comment ref="AB268" authorId="0" shapeId="0" xr:uid="{4C132B9E-4AB2-4B24-9082-12612B6CADE7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BOOKING NO : RSAPUSMAA359400 ( 20’FR X 3 </t>
        </r>
        <r>
          <rPr>
            <sz val="11"/>
            <color indexed="81"/>
            <rFont val="돋움"/>
            <family val="3"/>
            <charset val="129"/>
          </rPr>
          <t>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</t>
        </r>
        <r>
          <rPr>
            <sz val="11"/>
            <color indexed="81"/>
            <rFont val="Tahoma"/>
            <family val="2"/>
          </rPr>
          <t xml:space="preserve"> )
T/R :  </t>
        </r>
        <r>
          <rPr>
            <sz val="11"/>
            <color indexed="81"/>
            <rFont val="돋움"/>
            <family val="3"/>
            <charset val="129"/>
          </rPr>
          <t>전남</t>
        </r>
        <r>
          <rPr>
            <sz val="11"/>
            <color indexed="81"/>
            <rFont val="Tahoma"/>
            <family val="2"/>
          </rPr>
          <t>98</t>
        </r>
        <r>
          <rPr>
            <sz val="11"/>
            <color indexed="81"/>
            <rFont val="돋움"/>
            <family val="3"/>
            <charset val="129"/>
          </rPr>
          <t>사</t>
        </r>
        <r>
          <rPr>
            <sz val="11"/>
            <color indexed="81"/>
            <rFont val="Tahoma"/>
            <family val="2"/>
          </rPr>
          <t xml:space="preserve">7042 / 010-3866-0687 / </t>
        </r>
        <r>
          <rPr>
            <sz val="11"/>
            <color indexed="81"/>
            <rFont val="돋움"/>
            <family val="3"/>
            <charset val="129"/>
          </rPr>
          <t>문세건기사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( 21,450 KGS )
T/R : 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3270 / 010-3884-2910 / </t>
        </r>
        <r>
          <rPr>
            <sz val="11"/>
            <color indexed="81"/>
            <rFont val="돋움"/>
            <family val="3"/>
            <charset val="129"/>
          </rPr>
          <t>우한철기사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( 21,500 KGS )
T/R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3102 / 010-3190-1998 / </t>
        </r>
        <r>
          <rPr>
            <sz val="11"/>
            <color indexed="81"/>
            <rFont val="돋움"/>
            <family val="3"/>
            <charset val="129"/>
          </rPr>
          <t>박용수기사</t>
        </r>
        <r>
          <rPr>
            <sz val="11"/>
            <color indexed="81"/>
            <rFont val="Tahoma"/>
            <family val="2"/>
          </rPr>
          <t xml:space="preserve">  //  3,200 X 2,500 X 1,150 : 10,460 KGS + 3,200 X 2,500 X 1,150 : 10,460 KGS 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( 20,010 KGS )
  ** </t>
        </r>
        <r>
          <rPr>
            <sz val="11"/>
            <color indexed="81"/>
            <rFont val="돋움"/>
            <family val="3"/>
            <charset val="129"/>
          </rPr>
          <t>대승정밀</t>
        </r>
        <r>
          <rPr>
            <sz val="11"/>
            <color indexed="81"/>
            <rFont val="Tahoma"/>
            <family val="2"/>
          </rPr>
          <t xml:space="preserve"> ( BULK – CFS )
  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지정계근소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710-10 / </t>
        </r>
        <r>
          <rPr>
            <sz val="11"/>
            <color indexed="81"/>
            <rFont val="돋움"/>
            <family val="3"/>
            <charset val="129"/>
          </rPr>
          <t>제일계량소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임호섭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T. 031-497-4433 )
  ** </t>
        </r>
        <r>
          <rPr>
            <sz val="11"/>
            <color indexed="81"/>
            <rFont val="돋움"/>
            <family val="3"/>
            <charset val="129"/>
          </rPr>
          <t>비용처리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화주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정산</t>
        </r>
        <r>
          <rPr>
            <sz val="11"/>
            <color indexed="81"/>
            <rFont val="Tahoma"/>
            <family val="2"/>
          </rPr>
          <t xml:space="preserve"> )
  **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710-4  /  </t>
        </r>
        <r>
          <rPr>
            <sz val="11"/>
            <color indexed="81"/>
            <rFont val="돋움"/>
            <family val="3"/>
            <charset val="129"/>
          </rPr>
          <t>한진로지스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이광희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부장님</t>
        </r>
        <r>
          <rPr>
            <sz val="11"/>
            <color indexed="81"/>
            <rFont val="Tahoma"/>
            <family val="2"/>
          </rPr>
          <t xml:space="preserve"> ( T. 010-6422-2562 )
  ** </t>
        </r>
        <r>
          <rPr>
            <sz val="11"/>
            <color indexed="81"/>
            <rFont val="돋움"/>
            <family val="3"/>
            <charset val="129"/>
          </rPr>
          <t>하차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강서구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신항로</t>
        </r>
        <r>
          <rPr>
            <sz val="11"/>
            <color indexed="81"/>
            <rFont val="Tahoma"/>
            <family val="2"/>
          </rPr>
          <t xml:space="preserve"> 96-72 / </t>
        </r>
        <r>
          <rPr>
            <sz val="11"/>
            <color indexed="81"/>
            <rFont val="돋움"/>
            <family val="3"/>
            <charset val="129"/>
          </rPr>
          <t>동원</t>
        </r>
        <r>
          <rPr>
            <sz val="11"/>
            <color indexed="81"/>
            <rFont val="Tahoma"/>
            <family val="2"/>
          </rPr>
          <t xml:space="preserve"> BIDC  /  </t>
        </r>
        <r>
          <rPr>
            <sz val="11"/>
            <color indexed="81"/>
            <rFont val="돋움"/>
            <family val="3"/>
            <charset val="129"/>
          </rPr>
          <t>김도훈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차장님</t>
        </r>
        <r>
          <rPr>
            <sz val="11"/>
            <color indexed="81"/>
            <rFont val="Tahoma"/>
            <family val="2"/>
          </rPr>
          <t xml:space="preserve"> ( T. 010-4464-1127 )
4,500 X 2,500 X 1,900 : 21,500 KGS
   4,500 X 2,500 X 1,900 : 21,500 KGS
   3,200 X 2,500 X 1,150 : 10,460 KGS
   3,200 X 2,500 X 1,150 : 10,460 KGS
</t>
        </r>
      </text>
    </comment>
    <comment ref="AB269" authorId="0" shapeId="0" xr:uid="{3C52317A-949A-44DE-AB2F-5570C14DEE78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BOOKING NO : RSAPUSMAA359400 ( 20’FR X 3 </t>
        </r>
        <r>
          <rPr>
            <sz val="11"/>
            <color indexed="81"/>
            <rFont val="돋움"/>
            <family val="3"/>
            <charset val="129"/>
          </rPr>
          <t>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</t>
        </r>
        <r>
          <rPr>
            <sz val="11"/>
            <color indexed="81"/>
            <rFont val="Tahoma"/>
            <family val="2"/>
          </rPr>
          <t xml:space="preserve"> )
T/R :  </t>
        </r>
        <r>
          <rPr>
            <sz val="11"/>
            <color indexed="81"/>
            <rFont val="돋움"/>
            <family val="3"/>
            <charset val="129"/>
          </rPr>
          <t>전남</t>
        </r>
        <r>
          <rPr>
            <sz val="11"/>
            <color indexed="81"/>
            <rFont val="Tahoma"/>
            <family val="2"/>
          </rPr>
          <t>98</t>
        </r>
        <r>
          <rPr>
            <sz val="11"/>
            <color indexed="81"/>
            <rFont val="돋움"/>
            <family val="3"/>
            <charset val="129"/>
          </rPr>
          <t>사</t>
        </r>
        <r>
          <rPr>
            <sz val="11"/>
            <color indexed="81"/>
            <rFont val="Tahoma"/>
            <family val="2"/>
          </rPr>
          <t xml:space="preserve">7042 / 010-3866-0687 / </t>
        </r>
        <r>
          <rPr>
            <sz val="11"/>
            <color indexed="81"/>
            <rFont val="돋움"/>
            <family val="3"/>
            <charset val="129"/>
          </rPr>
          <t>문세건기사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( 21,450 KGS )
T/R : 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3270 / 010-3884-2910 / </t>
        </r>
        <r>
          <rPr>
            <sz val="11"/>
            <color indexed="81"/>
            <rFont val="돋움"/>
            <family val="3"/>
            <charset val="129"/>
          </rPr>
          <t>우한철기사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( 21,500 KGS )
T/R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3102 / 010-3190-1998 / </t>
        </r>
        <r>
          <rPr>
            <sz val="11"/>
            <color indexed="81"/>
            <rFont val="돋움"/>
            <family val="3"/>
            <charset val="129"/>
          </rPr>
          <t>박용수기사</t>
        </r>
        <r>
          <rPr>
            <sz val="11"/>
            <color indexed="81"/>
            <rFont val="Tahoma"/>
            <family val="2"/>
          </rPr>
          <t xml:space="preserve">  //  3,200 X 2,500 X 1,150 : 10,460 KGS + 3,200 X 2,500 X 1,150 : 10,460 KGS 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( 20,010 KGS )
  ** </t>
        </r>
        <r>
          <rPr>
            <sz val="11"/>
            <color indexed="81"/>
            <rFont val="돋움"/>
            <family val="3"/>
            <charset val="129"/>
          </rPr>
          <t>대승정밀</t>
        </r>
        <r>
          <rPr>
            <sz val="11"/>
            <color indexed="81"/>
            <rFont val="Tahoma"/>
            <family val="2"/>
          </rPr>
          <t xml:space="preserve"> ( BULK – CFS )
  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지정계근소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710-10 / </t>
        </r>
        <r>
          <rPr>
            <sz val="11"/>
            <color indexed="81"/>
            <rFont val="돋움"/>
            <family val="3"/>
            <charset val="129"/>
          </rPr>
          <t>제일계량소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임호섭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T. 031-497-4433 )
  ** </t>
        </r>
        <r>
          <rPr>
            <sz val="11"/>
            <color indexed="81"/>
            <rFont val="돋움"/>
            <family val="3"/>
            <charset val="129"/>
          </rPr>
          <t>비용처리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화주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정산</t>
        </r>
        <r>
          <rPr>
            <sz val="11"/>
            <color indexed="81"/>
            <rFont val="Tahoma"/>
            <family val="2"/>
          </rPr>
          <t xml:space="preserve"> )
  **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710-4  /  </t>
        </r>
        <r>
          <rPr>
            <sz val="11"/>
            <color indexed="81"/>
            <rFont val="돋움"/>
            <family val="3"/>
            <charset val="129"/>
          </rPr>
          <t>한진로지스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이광희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부장님</t>
        </r>
        <r>
          <rPr>
            <sz val="11"/>
            <color indexed="81"/>
            <rFont val="Tahoma"/>
            <family val="2"/>
          </rPr>
          <t xml:space="preserve"> ( T. 010-6422-2562 )
  ** </t>
        </r>
        <r>
          <rPr>
            <sz val="11"/>
            <color indexed="81"/>
            <rFont val="돋움"/>
            <family val="3"/>
            <charset val="129"/>
          </rPr>
          <t>하차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강서구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신항로</t>
        </r>
        <r>
          <rPr>
            <sz val="11"/>
            <color indexed="81"/>
            <rFont val="Tahoma"/>
            <family val="2"/>
          </rPr>
          <t xml:space="preserve"> 96-72 / </t>
        </r>
        <r>
          <rPr>
            <sz val="11"/>
            <color indexed="81"/>
            <rFont val="돋움"/>
            <family val="3"/>
            <charset val="129"/>
          </rPr>
          <t>동원</t>
        </r>
        <r>
          <rPr>
            <sz val="11"/>
            <color indexed="81"/>
            <rFont val="Tahoma"/>
            <family val="2"/>
          </rPr>
          <t xml:space="preserve"> BIDC  /  </t>
        </r>
        <r>
          <rPr>
            <sz val="11"/>
            <color indexed="81"/>
            <rFont val="돋움"/>
            <family val="3"/>
            <charset val="129"/>
          </rPr>
          <t>김도훈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차장님</t>
        </r>
        <r>
          <rPr>
            <sz val="11"/>
            <color indexed="81"/>
            <rFont val="Tahoma"/>
            <family val="2"/>
          </rPr>
          <t xml:space="preserve"> ( T. 010-4464-1127 )
4,500 X 2,500 X 1,900 : 21,500 KGS
   4,500 X 2,500 X 1,900 : 21,500 KGS
   3,200 X 2,500 X 1,150 : 10,460 KGS
   3,200 X 2,500 X 1,150 : 10,460 KGS
</t>
        </r>
      </text>
    </comment>
    <comment ref="AB270" authorId="0" shapeId="0" xr:uid="{04F47E05-F482-450C-A0F0-81BD33C1ABEC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BOOKING NO : RSAPUSMAA359400 ( 20’FR X 3 </t>
        </r>
        <r>
          <rPr>
            <sz val="11"/>
            <color indexed="81"/>
            <rFont val="돋움"/>
            <family val="3"/>
            <charset val="129"/>
          </rPr>
          <t>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</t>
        </r>
        <r>
          <rPr>
            <sz val="11"/>
            <color indexed="81"/>
            <rFont val="Tahoma"/>
            <family val="2"/>
          </rPr>
          <t xml:space="preserve"> )
T/R :  </t>
        </r>
        <r>
          <rPr>
            <sz val="11"/>
            <color indexed="81"/>
            <rFont val="돋움"/>
            <family val="3"/>
            <charset val="129"/>
          </rPr>
          <t>전남</t>
        </r>
        <r>
          <rPr>
            <sz val="11"/>
            <color indexed="81"/>
            <rFont val="Tahoma"/>
            <family val="2"/>
          </rPr>
          <t>98</t>
        </r>
        <r>
          <rPr>
            <sz val="11"/>
            <color indexed="81"/>
            <rFont val="돋움"/>
            <family val="3"/>
            <charset val="129"/>
          </rPr>
          <t>사</t>
        </r>
        <r>
          <rPr>
            <sz val="11"/>
            <color indexed="81"/>
            <rFont val="Tahoma"/>
            <family val="2"/>
          </rPr>
          <t xml:space="preserve">7042 / 010-3866-0687 / </t>
        </r>
        <r>
          <rPr>
            <sz val="11"/>
            <color indexed="81"/>
            <rFont val="돋움"/>
            <family val="3"/>
            <charset val="129"/>
          </rPr>
          <t>문세건기사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( 21,450 KGS )
T/R : 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3270 / 010-3884-2910 / </t>
        </r>
        <r>
          <rPr>
            <sz val="11"/>
            <color indexed="81"/>
            <rFont val="돋움"/>
            <family val="3"/>
            <charset val="129"/>
          </rPr>
          <t>우한철기사</t>
        </r>
        <r>
          <rPr>
            <sz val="11"/>
            <color indexed="81"/>
            <rFont val="Tahoma"/>
            <family val="2"/>
          </rPr>
          <t xml:space="preserve">  //  4,500 X 2,500 X 1,900 : 21,500 KGS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( 21,500 KGS )
T/R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>99</t>
        </r>
        <r>
          <rPr>
            <sz val="11"/>
            <color indexed="81"/>
            <rFont val="돋움"/>
            <family val="3"/>
            <charset val="129"/>
          </rPr>
          <t>바</t>
        </r>
        <r>
          <rPr>
            <sz val="11"/>
            <color indexed="81"/>
            <rFont val="Tahoma"/>
            <family val="2"/>
          </rPr>
          <t xml:space="preserve">3102 / 010-3190-1998 / </t>
        </r>
        <r>
          <rPr>
            <sz val="11"/>
            <color indexed="81"/>
            <rFont val="돋움"/>
            <family val="3"/>
            <charset val="129"/>
          </rPr>
          <t>박용수기사</t>
        </r>
        <r>
          <rPr>
            <sz val="11"/>
            <color indexed="81"/>
            <rFont val="Tahoma"/>
            <family val="2"/>
          </rPr>
          <t xml:space="preserve">  //  3,200 X 2,500 X 1,150 : 10,460 KGS + 3,200 X 2,500 X 1,150 : 10,460 KGS  </t>
        </r>
        <r>
          <rPr>
            <sz val="11"/>
            <color indexed="81"/>
            <rFont val="돋움"/>
            <family val="3"/>
            <charset val="129"/>
          </rPr>
          <t>상차</t>
        </r>
        <r>
          <rPr>
            <sz val="11"/>
            <color indexed="81"/>
            <rFont val="Tahoma"/>
            <family val="2"/>
          </rPr>
          <t xml:space="preserve">  // 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( 20,010 KGS )
  ** </t>
        </r>
        <r>
          <rPr>
            <sz val="11"/>
            <color indexed="81"/>
            <rFont val="돋움"/>
            <family val="3"/>
            <charset val="129"/>
          </rPr>
          <t>대승정밀</t>
        </r>
        <r>
          <rPr>
            <sz val="11"/>
            <color indexed="81"/>
            <rFont val="Tahoma"/>
            <family val="2"/>
          </rPr>
          <t xml:space="preserve"> ( BULK – CFS )
  **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지정계근소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710-10 / </t>
        </r>
        <r>
          <rPr>
            <sz val="11"/>
            <color indexed="81"/>
            <rFont val="돋움"/>
            <family val="3"/>
            <charset val="129"/>
          </rPr>
          <t>제일계량소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임호섭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T. 031-497-4433 )
  ** </t>
        </r>
        <r>
          <rPr>
            <sz val="11"/>
            <color indexed="81"/>
            <rFont val="돋움"/>
            <family val="3"/>
            <charset val="129"/>
          </rPr>
          <t>비용처리</t>
        </r>
        <r>
          <rPr>
            <sz val="11"/>
            <color indexed="81"/>
            <rFont val="Tahoma"/>
            <family val="2"/>
          </rPr>
          <t xml:space="preserve"> ( </t>
        </r>
        <r>
          <rPr>
            <sz val="11"/>
            <color indexed="81"/>
            <rFont val="돋움"/>
            <family val="3"/>
            <charset val="129"/>
          </rPr>
          <t>화주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정산</t>
        </r>
        <r>
          <rPr>
            <sz val="11"/>
            <color indexed="81"/>
            <rFont val="Tahoma"/>
            <family val="2"/>
          </rPr>
          <t xml:space="preserve"> )
  **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안산시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단원구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성곡동</t>
        </r>
        <r>
          <rPr>
            <sz val="11"/>
            <color indexed="81"/>
            <rFont val="Tahoma"/>
            <family val="2"/>
          </rPr>
          <t xml:space="preserve"> 710-4  /  </t>
        </r>
        <r>
          <rPr>
            <sz val="11"/>
            <color indexed="81"/>
            <rFont val="돋움"/>
            <family val="3"/>
            <charset val="129"/>
          </rPr>
          <t>한진로지스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이광희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부장님</t>
        </r>
        <r>
          <rPr>
            <sz val="11"/>
            <color indexed="81"/>
            <rFont val="Tahoma"/>
            <family val="2"/>
          </rPr>
          <t xml:space="preserve"> ( T. 010-6422-2562 )
  ** </t>
        </r>
        <r>
          <rPr>
            <sz val="11"/>
            <color indexed="81"/>
            <rFont val="돋움"/>
            <family val="3"/>
            <charset val="129"/>
          </rPr>
          <t>하차</t>
        </r>
        <r>
          <rPr>
            <sz val="11"/>
            <color indexed="81"/>
            <rFont val="Tahoma"/>
            <family val="2"/>
          </rPr>
          <t xml:space="preserve"> :  </t>
        </r>
        <r>
          <rPr>
            <sz val="11"/>
            <color indexed="81"/>
            <rFont val="돋움"/>
            <family val="3"/>
            <charset val="129"/>
          </rPr>
          <t>부산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강서구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신항로</t>
        </r>
        <r>
          <rPr>
            <sz val="11"/>
            <color indexed="81"/>
            <rFont val="Tahoma"/>
            <family val="2"/>
          </rPr>
          <t xml:space="preserve"> 96-72 / </t>
        </r>
        <r>
          <rPr>
            <sz val="11"/>
            <color indexed="81"/>
            <rFont val="돋움"/>
            <family val="3"/>
            <charset val="129"/>
          </rPr>
          <t>동원</t>
        </r>
        <r>
          <rPr>
            <sz val="11"/>
            <color indexed="81"/>
            <rFont val="Tahoma"/>
            <family val="2"/>
          </rPr>
          <t xml:space="preserve"> BIDC  /  </t>
        </r>
        <r>
          <rPr>
            <sz val="11"/>
            <color indexed="81"/>
            <rFont val="돋움"/>
            <family val="3"/>
            <charset val="129"/>
          </rPr>
          <t>김도훈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차장님</t>
        </r>
        <r>
          <rPr>
            <sz val="11"/>
            <color indexed="81"/>
            <rFont val="Tahoma"/>
            <family val="2"/>
          </rPr>
          <t xml:space="preserve"> ( T. 010-4464-1127 )
4,500 X 2,500 X 1,900 : 21,500 KGS
   4,500 X 2,500 X 1,900 : 21,500 KGS
   3,200 X 2,500 X 1,150 : 10,460 KGS
   3,200 X 2,500 X 1,150 : 10,460 KGS
</t>
        </r>
      </text>
    </comment>
    <comment ref="AB287" authorId="1" shapeId="0" xr:uid="{8733EF13-9E8C-49AD-B76B-AAF748841027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SNKO010251204382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JTNAEACH4S8048744 &amp; JTNAEACH6S8042234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AB288" authorId="1" shapeId="0" xr:uid="{8A7A3709-C829-4749-87B7-B671FA13D96A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SNKO010251204382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JTNAEACH4S8048744 &amp; JTNAEACH6S8042234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AB289" authorId="1" shapeId="0" xr:uid="{62C7A4F9-61D7-4C81-B5B6-64BFC0C5CEB9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평택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자동차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
수출업체</t>
        </r>
        <r>
          <rPr>
            <sz val="12"/>
            <color indexed="81"/>
            <rFont val="Tahoma"/>
            <family val="2"/>
          </rPr>
          <t xml:space="preserve"> :  ISP COMPANY
</t>
        </r>
        <r>
          <rPr>
            <sz val="12"/>
            <color indexed="81"/>
            <rFont val="돋움"/>
            <family val="3"/>
            <charset val="129"/>
          </rPr>
          <t>포워더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 xml:space="preserve">스마트해운항공
</t>
        </r>
        <r>
          <rPr>
            <sz val="12"/>
            <color indexed="81"/>
            <rFont val="Tahoma"/>
            <family val="2"/>
          </rPr>
          <t xml:space="preserve">BOOKING NO.  SNKO010251204382
</t>
        </r>
        <r>
          <rPr>
            <sz val="12"/>
            <color indexed="81"/>
            <rFont val="돋움"/>
            <family val="3"/>
            <charset val="129"/>
          </rPr>
          <t>차대번호</t>
        </r>
        <r>
          <rPr>
            <sz val="12"/>
            <color indexed="81"/>
            <rFont val="Tahoma"/>
            <family val="2"/>
          </rPr>
          <t xml:space="preserve"> :  JTNAEACH4S8048744 &amp; JTNAEACH6S8042234
</t>
        </r>
        <r>
          <rPr>
            <sz val="12"/>
            <color indexed="81"/>
            <rFont val="돋움"/>
            <family val="3"/>
            <charset val="129"/>
          </rPr>
          <t>차량명</t>
        </r>
        <r>
          <rPr>
            <sz val="12"/>
            <color indexed="81"/>
            <rFont val="Tahoma"/>
            <family val="2"/>
          </rPr>
          <t xml:space="preserve"> :  TOYOTA ALPHARD
</t>
        </r>
        <r>
          <rPr>
            <sz val="12"/>
            <color indexed="81"/>
            <rFont val="돋움"/>
            <family val="3"/>
            <charset val="129"/>
          </rPr>
          <t>사이드쇼링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티앤피에스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김인석</t>
        </r>
        <r>
          <rPr>
            <sz val="12"/>
            <color indexed="81"/>
            <rFont val="Tahoma"/>
            <family val="2"/>
          </rPr>
          <t xml:space="preserve"> ( T. 010-9141-8076 )
  * CFS</t>
        </r>
        <r>
          <rPr>
            <sz val="12"/>
            <color indexed="81"/>
            <rFont val="돋움"/>
            <family val="3"/>
            <charset val="129"/>
          </rPr>
          <t>작업료</t>
        </r>
        <r>
          <rPr>
            <sz val="12"/>
            <color indexed="81"/>
            <rFont val="Tahoma"/>
            <family val="2"/>
          </rPr>
          <t xml:space="preserve"> (</t>
        </r>
        <r>
          <rPr>
            <sz val="12"/>
            <color indexed="81"/>
            <rFont val="돋움"/>
            <family val="3"/>
            <charset val="129"/>
          </rPr>
          <t>적입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셔틀비용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250,000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220,000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400,000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350,000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쇼링비용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20'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 140,000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-  40'
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2"/>
            <color indexed="81"/>
            <rFont val="Tahoma"/>
            <family val="2"/>
          </rPr>
          <t xml:space="preserve">  * </t>
        </r>
        <r>
          <rPr>
            <sz val="12"/>
            <color indexed="81"/>
            <rFont val="돋움"/>
            <family val="3"/>
            <charset val="129"/>
          </rPr>
          <t xml:space="preserve">보관비용
</t>
        </r>
        <r>
          <rPr>
            <sz val="12"/>
            <color indexed="81"/>
            <rFont val="Tahoma"/>
            <family val="2"/>
          </rPr>
          <t xml:space="preserve">  20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프리타임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적용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기름제거비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청구만</t>
        </r>
        <r>
          <rPr>
            <sz val="12"/>
            <color indexed="81"/>
            <rFont val="Tahoma"/>
            <family val="2"/>
          </rPr>
          <t xml:space="preserve">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( 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하이브리드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차량만</t>
        </r>
        <r>
          <rPr>
            <sz val="12"/>
            <color indexed="81"/>
            <rFont val="Tahoma"/>
            <family val="2"/>
          </rPr>
          <t xml:space="preserve"> )</t>
        </r>
      </text>
    </comment>
    <comment ref="AB313" authorId="0" shapeId="0" xr:uid="{8F7C4EE5-D89A-426B-B523-C80D6DAAA450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북항</t>
        </r>
        <r>
          <rPr>
            <sz val="11"/>
            <color indexed="81"/>
            <rFont val="Tahoma"/>
            <family val="2"/>
          </rPr>
          <t xml:space="preserve">)  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</t>
        </r>
        <r>
          <rPr>
            <sz val="11"/>
            <color indexed="81"/>
            <rFont val="Tahoma"/>
            <family val="2"/>
          </rPr>
          <t xml:space="preserve">  /  CLASS. 8  /  UN NO. 1760
** 40'HQ*DG - 20'PLTS (16,000 KGS)  /  20'DG - 4'PLTS (3,300 KGS)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검사</t>
        </r>
        <r>
          <rPr>
            <sz val="11"/>
            <color indexed="81"/>
            <rFont val="Tahoma"/>
            <family val="2"/>
          </rPr>
          <t xml:space="preserve"> – 13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/  </t>
        </r>
        <r>
          <rPr>
            <sz val="11"/>
            <color indexed="81"/>
            <rFont val="돋움"/>
            <family val="3"/>
            <charset val="129"/>
          </rPr>
          <t>요청한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작업시간에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도착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선작업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상북면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상삼리</t>
        </r>
        <r>
          <rPr>
            <sz val="11"/>
            <color indexed="81"/>
            <rFont val="Tahoma"/>
            <family val="2"/>
          </rPr>
          <t xml:space="preserve"> 785  /  </t>
        </r>
        <r>
          <rPr>
            <sz val="11"/>
            <color indexed="81"/>
            <rFont val="돋움"/>
            <family val="3"/>
            <charset val="129"/>
          </rPr>
          <t>김영철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계장님</t>
        </r>
        <r>
          <rPr>
            <sz val="11"/>
            <color indexed="81"/>
            <rFont val="Tahoma"/>
            <family val="2"/>
          </rPr>
          <t xml:space="preserve"> ( T. 010-9871-0899 )
** HOCHIMINH VOYAGER / HMVY-12 / 12-15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BPT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</text>
    </comment>
    <comment ref="AB314" authorId="0" shapeId="0" xr:uid="{8BBE41BB-2CA5-4895-97DB-1FC47FE4CD34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북항</t>
        </r>
        <r>
          <rPr>
            <sz val="11"/>
            <color indexed="81"/>
            <rFont val="Tahoma"/>
            <family val="2"/>
          </rPr>
          <t xml:space="preserve">)  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</t>
        </r>
        <r>
          <rPr>
            <sz val="11"/>
            <color indexed="81"/>
            <rFont val="Tahoma"/>
            <family val="2"/>
          </rPr>
          <t xml:space="preserve">  /  CLASS. 8  /  UN NO. 1760
** 40'HQ*DG - 20'PLTS (16,000 KGS)  /  20'DG - 4'PLTS (3,300 KGS)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검사</t>
        </r>
        <r>
          <rPr>
            <sz val="11"/>
            <color indexed="81"/>
            <rFont val="Tahoma"/>
            <family val="2"/>
          </rPr>
          <t xml:space="preserve"> – 13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/  </t>
        </r>
        <r>
          <rPr>
            <sz val="11"/>
            <color indexed="81"/>
            <rFont val="돋움"/>
            <family val="3"/>
            <charset val="129"/>
          </rPr>
          <t>요청한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작업시간에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도착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선작업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상북면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상삼리</t>
        </r>
        <r>
          <rPr>
            <sz val="11"/>
            <color indexed="81"/>
            <rFont val="Tahoma"/>
            <family val="2"/>
          </rPr>
          <t xml:space="preserve"> 785  /  </t>
        </r>
        <r>
          <rPr>
            <sz val="11"/>
            <color indexed="81"/>
            <rFont val="돋움"/>
            <family val="3"/>
            <charset val="129"/>
          </rPr>
          <t>김영철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계장님</t>
        </r>
        <r>
          <rPr>
            <sz val="11"/>
            <color indexed="81"/>
            <rFont val="Tahoma"/>
            <family val="2"/>
          </rPr>
          <t xml:space="preserve"> ( T. 010-9871-0899 )
** HOCHIMINH VOYAGER / HMVY-12 / 12-15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BPT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</text>
    </comment>
    <comment ref="AB315" authorId="0" shapeId="0" xr:uid="{3E0E50C2-78F6-4BE4-BA4C-3210B8136500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북항</t>
        </r>
        <r>
          <rPr>
            <sz val="11"/>
            <color indexed="81"/>
            <rFont val="Tahoma"/>
            <family val="2"/>
          </rPr>
          <t xml:space="preserve">)  -  Coreentech Copper Oxide (CuO) </t>
        </r>
        <r>
          <rPr>
            <sz val="11"/>
            <color indexed="81"/>
            <rFont val="돋움"/>
            <family val="3"/>
            <charset val="129"/>
          </rPr>
          <t xml:space="preserve">산화동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</t>
        </r>
        <r>
          <rPr>
            <sz val="11"/>
            <color indexed="81"/>
            <rFont val="Tahoma"/>
            <family val="2"/>
          </rPr>
          <t xml:space="preserve">  /  CLASS. 9 (3)  /  UN NO. 3077
** 40'HQ*DG - 12'PLTS (12,000 KGS)  /  20'DG - 2'PLTS (1,500 KGS)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검사</t>
        </r>
        <r>
          <rPr>
            <sz val="11"/>
            <color indexed="81"/>
            <rFont val="Tahoma"/>
            <family val="2"/>
          </rPr>
          <t xml:space="preserve"> - 10</t>
        </r>
        <r>
          <rPr>
            <sz val="11"/>
            <color indexed="81"/>
            <rFont val="돋움"/>
            <family val="3"/>
            <charset val="129"/>
          </rPr>
          <t>시반</t>
        </r>
        <r>
          <rPr>
            <sz val="11"/>
            <color indexed="81"/>
            <rFont val="Tahoma"/>
            <family val="2"/>
          </rPr>
          <t xml:space="preserve"> ~ 11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요청한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작업시간에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도착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선작업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상북면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상삼리</t>
        </r>
        <r>
          <rPr>
            <sz val="11"/>
            <color indexed="81"/>
            <rFont val="Tahoma"/>
            <family val="2"/>
          </rPr>
          <t xml:space="preserve"> 785  /  </t>
        </r>
        <r>
          <rPr>
            <sz val="11"/>
            <color indexed="81"/>
            <rFont val="돋움"/>
            <family val="3"/>
            <charset val="129"/>
          </rPr>
          <t>김영철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계장님</t>
        </r>
        <r>
          <rPr>
            <sz val="11"/>
            <color indexed="81"/>
            <rFont val="Tahoma"/>
            <family val="2"/>
          </rPr>
          <t xml:space="preserve"> ( T. 010-9871-0899 )
** HOCHIMINH VOYAGER / HMVY-12 / 12-15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BPT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</text>
    </comment>
    <comment ref="AB316" authorId="0" shapeId="0" xr:uid="{9AF38D22-4DF9-4C68-9913-0F35AD5240C1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** </t>
        </r>
        <r>
          <rPr>
            <sz val="11"/>
            <color indexed="81"/>
            <rFont val="돋움"/>
            <family val="3"/>
            <charset val="129"/>
          </rPr>
          <t>수출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북항</t>
        </r>
        <r>
          <rPr>
            <sz val="11"/>
            <color indexed="81"/>
            <rFont val="Tahoma"/>
            <family val="2"/>
          </rPr>
          <t xml:space="preserve">)  -  Coreentech Copper Oxide (CuO) </t>
        </r>
        <r>
          <rPr>
            <sz val="11"/>
            <color indexed="81"/>
            <rFont val="돋움"/>
            <family val="3"/>
            <charset val="129"/>
          </rPr>
          <t xml:space="preserve">산화동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</t>
        </r>
        <r>
          <rPr>
            <sz val="11"/>
            <color indexed="81"/>
            <rFont val="Tahoma"/>
            <family val="2"/>
          </rPr>
          <t xml:space="preserve">  /  CLASS. 9 (3)  /  UN NO. 3077
** 40'HQ*DG - 12'PLTS (12,000 KGS)  /  20'DG - 2'PLTS (1,500 KGS)
** </t>
        </r>
        <r>
          <rPr>
            <sz val="11"/>
            <color indexed="81"/>
            <rFont val="돋움"/>
            <family val="3"/>
            <charset val="129"/>
          </rPr>
          <t>위험물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검사</t>
        </r>
        <r>
          <rPr>
            <sz val="11"/>
            <color indexed="81"/>
            <rFont val="Tahoma"/>
            <family val="2"/>
          </rPr>
          <t xml:space="preserve"> - 10</t>
        </r>
        <r>
          <rPr>
            <sz val="11"/>
            <color indexed="81"/>
            <rFont val="돋움"/>
            <family val="3"/>
            <charset val="129"/>
          </rPr>
          <t>시반</t>
        </r>
        <r>
          <rPr>
            <sz val="11"/>
            <color indexed="81"/>
            <rFont val="Tahoma"/>
            <family val="2"/>
          </rPr>
          <t xml:space="preserve"> ~ 11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 /  </t>
        </r>
        <r>
          <rPr>
            <sz val="11"/>
            <color indexed="81"/>
            <rFont val="돋움"/>
            <family val="3"/>
            <charset val="129"/>
          </rPr>
          <t>요청한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작업시간에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도착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선작업
</t>
        </r>
        <r>
          <rPr>
            <sz val="11"/>
            <color indexed="81"/>
            <rFont val="Tahoma"/>
            <family val="2"/>
          </rPr>
          <t xml:space="preserve">** 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상북면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상삼리</t>
        </r>
        <r>
          <rPr>
            <sz val="11"/>
            <color indexed="81"/>
            <rFont val="Tahoma"/>
            <family val="2"/>
          </rPr>
          <t xml:space="preserve"> 785  /  </t>
        </r>
        <r>
          <rPr>
            <sz val="11"/>
            <color indexed="81"/>
            <rFont val="돋움"/>
            <family val="3"/>
            <charset val="129"/>
          </rPr>
          <t>김영철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계장님</t>
        </r>
        <r>
          <rPr>
            <sz val="11"/>
            <color indexed="81"/>
            <rFont val="Tahoma"/>
            <family val="2"/>
          </rPr>
          <t xml:space="preserve"> ( T. 010-9871-0899 )
** HOCHIMINH VOYAGER / HMVY-12 / 12-15 </t>
        </r>
        <r>
          <rPr>
            <sz val="11"/>
            <color indexed="81"/>
            <rFont val="돋움"/>
            <family val="3"/>
            <charset val="129"/>
          </rPr>
          <t>접안예정</t>
        </r>
        <r>
          <rPr>
            <sz val="11"/>
            <color indexed="81"/>
            <rFont val="Tahoma"/>
            <family val="2"/>
          </rPr>
          <t xml:space="preserve"> / BPT</t>
        </r>
        <r>
          <rPr>
            <sz val="11"/>
            <color indexed="81"/>
            <rFont val="돋움"/>
            <family val="3"/>
            <charset val="129"/>
          </rPr>
          <t>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</text>
    </comment>
    <comment ref="AB318" authorId="1" shapeId="0" xr:uid="{6E7FA1CD-3471-46E8-A618-33B4D8B2803E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  ** D/O : O  /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: O
  ** SKHU6393383 / SKHU8932139 (40'HQ X 2) , SKLU2104536 (20'GP X 1)
  ** </t>
        </r>
        <r>
          <rPr>
            <sz val="12"/>
            <color indexed="81"/>
            <rFont val="돋움"/>
            <family val="3"/>
            <charset val="129"/>
          </rPr>
          <t>인수증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(M/DO)
  ** 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) - 12/12 (</t>
        </r>
        <r>
          <rPr>
            <sz val="12"/>
            <color indexed="81"/>
            <rFont val="돋움"/>
            <family val="3"/>
            <charset val="129"/>
          </rPr>
          <t>금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적출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상차</t>
        </r>
        <r>
          <rPr>
            <sz val="12"/>
            <color indexed="81"/>
            <rFont val="Tahoma"/>
            <family val="2"/>
          </rPr>
          <t xml:space="preserve">  ~  12/13 (</t>
        </r>
        <r>
          <rPr>
            <sz val="12"/>
            <color indexed="81"/>
            <rFont val="돋움"/>
            <family val="3"/>
            <charset val="129"/>
          </rPr>
          <t>토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아침</t>
        </r>
        <r>
          <rPr>
            <sz val="12"/>
            <color indexed="81"/>
            <rFont val="Tahoma"/>
            <family val="2"/>
          </rPr>
          <t xml:space="preserve"> 08</t>
        </r>
        <r>
          <rPr>
            <sz val="12"/>
            <color indexed="81"/>
            <rFont val="돋움"/>
            <family val="3"/>
            <charset val="129"/>
          </rPr>
          <t>시반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도착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신신로</t>
        </r>
        <r>
          <rPr>
            <sz val="12"/>
            <color indexed="81"/>
            <rFont val="Tahoma"/>
            <family val="2"/>
          </rPr>
          <t xml:space="preserve"> 294 (</t>
        </r>
        <r>
          <rPr>
            <sz val="12"/>
            <color indexed="81"/>
            <rFont val="돋움"/>
            <family val="3"/>
            <charset val="129"/>
          </rPr>
          <t>용당동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CFS </t>
        </r>
        <r>
          <rPr>
            <sz val="12"/>
            <color indexed="81"/>
            <rFont val="돋움"/>
            <family val="3"/>
            <charset val="129"/>
          </rPr>
          <t>창고</t>
        </r>
        <r>
          <rPr>
            <sz val="12"/>
            <color indexed="81"/>
            <rFont val="Tahoma"/>
            <family val="2"/>
          </rPr>
          <t xml:space="preserve"> 24</t>
        </r>
        <r>
          <rPr>
            <sz val="12"/>
            <color indexed="81"/>
            <rFont val="돋움"/>
            <family val="3"/>
            <charset val="129"/>
          </rPr>
          <t>번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디앤케이물류</t>
        </r>
        <r>
          <rPr>
            <sz val="12"/>
            <color indexed="81"/>
            <rFont val="Tahoma"/>
            <family val="2"/>
          </rPr>
          <t xml:space="preserve">CFS
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(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이창현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070-4887-0348 )  /  (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진예진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070-4887-2098 )
 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염소골길</t>
        </r>
        <r>
          <rPr>
            <sz val="12"/>
            <color indexed="81"/>
            <rFont val="Tahoma"/>
            <family val="2"/>
          </rPr>
          <t xml:space="preserve"> 35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43 / </t>
        </r>
        <r>
          <rPr>
            <sz val="12"/>
            <color indexed="81"/>
            <rFont val="돋움"/>
            <family val="3"/>
            <charset val="129"/>
          </rPr>
          <t xml:space="preserve">두성엔지니어링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송의현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010-4125-2137 )
  ** 16'PKGS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, 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배차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6,500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446,000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353,000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>경기광주</t>
        </r>
        <r>
          <rPr>
            <sz val="12"/>
            <color indexed="81"/>
            <rFont val="Tahoma"/>
            <family val="2"/>
          </rPr>
          <t xml:space="preserve">  -  </t>
        </r>
        <r>
          <rPr>
            <sz val="12"/>
            <color indexed="81"/>
            <rFont val="돋움"/>
            <family val="3"/>
            <charset val="129"/>
          </rPr>
          <t>추가배차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네고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</text>
    </comment>
    <comment ref="AB319" authorId="1" shapeId="0" xr:uid="{73C9C2AD-0F86-47D7-A13C-93996BE1A53E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  ** D/O : O  /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: O
  ** SKHU6393383 / SKHU8932139 (40'HQ X 2) , SKLU2104536 (20'GP X 1)
  ** </t>
        </r>
        <r>
          <rPr>
            <sz val="12"/>
            <color indexed="81"/>
            <rFont val="돋움"/>
            <family val="3"/>
            <charset val="129"/>
          </rPr>
          <t>인수증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(M/DO)
  ** 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) - 12/12 (</t>
        </r>
        <r>
          <rPr>
            <sz val="12"/>
            <color indexed="81"/>
            <rFont val="돋움"/>
            <family val="3"/>
            <charset val="129"/>
          </rPr>
          <t>금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적출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상차</t>
        </r>
        <r>
          <rPr>
            <sz val="12"/>
            <color indexed="81"/>
            <rFont val="Tahoma"/>
            <family val="2"/>
          </rPr>
          <t xml:space="preserve">  ~  12/13 (</t>
        </r>
        <r>
          <rPr>
            <sz val="12"/>
            <color indexed="81"/>
            <rFont val="돋움"/>
            <family val="3"/>
            <charset val="129"/>
          </rPr>
          <t>토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아침</t>
        </r>
        <r>
          <rPr>
            <sz val="12"/>
            <color indexed="81"/>
            <rFont val="Tahoma"/>
            <family val="2"/>
          </rPr>
          <t xml:space="preserve"> 08</t>
        </r>
        <r>
          <rPr>
            <sz val="12"/>
            <color indexed="81"/>
            <rFont val="돋움"/>
            <family val="3"/>
            <charset val="129"/>
          </rPr>
          <t>시반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도착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신신로</t>
        </r>
        <r>
          <rPr>
            <sz val="12"/>
            <color indexed="81"/>
            <rFont val="Tahoma"/>
            <family val="2"/>
          </rPr>
          <t xml:space="preserve"> 294 (</t>
        </r>
        <r>
          <rPr>
            <sz val="12"/>
            <color indexed="81"/>
            <rFont val="돋움"/>
            <family val="3"/>
            <charset val="129"/>
          </rPr>
          <t>용당동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CFS </t>
        </r>
        <r>
          <rPr>
            <sz val="12"/>
            <color indexed="81"/>
            <rFont val="돋움"/>
            <family val="3"/>
            <charset val="129"/>
          </rPr>
          <t>창고</t>
        </r>
        <r>
          <rPr>
            <sz val="12"/>
            <color indexed="81"/>
            <rFont val="Tahoma"/>
            <family val="2"/>
          </rPr>
          <t xml:space="preserve"> 24</t>
        </r>
        <r>
          <rPr>
            <sz val="12"/>
            <color indexed="81"/>
            <rFont val="돋움"/>
            <family val="3"/>
            <charset val="129"/>
          </rPr>
          <t>번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디앤케이물류</t>
        </r>
        <r>
          <rPr>
            <sz val="12"/>
            <color indexed="81"/>
            <rFont val="Tahoma"/>
            <family val="2"/>
          </rPr>
          <t xml:space="preserve">CFS
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(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이창현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070-4887-0348 )  /  (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진예진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070-4887-2098 )
 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염소골길</t>
        </r>
        <r>
          <rPr>
            <sz val="12"/>
            <color indexed="81"/>
            <rFont val="Tahoma"/>
            <family val="2"/>
          </rPr>
          <t xml:space="preserve"> 35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43 / </t>
        </r>
        <r>
          <rPr>
            <sz val="12"/>
            <color indexed="81"/>
            <rFont val="돋움"/>
            <family val="3"/>
            <charset val="129"/>
          </rPr>
          <t xml:space="preserve">두성엔지니어링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송의현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010-4125-2137 )
  ** 16'PKGS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, 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배차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6,500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446,000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353,000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>경기광주</t>
        </r>
        <r>
          <rPr>
            <sz val="12"/>
            <color indexed="81"/>
            <rFont val="Tahoma"/>
            <family val="2"/>
          </rPr>
          <t xml:space="preserve">  -  </t>
        </r>
        <r>
          <rPr>
            <sz val="12"/>
            <color indexed="81"/>
            <rFont val="돋움"/>
            <family val="3"/>
            <charset val="129"/>
          </rPr>
          <t>추가배차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네고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</text>
    </comment>
    <comment ref="AB320" authorId="1" shapeId="0" xr:uid="{DC29AB0A-3748-4239-B58C-3443E3BBD5FE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  ** D/O : O  /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: O
  ** SKHU6393383 / SKHU8932139 (40'HQ X 2) , SKLU2104536 (20'GP X 1)
  ** </t>
        </r>
        <r>
          <rPr>
            <sz val="12"/>
            <color indexed="81"/>
            <rFont val="돋움"/>
            <family val="3"/>
            <charset val="129"/>
          </rPr>
          <t>인수증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(M/DO)
  ** 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) - 12/12 (</t>
        </r>
        <r>
          <rPr>
            <sz val="12"/>
            <color indexed="81"/>
            <rFont val="돋움"/>
            <family val="3"/>
            <charset val="129"/>
          </rPr>
          <t>금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적출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상차</t>
        </r>
        <r>
          <rPr>
            <sz val="12"/>
            <color indexed="81"/>
            <rFont val="Tahoma"/>
            <family val="2"/>
          </rPr>
          <t xml:space="preserve">  ~  12/13 (</t>
        </r>
        <r>
          <rPr>
            <sz val="12"/>
            <color indexed="81"/>
            <rFont val="돋움"/>
            <family val="3"/>
            <charset val="129"/>
          </rPr>
          <t>토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아침</t>
        </r>
        <r>
          <rPr>
            <sz val="12"/>
            <color indexed="81"/>
            <rFont val="Tahoma"/>
            <family val="2"/>
          </rPr>
          <t xml:space="preserve"> 08</t>
        </r>
        <r>
          <rPr>
            <sz val="12"/>
            <color indexed="81"/>
            <rFont val="돋움"/>
            <family val="3"/>
            <charset val="129"/>
          </rPr>
          <t>시반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도착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신신로</t>
        </r>
        <r>
          <rPr>
            <sz val="12"/>
            <color indexed="81"/>
            <rFont val="Tahoma"/>
            <family val="2"/>
          </rPr>
          <t xml:space="preserve"> 294 (</t>
        </r>
        <r>
          <rPr>
            <sz val="12"/>
            <color indexed="81"/>
            <rFont val="돋움"/>
            <family val="3"/>
            <charset val="129"/>
          </rPr>
          <t>용당동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CFS </t>
        </r>
        <r>
          <rPr>
            <sz val="12"/>
            <color indexed="81"/>
            <rFont val="돋움"/>
            <family val="3"/>
            <charset val="129"/>
          </rPr>
          <t>창고</t>
        </r>
        <r>
          <rPr>
            <sz val="12"/>
            <color indexed="81"/>
            <rFont val="Tahoma"/>
            <family val="2"/>
          </rPr>
          <t xml:space="preserve"> 24</t>
        </r>
        <r>
          <rPr>
            <sz val="12"/>
            <color indexed="81"/>
            <rFont val="돋움"/>
            <family val="3"/>
            <charset val="129"/>
          </rPr>
          <t>번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디앤케이물류</t>
        </r>
        <r>
          <rPr>
            <sz val="12"/>
            <color indexed="81"/>
            <rFont val="Tahoma"/>
            <family val="2"/>
          </rPr>
          <t xml:space="preserve">CFS
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(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이창현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070-4887-0348 )  /  (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진예진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070-4887-2098 )
 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염소골길</t>
        </r>
        <r>
          <rPr>
            <sz val="12"/>
            <color indexed="81"/>
            <rFont val="Tahoma"/>
            <family val="2"/>
          </rPr>
          <t xml:space="preserve"> 35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43 / </t>
        </r>
        <r>
          <rPr>
            <sz val="12"/>
            <color indexed="81"/>
            <rFont val="돋움"/>
            <family val="3"/>
            <charset val="129"/>
          </rPr>
          <t xml:space="preserve">두성엔지니어링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송의현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010-4125-2137 )
  ** 16'PKGS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, 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배차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6,500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446,000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353,000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>경기광주</t>
        </r>
        <r>
          <rPr>
            <sz val="12"/>
            <color indexed="81"/>
            <rFont val="Tahoma"/>
            <family val="2"/>
          </rPr>
          <t xml:space="preserve">  -  </t>
        </r>
        <r>
          <rPr>
            <sz val="12"/>
            <color indexed="81"/>
            <rFont val="돋움"/>
            <family val="3"/>
            <charset val="129"/>
          </rPr>
          <t>추가배차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네고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</text>
    </comment>
    <comment ref="AB321" authorId="1" shapeId="0" xr:uid="{18D21F5D-63A9-42FB-908D-5A2A4149A490}">
      <text>
        <r>
          <rPr>
            <b/>
            <sz val="12"/>
            <color indexed="81"/>
            <rFont val="Tahoma"/>
            <family val="2"/>
          </rPr>
          <t>Com:</t>
        </r>
        <r>
          <rPr>
            <sz val="12"/>
            <color indexed="81"/>
            <rFont val="Tahoma"/>
            <family val="2"/>
          </rPr>
          <t xml:space="preserve">
  ** D/O : O  /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: O
  ** SKHU6393383 / SKHU8932139 (40'HQ X 2) , SKLU2104536 (20'GP X 1)
  ** </t>
        </r>
        <r>
          <rPr>
            <sz val="12"/>
            <color indexed="81"/>
            <rFont val="돋움"/>
            <family val="3"/>
            <charset val="129"/>
          </rPr>
          <t>인수증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(M/DO)
  ** 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) - 12/12 (</t>
        </r>
        <r>
          <rPr>
            <sz val="12"/>
            <color indexed="81"/>
            <rFont val="돋움"/>
            <family val="3"/>
            <charset val="129"/>
          </rPr>
          <t>금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적출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돋움"/>
            <family val="3"/>
            <charset val="129"/>
          </rPr>
          <t>상차</t>
        </r>
        <r>
          <rPr>
            <sz val="12"/>
            <color indexed="81"/>
            <rFont val="Tahoma"/>
            <family val="2"/>
          </rPr>
          <t xml:space="preserve">  ~  12/13 (</t>
        </r>
        <r>
          <rPr>
            <sz val="12"/>
            <color indexed="81"/>
            <rFont val="돋움"/>
            <family val="3"/>
            <charset val="129"/>
          </rPr>
          <t>토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아침</t>
        </r>
        <r>
          <rPr>
            <sz val="12"/>
            <color indexed="81"/>
            <rFont val="Tahoma"/>
            <family val="2"/>
          </rPr>
          <t xml:space="preserve"> 08</t>
        </r>
        <r>
          <rPr>
            <sz val="12"/>
            <color indexed="81"/>
            <rFont val="돋움"/>
            <family val="3"/>
            <charset val="129"/>
          </rPr>
          <t>시반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도착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신신로</t>
        </r>
        <r>
          <rPr>
            <sz val="12"/>
            <color indexed="81"/>
            <rFont val="Tahoma"/>
            <family val="2"/>
          </rPr>
          <t xml:space="preserve"> 294 (</t>
        </r>
        <r>
          <rPr>
            <sz val="12"/>
            <color indexed="81"/>
            <rFont val="돋움"/>
            <family val="3"/>
            <charset val="129"/>
          </rPr>
          <t>용당동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CFS </t>
        </r>
        <r>
          <rPr>
            <sz val="12"/>
            <color indexed="81"/>
            <rFont val="돋움"/>
            <family val="3"/>
            <charset val="129"/>
          </rPr>
          <t>창고</t>
        </r>
        <r>
          <rPr>
            <sz val="12"/>
            <color indexed="81"/>
            <rFont val="Tahoma"/>
            <family val="2"/>
          </rPr>
          <t xml:space="preserve"> 24</t>
        </r>
        <r>
          <rPr>
            <sz val="12"/>
            <color indexed="81"/>
            <rFont val="돋움"/>
            <family val="3"/>
            <charset val="129"/>
          </rPr>
          <t>번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디앤케이물류</t>
        </r>
        <r>
          <rPr>
            <sz val="12"/>
            <color indexed="81"/>
            <rFont val="Tahoma"/>
            <family val="2"/>
          </rPr>
          <t xml:space="preserve">CFS
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(</t>
        </r>
        <r>
          <rPr>
            <sz val="12"/>
            <color indexed="81"/>
            <rFont val="돋움"/>
            <family val="3"/>
            <charset val="129"/>
          </rPr>
          <t>수출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이창현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070-4887-0348 )  /  (</t>
        </r>
        <r>
          <rPr>
            <sz val="12"/>
            <color indexed="81"/>
            <rFont val="돋움"/>
            <family val="3"/>
            <charset val="129"/>
          </rPr>
          <t>수입</t>
        </r>
        <r>
          <rPr>
            <sz val="12"/>
            <color indexed="81"/>
            <rFont val="Tahoma"/>
            <family val="2"/>
          </rPr>
          <t xml:space="preserve">) </t>
        </r>
        <r>
          <rPr>
            <sz val="12"/>
            <color indexed="81"/>
            <rFont val="돋움"/>
            <family val="3"/>
            <charset val="129"/>
          </rPr>
          <t>진예진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( T. 070-4887-2098 )
 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염소골길</t>
        </r>
        <r>
          <rPr>
            <sz val="12"/>
            <color indexed="81"/>
            <rFont val="Tahoma"/>
            <family val="2"/>
          </rPr>
          <t xml:space="preserve"> 35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43 / </t>
        </r>
        <r>
          <rPr>
            <sz val="12"/>
            <color indexed="81"/>
            <rFont val="돋움"/>
            <family val="3"/>
            <charset val="129"/>
          </rPr>
          <t xml:space="preserve">두성엔지니어링
</t>
        </r>
        <r>
          <rPr>
            <sz val="12"/>
            <color indexed="81"/>
            <rFont val="Tahoma"/>
            <family val="2"/>
          </rPr>
          <t xml:space="preserve">  </t>
        </r>
        <r>
          <rPr>
            <sz val="12"/>
            <color indexed="81"/>
            <rFont val="돋움"/>
            <family val="3"/>
            <charset val="129"/>
          </rPr>
          <t>담당자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송의현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대표님</t>
        </r>
        <r>
          <rPr>
            <sz val="12"/>
            <color indexed="81"/>
            <rFont val="Tahoma"/>
            <family val="2"/>
          </rPr>
          <t xml:space="preserve"> ( T. 010-4125-2137 )
  ** 16'PKGS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, 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요망</t>
        </r>
        <r>
          <rPr>
            <sz val="12"/>
            <color indexed="81"/>
            <rFont val="Tahoma"/>
            <family val="2"/>
          </rPr>
          <t xml:space="preserve">   /  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배차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6,500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(MIN. 20'R/TON-20' / 30'R/TON-40')  -  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CFS CHARGE)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70,000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50,000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20'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80,000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(SHUTTLE CHARGE)  -  40'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510,000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446,000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2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353,000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(5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 xml:space="preserve">경기광주
</t>
        </r>
        <r>
          <rPr>
            <sz val="12"/>
            <color indexed="81"/>
            <rFont val="Tahoma"/>
            <family val="2"/>
          </rPr>
          <t xml:space="preserve">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410,000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 /  </t>
        </r>
        <r>
          <rPr>
            <sz val="12"/>
            <color indexed="81"/>
            <rFont val="돋움"/>
            <family val="3"/>
            <charset val="129"/>
          </rPr>
          <t>하불</t>
        </r>
        <r>
          <rPr>
            <sz val="12"/>
            <color indexed="81"/>
            <rFont val="Tahoma"/>
            <family val="2"/>
          </rPr>
          <t xml:space="preserve"> : 360,000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(11</t>
        </r>
        <r>
          <rPr>
            <sz val="12"/>
            <color indexed="81"/>
            <rFont val="돋움"/>
            <family val="3"/>
            <charset val="129"/>
          </rPr>
          <t>톤차량</t>
        </r>
        <r>
          <rPr>
            <sz val="12"/>
            <color indexed="81"/>
            <rFont val="Tahoma"/>
            <family val="2"/>
          </rPr>
          <t xml:space="preserve"> X 1 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)  -  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>CFS-</t>
        </r>
        <r>
          <rPr>
            <sz val="12"/>
            <color indexed="81"/>
            <rFont val="돋움"/>
            <family val="3"/>
            <charset val="129"/>
          </rPr>
          <t>경기광주</t>
        </r>
        <r>
          <rPr>
            <sz val="12"/>
            <color indexed="81"/>
            <rFont val="Tahoma"/>
            <family val="2"/>
          </rPr>
          <t xml:space="preserve">  -  </t>
        </r>
        <r>
          <rPr>
            <sz val="12"/>
            <color indexed="81"/>
            <rFont val="돋움"/>
            <family val="3"/>
            <charset val="129"/>
          </rPr>
          <t>추가배차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네고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</text>
    </comment>
    <comment ref="AB380" authorId="0" shapeId="0" xr:uid="{FB53323E-ABD1-4047-A998-0DAC20CD732D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* REN 25 </t>
        </r>
        <r>
          <rPr>
            <sz val="12"/>
            <color indexed="81"/>
            <rFont val="돋움"/>
            <family val="3"/>
            <charset val="129"/>
          </rPr>
          <t>오일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건
</t>
        </r>
        <r>
          <rPr>
            <sz val="12"/>
            <color indexed="81"/>
            <rFont val="Tahoma"/>
            <family val="2"/>
          </rPr>
          <t xml:space="preserve">* </t>
        </r>
        <r>
          <rPr>
            <sz val="12"/>
            <color indexed="81"/>
            <rFont val="돋움"/>
            <family val="3"/>
            <charset val="129"/>
          </rPr>
          <t>동영해운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라인
</t>
        </r>
        <r>
          <rPr>
            <sz val="12"/>
            <color indexed="81"/>
            <rFont val="Tahoma"/>
            <family val="2"/>
          </rPr>
          <t xml:space="preserve">* </t>
        </r>
        <r>
          <rPr>
            <sz val="12"/>
            <color indexed="81"/>
            <rFont val="돋움"/>
            <family val="3"/>
            <charset val="129"/>
          </rPr>
          <t>공만차계근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진행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  <r>
          <rPr>
            <sz val="12"/>
            <color indexed="81"/>
            <rFont val="Tahoma"/>
            <family val="2"/>
          </rPr>
          <t xml:space="preserve">(  KGS) // </t>
        </r>
        <r>
          <rPr>
            <sz val="12"/>
            <color indexed="81"/>
            <rFont val="돋움"/>
            <family val="3"/>
            <charset val="129"/>
          </rPr>
          <t>고중량건</t>
        </r>
        <r>
          <rPr>
            <sz val="12"/>
            <color indexed="81"/>
            <rFont val="Tahoma"/>
            <family val="2"/>
          </rPr>
          <t xml:space="preserve"> ( ABT. 24 TON)
* </t>
        </r>
        <r>
          <rPr>
            <sz val="12"/>
            <color indexed="81"/>
            <rFont val="돋움"/>
            <family val="3"/>
            <charset val="129"/>
          </rPr>
          <t>부곡픽업</t>
        </r>
        <r>
          <rPr>
            <sz val="12"/>
            <color indexed="81"/>
            <rFont val="Tahoma"/>
            <family val="2"/>
          </rPr>
          <t xml:space="preserve"> / KBCT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* HT HUIZHOU(JHHZ-09)2511N / 12-18 </t>
        </r>
        <r>
          <rPr>
            <sz val="12"/>
            <color indexed="81"/>
            <rFont val="돋움"/>
            <family val="3"/>
            <charset val="129"/>
          </rPr>
          <t xml:space="preserve">접안예정
</t>
        </r>
        <r>
          <rPr>
            <sz val="12"/>
            <color indexed="81"/>
            <rFont val="Tahoma"/>
            <family val="2"/>
          </rPr>
          <t xml:space="preserve">* BUSAN // VLADISVOSTOK
</t>
        </r>
      </text>
    </comment>
    <comment ref="AB381" authorId="0" shapeId="0" xr:uid="{7B63C0FA-C5EE-4FBB-8DB3-2CA73DCCF00C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* REN 25 </t>
        </r>
        <r>
          <rPr>
            <sz val="12"/>
            <color indexed="81"/>
            <rFont val="돋움"/>
            <family val="3"/>
            <charset val="129"/>
          </rPr>
          <t>오일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건
</t>
        </r>
        <r>
          <rPr>
            <sz val="12"/>
            <color indexed="81"/>
            <rFont val="Tahoma"/>
            <family val="2"/>
          </rPr>
          <t xml:space="preserve">* </t>
        </r>
        <r>
          <rPr>
            <sz val="12"/>
            <color indexed="81"/>
            <rFont val="돋움"/>
            <family val="3"/>
            <charset val="129"/>
          </rPr>
          <t>동영해운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라인
</t>
        </r>
        <r>
          <rPr>
            <sz val="12"/>
            <color indexed="81"/>
            <rFont val="Tahoma"/>
            <family val="2"/>
          </rPr>
          <t xml:space="preserve">* </t>
        </r>
        <r>
          <rPr>
            <sz val="12"/>
            <color indexed="81"/>
            <rFont val="돋움"/>
            <family val="3"/>
            <charset val="129"/>
          </rPr>
          <t>공만차계근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진행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건</t>
        </r>
        <r>
          <rPr>
            <sz val="12"/>
            <color indexed="81"/>
            <rFont val="Tahoma"/>
            <family val="2"/>
          </rPr>
          <t xml:space="preserve">(  KGS) // </t>
        </r>
        <r>
          <rPr>
            <sz val="12"/>
            <color indexed="81"/>
            <rFont val="돋움"/>
            <family val="3"/>
            <charset val="129"/>
          </rPr>
          <t>고중량건</t>
        </r>
        <r>
          <rPr>
            <sz val="12"/>
            <color indexed="81"/>
            <rFont val="Tahoma"/>
            <family val="2"/>
          </rPr>
          <t xml:space="preserve"> ( ABT. 24 TON)
* </t>
        </r>
        <r>
          <rPr>
            <sz val="12"/>
            <color indexed="81"/>
            <rFont val="돋움"/>
            <family val="3"/>
            <charset val="129"/>
          </rPr>
          <t>부곡픽업</t>
        </r>
        <r>
          <rPr>
            <sz val="12"/>
            <color indexed="81"/>
            <rFont val="Tahoma"/>
            <family val="2"/>
          </rPr>
          <t xml:space="preserve"> / KBCT </t>
        </r>
        <r>
          <rPr>
            <sz val="12"/>
            <color indexed="81"/>
            <rFont val="돋움"/>
            <family val="3"/>
            <charset val="129"/>
          </rPr>
          <t xml:space="preserve">반입
</t>
        </r>
        <r>
          <rPr>
            <sz val="12"/>
            <color indexed="81"/>
            <rFont val="Tahoma"/>
            <family val="2"/>
          </rPr>
          <t xml:space="preserve">* HT HUIZHOU(JHHZ-09)2511N / 12-18 </t>
        </r>
        <r>
          <rPr>
            <sz val="12"/>
            <color indexed="81"/>
            <rFont val="돋움"/>
            <family val="3"/>
            <charset val="129"/>
          </rPr>
          <t xml:space="preserve">접안예정
</t>
        </r>
        <r>
          <rPr>
            <sz val="12"/>
            <color indexed="81"/>
            <rFont val="Tahoma"/>
            <family val="2"/>
          </rPr>
          <t xml:space="preserve">* BUSAN // VLADISVOSTOK
</t>
        </r>
      </text>
    </comment>
    <comment ref="AB385" authorId="0" shapeId="0" xr:uid="{7A11DE90-19D8-4021-B53F-925892833A88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BUSAN / QINGDAO 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2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충렬로</t>
        </r>
        <r>
          <rPr>
            <sz val="11"/>
            <color indexed="81"/>
            <rFont val="Tahoma"/>
            <family val="2"/>
          </rPr>
          <t xml:space="preserve"> 143) / </t>
        </r>
        <r>
          <rPr>
            <sz val="11"/>
            <color indexed="81"/>
            <rFont val="돋움"/>
            <family val="3"/>
            <charset val="129"/>
          </rPr>
          <t>이수권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기장님</t>
        </r>
        <r>
          <rPr>
            <sz val="11"/>
            <color indexed="81"/>
            <rFont val="Tahoma"/>
            <family val="2"/>
          </rPr>
          <t xml:space="preserve"> / 010-5027-2573
* </t>
        </r>
        <r>
          <rPr>
            <sz val="11"/>
            <color indexed="81"/>
            <rFont val="돋움"/>
            <family val="3"/>
            <charset val="129"/>
          </rPr>
          <t>쿠쿠전자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공장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경남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양산시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유산공단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돋움"/>
            <family val="3"/>
            <charset val="129"/>
          </rPr>
          <t>길</t>
        </r>
        <r>
          <rPr>
            <sz val="11"/>
            <color indexed="81"/>
            <rFont val="Tahoma"/>
            <family val="2"/>
          </rPr>
          <t xml:space="preserve"> 14 ) / </t>
        </r>
        <r>
          <rPr>
            <sz val="11"/>
            <color indexed="81"/>
            <rFont val="돋움"/>
            <family val="3"/>
            <charset val="129"/>
          </rPr>
          <t>안명수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기사님</t>
        </r>
        <r>
          <rPr>
            <sz val="11"/>
            <color indexed="81"/>
            <rFont val="Tahoma"/>
            <family val="2"/>
          </rPr>
          <t xml:space="preserve"> 010-7537-8569
*SAWSDEE VEGA(SWVG-43) / 2544W / ETA : 12/7 </t>
        </r>
        <r>
          <rPr>
            <sz val="11"/>
            <color indexed="81"/>
            <rFont val="돋움"/>
            <family val="3"/>
            <charset val="129"/>
          </rPr>
          <t xml:space="preserve">예정
</t>
        </r>
      </text>
    </comment>
    <comment ref="AB404" authorId="0" shapeId="0" xr:uid="{730251D1-4DEE-4A5A-8991-BFD9361F2944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ZIMUSEL71195119 // 40'FR X 2 (O/WH)
DIMENSIONS
: 7500(L) X 2800(W) X 3100(H) // 6,700 KGS X 2  CNTR
BUSAN // SAVANNAH, GA</t>
        </r>
      </text>
    </comment>
    <comment ref="AB405" authorId="0" shapeId="0" xr:uid="{5959E6F3-709F-40DA-B9E3-426315C2F0F8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ZIMUSEL71195119 // 40'FR X 2 (O/WH)
DIMENSIONS
: 7500(L) X 2800(W) X 3100(H) // 6,700 KGS X 2  CNTR
BUSAN // SAVANNAH, GA</t>
        </r>
      </text>
    </comment>
    <comment ref="AB406" authorId="0" shapeId="0" xr:uid="{B2DA9181-1111-4028-92CB-9BB17A9828E2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ZIMUSEL71195119 // 40'FR X 2 (O/WH)
DIMENSIONS
: 7500(L) X 2800(W) X 3100(H) // 6,700 KGS X 2  CNTR
BUSAN // SAVANNAH, GA</t>
        </r>
      </text>
    </comment>
    <comment ref="AB408" authorId="0" shapeId="0" xr:uid="{6FFB7EB0-DDF6-48E1-9D93-231A0BFECBAF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673,000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(20'GP)  /  766,000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(40'GP)  -  </t>
        </r>
        <r>
          <rPr>
            <sz val="12"/>
            <color indexed="81"/>
            <rFont val="돋움"/>
            <family val="3"/>
            <charset val="129"/>
          </rPr>
          <t>편도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671,000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(20'GP)  /  762,000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(40'GP)  -  </t>
        </r>
        <r>
          <rPr>
            <sz val="12"/>
            <color indexed="81"/>
            <rFont val="돋움"/>
            <family val="3"/>
            <charset val="129"/>
          </rPr>
          <t>편도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신항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858,000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(20'GP)  /  984,000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(40'GP)  -  </t>
        </r>
        <r>
          <rPr>
            <sz val="12"/>
            <color indexed="81"/>
            <rFont val="돋움"/>
            <family val="3"/>
            <charset val="129"/>
          </rPr>
          <t>라운드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북항</t>
        </r>
        <r>
          <rPr>
            <sz val="12"/>
            <color indexed="81"/>
            <rFont val="Tahoma"/>
            <family val="2"/>
          </rPr>
          <t xml:space="preserve">)
  ** </t>
        </r>
        <r>
          <rPr>
            <sz val="12"/>
            <color indexed="81"/>
            <rFont val="돋움"/>
            <family val="3"/>
            <charset val="129"/>
          </rPr>
          <t>청구</t>
        </r>
        <r>
          <rPr>
            <sz val="12"/>
            <color indexed="81"/>
            <rFont val="Tahoma"/>
            <family val="2"/>
          </rPr>
          <t xml:space="preserve"> :  852,000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(20'GP)  /  977,000 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(40'GP)  -  </t>
        </r>
        <r>
          <rPr>
            <sz val="12"/>
            <color indexed="81"/>
            <rFont val="돋움"/>
            <family val="3"/>
            <charset val="129"/>
          </rPr>
          <t>라운드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신항</t>
        </r>
        <r>
          <rPr>
            <sz val="12"/>
            <color indexed="81"/>
            <rFont val="Tahoma"/>
            <family val="2"/>
          </rPr>
          <t>)</t>
        </r>
      </text>
    </comment>
    <comment ref="AB411" authorId="0" shapeId="0" xr:uid="{2E8D9E5A-127F-4134-B883-F0D8F2F24D48}">
      <text>
        <r>
          <rPr>
            <b/>
            <sz val="18"/>
            <color indexed="81"/>
            <rFont val="돋움"/>
            <family val="3"/>
            <charset val="129"/>
          </rPr>
          <t>상하차료</t>
        </r>
        <r>
          <rPr>
            <b/>
            <sz val="18"/>
            <color indexed="81"/>
            <rFont val="Tahoma"/>
            <family val="2"/>
          </rPr>
          <t xml:space="preserve"> 1</t>
        </r>
        <r>
          <rPr>
            <b/>
            <sz val="18"/>
            <color indexed="81"/>
            <rFont val="돋움"/>
            <family val="3"/>
            <charset val="129"/>
          </rPr>
          <t>만원</t>
        </r>
        <r>
          <rPr>
            <b/>
            <sz val="18"/>
            <color indexed="81"/>
            <rFont val="Tahoma"/>
            <family val="2"/>
          </rPr>
          <t xml:space="preserve">, </t>
        </r>
        <r>
          <rPr>
            <b/>
            <sz val="18"/>
            <color indexed="81"/>
            <rFont val="돋움"/>
            <family val="3"/>
            <charset val="129"/>
          </rPr>
          <t>셔틀료</t>
        </r>
        <r>
          <rPr>
            <b/>
            <sz val="18"/>
            <color indexed="81"/>
            <rFont val="Tahoma"/>
            <family val="2"/>
          </rPr>
          <t xml:space="preserve"> 5</t>
        </r>
        <r>
          <rPr>
            <b/>
            <sz val="18"/>
            <color indexed="81"/>
            <rFont val="돋움"/>
            <family val="3"/>
            <charset val="129"/>
          </rPr>
          <t xml:space="preserve">만원
</t>
        </r>
        <r>
          <rPr>
            <b/>
            <sz val="18"/>
            <color indexed="81"/>
            <rFont val="Tahoma"/>
            <family val="2"/>
          </rPr>
          <t>DAY</t>
        </r>
        <r>
          <rPr>
            <b/>
            <sz val="18"/>
            <color indexed="81"/>
            <rFont val="돋움"/>
            <family val="3"/>
            <charset val="129"/>
          </rPr>
          <t>당</t>
        </r>
        <r>
          <rPr>
            <b/>
            <sz val="18"/>
            <color indexed="81"/>
            <rFont val="Tahoma"/>
            <family val="2"/>
          </rPr>
          <t xml:space="preserve"> 5,000</t>
        </r>
        <r>
          <rPr>
            <b/>
            <sz val="18"/>
            <color indexed="81"/>
            <rFont val="돋움"/>
            <family val="3"/>
            <charset val="129"/>
          </rPr>
          <t xml:space="preserve">원
</t>
        </r>
        <r>
          <rPr>
            <b/>
            <sz val="18"/>
            <color indexed="81"/>
            <rFont val="Tahoma"/>
            <family val="2"/>
          </rPr>
          <t xml:space="preserve">&gt; </t>
        </r>
        <r>
          <rPr>
            <b/>
            <sz val="18"/>
            <color indexed="81"/>
            <rFont val="돋움"/>
            <family val="3"/>
            <charset val="129"/>
          </rPr>
          <t>에스지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보관</t>
        </r>
      </text>
    </comment>
    <comment ref="AB426" authorId="0" shapeId="0" xr:uid="{0BBC0729-24B3-4374-B85A-4BAF37D629B2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</text>
    </comment>
    <comment ref="AB475" authorId="0" shapeId="0" xr:uid="{846F2CFB-D892-4AC0-A134-DC1BC5248109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2025.12.22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상차
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디앤케이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장치장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코드</t>
        </r>
        <r>
          <rPr>
            <sz val="12"/>
            <color indexed="81"/>
            <rFont val="Tahoma"/>
            <family val="2"/>
          </rPr>
          <t xml:space="preserve">: 030-77-142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신선로</t>
        </r>
        <r>
          <rPr>
            <sz val="12"/>
            <color indexed="81"/>
            <rFont val="Tahoma"/>
            <family val="2"/>
          </rPr>
          <t xml:space="preserve"> 294,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신선대</t>
        </r>
        <r>
          <rPr>
            <sz val="12"/>
            <color indexed="81"/>
            <rFont val="Tahoma"/>
            <family val="2"/>
          </rPr>
          <t xml:space="preserve"> CFS 24</t>
        </r>
        <r>
          <rPr>
            <sz val="12"/>
            <color indexed="81"/>
            <rFont val="돋움"/>
            <family val="3"/>
            <charset val="129"/>
          </rPr>
          <t>번창고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 xml:space="preserve">층
</t>
        </r>
        <r>
          <rPr>
            <sz val="12"/>
            <color indexed="81"/>
            <rFont val="Tahoma"/>
            <family val="2"/>
          </rPr>
          <t xml:space="preserve">2025.12.23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하차
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성보화학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도척면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다람로</t>
        </r>
        <r>
          <rPr>
            <sz val="12"/>
            <color indexed="81"/>
            <rFont val="Tahoma"/>
            <family val="2"/>
          </rPr>
          <t xml:space="preserve"> 36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93-8
MBL NO. : SNKO03N251200022
con : SKHU9541329
* M DO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인수증으로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확인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해주세요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물량</t>
        </r>
        <r>
          <rPr>
            <sz val="12"/>
            <color indexed="81"/>
            <rFont val="Tahoma"/>
            <family val="2"/>
          </rPr>
          <t xml:space="preserve"> : 
40ft container x 1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
25</t>
        </r>
        <r>
          <rPr>
            <sz val="12"/>
            <color indexed="81"/>
            <rFont val="돋움"/>
            <family val="3"/>
            <charset val="129"/>
          </rPr>
          <t>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적재</t>
        </r>
        <r>
          <rPr>
            <sz val="12"/>
            <color indexed="81"/>
            <rFont val="Tahoma"/>
            <family val="2"/>
          </rPr>
          <t xml:space="preserve"> = 820kg x 30BAG 
100 * 100 * </t>
        </r>
        <r>
          <rPr>
            <sz val="12"/>
            <color indexed="81"/>
            <rFont val="돋움"/>
            <family val="3"/>
            <charset val="129"/>
          </rPr>
          <t>높이</t>
        </r>
        <r>
          <rPr>
            <sz val="12"/>
            <color indexed="81"/>
            <rFont val="Tahoma"/>
            <family val="2"/>
          </rPr>
          <t xml:space="preserve"> 110~120cm</t>
        </r>
        <r>
          <rPr>
            <sz val="12"/>
            <color indexed="81"/>
            <rFont val="돋움"/>
            <family val="3"/>
            <charset val="129"/>
          </rPr>
          <t xml:space="preserve">정도
</t>
        </r>
        <r>
          <rPr>
            <sz val="12"/>
            <color indexed="81"/>
            <rFont val="Tahoma"/>
            <family val="2"/>
          </rPr>
          <t>* 100*100*110~120 CM</t>
        </r>
        <r>
          <rPr>
            <sz val="12"/>
            <color indexed="81"/>
            <rFont val="돋움"/>
            <family val="3"/>
            <charset val="129"/>
          </rPr>
          <t>정도</t>
        </r>
        <r>
          <rPr>
            <sz val="12"/>
            <color indexed="81"/>
            <rFont val="Tahoma"/>
            <family val="2"/>
          </rPr>
          <t xml:space="preserve"> // 820KG * 30 BAG
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디앤케이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장치장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코드</t>
        </r>
        <r>
          <rPr>
            <sz val="12"/>
            <color indexed="81"/>
            <rFont val="Tahoma"/>
            <family val="2"/>
          </rPr>
          <t xml:space="preserve">: 030-77-142 </t>
        </r>
        <r>
          <rPr>
            <sz val="12"/>
            <color indexed="81"/>
            <rFont val="돋움"/>
            <family val="3"/>
            <charset val="129"/>
          </rPr>
          <t>부산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신선로</t>
        </r>
        <r>
          <rPr>
            <sz val="12"/>
            <color indexed="81"/>
            <rFont val="Tahoma"/>
            <family val="2"/>
          </rPr>
          <t xml:space="preserve"> 294, </t>
        </r>
        <r>
          <rPr>
            <sz val="12"/>
            <color indexed="81"/>
            <rFont val="돋움"/>
            <family val="3"/>
            <charset val="129"/>
          </rPr>
          <t>부산항터미널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신선대</t>
        </r>
        <r>
          <rPr>
            <sz val="12"/>
            <color indexed="81"/>
            <rFont val="Tahoma"/>
            <family val="2"/>
          </rPr>
          <t xml:space="preserve"> CFS 24</t>
        </r>
        <r>
          <rPr>
            <sz val="12"/>
            <color indexed="81"/>
            <rFont val="돋움"/>
            <family val="3"/>
            <charset val="129"/>
          </rPr>
          <t>번창고</t>
        </r>
        <r>
          <rPr>
            <sz val="12"/>
            <color indexed="81"/>
            <rFont val="Tahoma"/>
            <family val="2"/>
          </rPr>
          <t xml:space="preserve"> 1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// </t>
        </r>
        <r>
          <rPr>
            <sz val="12"/>
            <color indexed="81"/>
            <rFont val="돋움"/>
            <family val="3"/>
            <charset val="129"/>
          </rPr>
          <t>진예진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계장님</t>
        </r>
        <r>
          <rPr>
            <sz val="12"/>
            <color indexed="81"/>
            <rFont val="Tahoma"/>
            <family val="2"/>
          </rPr>
          <t xml:space="preserve">  / 070-4887-2098
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성보화학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광주시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도척면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다람로</t>
        </r>
        <r>
          <rPr>
            <sz val="12"/>
            <color indexed="81"/>
            <rFont val="Tahoma"/>
            <family val="2"/>
          </rPr>
          <t xml:space="preserve"> 36</t>
        </r>
        <r>
          <rPr>
            <sz val="12"/>
            <color indexed="81"/>
            <rFont val="돋움"/>
            <family val="3"/>
            <charset val="129"/>
          </rPr>
          <t>번길</t>
        </r>
        <r>
          <rPr>
            <sz val="12"/>
            <color indexed="81"/>
            <rFont val="Tahoma"/>
            <family val="2"/>
          </rPr>
          <t xml:space="preserve"> 93-8 // </t>
        </r>
        <r>
          <rPr>
            <sz val="12"/>
            <color indexed="81"/>
            <rFont val="돋움"/>
            <family val="3"/>
            <charset val="129"/>
          </rPr>
          <t>유선아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차장님</t>
        </r>
        <r>
          <rPr>
            <sz val="12"/>
            <color indexed="81"/>
            <rFont val="Tahoma"/>
            <family val="2"/>
          </rPr>
          <t xml:space="preserve"> / 010-6246-7647
* MBL NO. : SNKO03N251200022 / CON : SKHU9541329
* M DO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인수증으로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전달예정</t>
        </r>
        <r>
          <rPr>
            <sz val="12"/>
            <color indexed="81"/>
            <rFont val="Tahoma"/>
            <family val="2"/>
          </rPr>
          <t xml:space="preserve">.
</t>
        </r>
      </text>
    </comment>
    <comment ref="AB481" authorId="0" shapeId="0" xr:uid="{38B81B2C-DFAF-4123-9355-5A90B68F5D85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선사반납비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인보이스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나오면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주세요</t>
        </r>
        <r>
          <rPr>
            <sz val="12"/>
            <color indexed="81"/>
            <rFont val="Tahoma"/>
            <family val="2"/>
          </rPr>
          <t>~ (</t>
        </r>
        <r>
          <rPr>
            <sz val="12"/>
            <color indexed="81"/>
            <rFont val="돋움"/>
            <family val="3"/>
            <charset val="129"/>
          </rPr>
          <t>화주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직접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정산예정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여명벽지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사업자번호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그대로
</t>
        </r>
        <r>
          <rPr>
            <sz val="12"/>
            <color indexed="81"/>
            <rFont val="Tahoma"/>
            <family val="2"/>
          </rPr>
          <t>T. 051-977-7171
F. 051-977-7175
jst049123@daum.net</t>
        </r>
      </text>
    </comment>
    <comment ref="AB484" authorId="0" shapeId="0" xr:uid="{5E58FBCA-14FE-454A-A6BF-0473B7889690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* 3,150*1,900*3,400 / 8</t>
        </r>
        <r>
          <rPr>
            <sz val="12"/>
            <color indexed="81"/>
            <rFont val="돋움"/>
            <family val="3"/>
            <charset val="129"/>
          </rPr>
          <t xml:space="preserve">톤
</t>
        </r>
        <r>
          <rPr>
            <sz val="12"/>
            <color indexed="81"/>
            <rFont val="Tahoma"/>
            <family val="2"/>
          </rPr>
          <t>* 2,050*1,900*3,750 / 1.5</t>
        </r>
        <r>
          <rPr>
            <sz val="12"/>
            <color indexed="81"/>
            <rFont val="돋움"/>
            <family val="3"/>
            <charset val="129"/>
          </rPr>
          <t xml:space="preserve">톤
</t>
        </r>
        <r>
          <rPr>
            <sz val="12"/>
            <color indexed="81"/>
            <rFont val="Tahoma"/>
            <family val="2"/>
          </rPr>
          <t xml:space="preserve">* 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충북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진천군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덕산읍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신척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돋움"/>
            <family val="3"/>
            <charset val="129"/>
          </rPr>
          <t>길</t>
        </r>
        <r>
          <rPr>
            <sz val="12"/>
            <color indexed="81"/>
            <rFont val="Tahoma"/>
            <family val="2"/>
          </rPr>
          <t xml:space="preserve"> 96-16 </t>
        </r>
        <r>
          <rPr>
            <sz val="12"/>
            <color indexed="81"/>
            <rFont val="돋움"/>
            <family val="3"/>
            <charset val="129"/>
          </rPr>
          <t>백경산업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신남선대표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백경산업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해영국제운송</t>
        </r>
        <r>
          <rPr>
            <sz val="12"/>
            <color indexed="81"/>
            <rFont val="Tahoma"/>
            <family val="2"/>
          </rPr>
          <t xml:space="preserve">) /  010-6820-0822
* 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신감만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장풍</t>
        </r>
        <r>
          <rPr>
            <sz val="12"/>
            <color indexed="81"/>
            <rFont val="Tahoma"/>
            <family val="2"/>
          </rPr>
          <t xml:space="preserve"> CFS / </t>
        </r>
        <r>
          <rPr>
            <sz val="12"/>
            <color indexed="81"/>
            <rFont val="돋움"/>
            <family val="3"/>
            <charset val="129"/>
          </rPr>
          <t>남구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북항로</t>
        </r>
        <r>
          <rPr>
            <sz val="12"/>
            <color indexed="81"/>
            <rFont val="Tahoma"/>
            <family val="2"/>
          </rPr>
          <t xml:space="preserve"> 179 (</t>
        </r>
        <r>
          <rPr>
            <sz val="12"/>
            <color indexed="81"/>
            <rFont val="돋움"/>
            <family val="3"/>
            <charset val="129"/>
          </rPr>
          <t>한국허치슨터미널</t>
        </r>
        <r>
          <rPr>
            <sz val="12"/>
            <color indexed="81"/>
            <rFont val="Tahoma"/>
            <family val="2"/>
          </rPr>
          <t xml:space="preserve"> CFS 2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) / </t>
        </r>
        <r>
          <rPr>
            <sz val="12"/>
            <color indexed="81"/>
            <rFont val="돋움"/>
            <family val="3"/>
            <charset val="129"/>
          </rPr>
          <t>김주혁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과장</t>
        </r>
        <r>
          <rPr>
            <sz val="12"/>
            <color indexed="81"/>
            <rFont val="Tahoma"/>
            <family val="2"/>
          </rPr>
          <t xml:space="preserve"> (051-630-8392)
</t>
        </r>
      </text>
    </comment>
    <comment ref="AB485" authorId="0" shapeId="0" xr:uid="{302D1105-9D92-4D3F-AAC7-B818E17AB17D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공만차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( KGS)
* FESCO </t>
        </r>
        <r>
          <rPr>
            <sz val="11"/>
            <color indexed="81"/>
            <rFont val="돋움"/>
            <family val="3"/>
            <charset val="129"/>
          </rPr>
          <t xml:space="preserve">라인
</t>
        </r>
        <r>
          <rPr>
            <sz val="11"/>
            <color indexed="81"/>
            <rFont val="Tahoma"/>
            <family val="2"/>
          </rPr>
          <t xml:space="preserve">* ZHONG CHUAN HAI YUN / HKK1104N / 12-27 </t>
        </r>
        <r>
          <rPr>
            <sz val="11"/>
            <color indexed="81"/>
            <rFont val="돋움"/>
            <family val="3"/>
            <charset val="129"/>
          </rPr>
          <t xml:space="preserve">접안예정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인천픽업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현대신항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반입예정
</t>
        </r>
      </text>
    </comment>
    <comment ref="AB486" authorId="0" shapeId="0" xr:uid="{6F684827-E906-471B-8CD0-6021408B39AF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공만차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( KGS)
* FESCO </t>
        </r>
        <r>
          <rPr>
            <sz val="11"/>
            <color indexed="81"/>
            <rFont val="돋움"/>
            <family val="3"/>
            <charset val="129"/>
          </rPr>
          <t xml:space="preserve">라인
</t>
        </r>
        <r>
          <rPr>
            <sz val="11"/>
            <color indexed="81"/>
            <rFont val="Tahoma"/>
            <family val="2"/>
          </rPr>
          <t xml:space="preserve">* ZHONG CHUAN HAI YUN / HKK1104N / 12-27 </t>
        </r>
        <r>
          <rPr>
            <sz val="11"/>
            <color indexed="81"/>
            <rFont val="돋움"/>
            <family val="3"/>
            <charset val="129"/>
          </rPr>
          <t xml:space="preserve">접안예정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인천픽업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현대신항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반입예정
</t>
        </r>
      </text>
    </comment>
    <comment ref="AB487" authorId="0" shapeId="0" xr:uid="{B35E6D22-D2CC-4D0D-B841-A527F218DB95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공만차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예정</t>
        </r>
        <r>
          <rPr>
            <sz val="11"/>
            <color indexed="81"/>
            <rFont val="Tahoma"/>
            <family val="2"/>
          </rPr>
          <t xml:space="preserve"> ( KGS)
* FESCO </t>
        </r>
        <r>
          <rPr>
            <sz val="11"/>
            <color indexed="81"/>
            <rFont val="돋움"/>
            <family val="3"/>
            <charset val="129"/>
          </rPr>
          <t xml:space="preserve">라인
</t>
        </r>
        <r>
          <rPr>
            <sz val="11"/>
            <color indexed="81"/>
            <rFont val="Tahoma"/>
            <family val="2"/>
          </rPr>
          <t xml:space="preserve">* ZHONG CHUAN HAI YUN / HKK1104N / 12-27 </t>
        </r>
        <r>
          <rPr>
            <sz val="11"/>
            <color indexed="81"/>
            <rFont val="돋움"/>
            <family val="3"/>
            <charset val="129"/>
          </rPr>
          <t xml:space="preserve">접안예정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인천픽업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현대신항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반입제한으로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선반입티켓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구매하여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반입예정
</t>
        </r>
      </text>
    </comment>
    <comment ref="AB490" authorId="0" shapeId="0" xr:uid="{5A7F227C-42D6-45D3-8723-DDA4A00877FA}">
      <text>
        <r>
          <rPr>
            <b/>
            <sz val="11"/>
            <color indexed="81"/>
            <rFont val="Tahoma"/>
            <family val="2"/>
          </rPr>
          <t xml:space="preserve">Windows </t>
        </r>
        <r>
          <rPr>
            <b/>
            <sz val="11"/>
            <color indexed="81"/>
            <rFont val="돋움"/>
            <family val="3"/>
            <charset val="129"/>
          </rPr>
          <t>사용자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* </t>
        </r>
        <r>
          <rPr>
            <sz val="11"/>
            <color indexed="81"/>
            <rFont val="돋움"/>
            <family val="3"/>
            <charset val="129"/>
          </rPr>
          <t>공만차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 (  KGS)
&lt; PNC-</t>
        </r>
        <r>
          <rPr>
            <sz val="11"/>
            <color indexed="81"/>
            <rFont val="돋움"/>
            <family val="3"/>
            <charset val="129"/>
          </rPr>
          <t>머스크라인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건</t>
        </r>
        <r>
          <rPr>
            <sz val="11"/>
            <color indexed="81"/>
            <rFont val="Tahoma"/>
            <family val="2"/>
          </rPr>
          <t xml:space="preserve"> &gt;</t>
        </r>
        <r>
          <rPr>
            <sz val="11"/>
            <color indexed="81"/>
            <rFont val="돋움"/>
            <family val="3"/>
            <charset val="129"/>
          </rPr>
          <t>전송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VGM </t>
        </r>
        <r>
          <rPr>
            <sz val="11"/>
            <color indexed="81"/>
            <rFont val="돋움"/>
            <family val="3"/>
            <charset val="129"/>
          </rPr>
          <t>신고중량으로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확인예정</t>
        </r>
        <r>
          <rPr>
            <sz val="11"/>
            <color indexed="81"/>
            <rFont val="Tahoma"/>
            <family val="2"/>
          </rPr>
          <t xml:space="preserve">.
* MAE </t>
        </r>
        <r>
          <rPr>
            <sz val="11"/>
            <color indexed="81"/>
            <rFont val="돋움"/>
            <family val="3"/>
            <charset val="129"/>
          </rPr>
          <t xml:space="preserve">머스크라인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부곡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픽업</t>
        </r>
        <r>
          <rPr>
            <sz val="11"/>
            <color indexed="81"/>
            <rFont val="Tahoma"/>
            <family val="2"/>
          </rPr>
          <t xml:space="preserve"> / PNC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  <r>
          <rPr>
            <sz val="11"/>
            <color indexed="81"/>
            <rFont val="Tahoma"/>
            <family val="2"/>
          </rPr>
          <t xml:space="preserve">* GRASMERE MAERSK(MGAS-011) / 552S / 12-27 </t>
        </r>
        <r>
          <rPr>
            <sz val="11"/>
            <color indexed="81"/>
            <rFont val="돋움"/>
            <family val="3"/>
            <charset val="129"/>
          </rPr>
          <t xml:space="preserve">접안예정
</t>
        </r>
      </text>
    </comment>
    <comment ref="AB502" authorId="0" shapeId="0" xr:uid="{9B9101A1-50E1-400B-B32F-F3D5EB6C67A8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선사반납비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인보이스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나오면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주세요</t>
        </r>
        <r>
          <rPr>
            <sz val="12"/>
            <color indexed="81"/>
            <rFont val="Tahoma"/>
            <family val="2"/>
          </rPr>
          <t>~ (</t>
        </r>
        <r>
          <rPr>
            <sz val="12"/>
            <color indexed="81"/>
            <rFont val="돋움"/>
            <family val="3"/>
            <charset val="129"/>
          </rPr>
          <t>화주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직접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정산예정</t>
        </r>
        <r>
          <rPr>
            <sz val="12"/>
            <color indexed="81"/>
            <rFont val="Tahoma"/>
            <family val="2"/>
          </rPr>
          <t xml:space="preserve">)
</t>
        </r>
        <r>
          <rPr>
            <sz val="12"/>
            <color indexed="81"/>
            <rFont val="돋움"/>
            <family val="3"/>
            <charset val="129"/>
          </rPr>
          <t>상정무역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사업자번호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면장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그대로
</t>
        </r>
        <r>
          <rPr>
            <sz val="12"/>
            <color indexed="81"/>
            <rFont val="Tahoma"/>
            <family val="2"/>
          </rPr>
          <t>T. 051-977-7171
F. 051-977-7175
jst049123@daum.net</t>
        </r>
      </text>
    </comment>
    <comment ref="AB517" authorId="0" shapeId="0" xr:uid="{D5611D39-A087-4AAA-AF13-4B52711DD3C4}">
      <text>
        <r>
          <rPr>
            <b/>
            <sz val="14"/>
            <color indexed="81"/>
            <rFont val="Tahoma"/>
            <family val="2"/>
          </rPr>
          <t xml:space="preserve">Windows </t>
        </r>
        <r>
          <rPr>
            <b/>
            <sz val="14"/>
            <color indexed="81"/>
            <rFont val="돋움"/>
            <family val="3"/>
            <charset val="129"/>
          </rPr>
          <t>사용자</t>
        </r>
        <r>
          <rPr>
            <b/>
            <sz val="14"/>
            <color indexed="81"/>
            <rFont val="Tahoma"/>
            <family val="2"/>
          </rPr>
          <t>:</t>
        </r>
        <r>
          <rPr>
            <sz val="14"/>
            <color indexed="81"/>
            <rFont val="Tahoma"/>
            <family val="2"/>
          </rPr>
          <t xml:space="preserve">
TCKU6654930  ( BL: TBBMNLSO25112613 / NSSLSNBSC2500466)  -  BPT</t>
        </r>
        <r>
          <rPr>
            <sz val="14"/>
            <color indexed="81"/>
            <rFont val="돋움"/>
            <family val="3"/>
            <charset val="129"/>
          </rPr>
          <t>신선대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 xml:space="preserve">반출
</t>
        </r>
        <r>
          <rPr>
            <sz val="14"/>
            <color indexed="81"/>
            <rFont val="Tahoma"/>
            <family val="2"/>
          </rPr>
          <t>:   12/24 (</t>
        </r>
        <r>
          <rPr>
            <sz val="14"/>
            <color indexed="81"/>
            <rFont val="돋움"/>
            <family val="3"/>
            <charset val="129"/>
          </rPr>
          <t>수</t>
        </r>
        <r>
          <rPr>
            <sz val="14"/>
            <color indexed="81"/>
            <rFont val="Tahoma"/>
            <family val="2"/>
          </rPr>
          <t xml:space="preserve">)  FULL </t>
        </r>
        <r>
          <rPr>
            <sz val="14"/>
            <color indexed="81"/>
            <rFont val="돋움"/>
            <family val="3"/>
            <charset val="129"/>
          </rPr>
          <t>반출</t>
        </r>
        <r>
          <rPr>
            <sz val="14"/>
            <color indexed="81"/>
            <rFont val="Tahoma"/>
            <family val="2"/>
          </rPr>
          <t xml:space="preserve"> (</t>
        </r>
        <r>
          <rPr>
            <sz val="14"/>
            <color indexed="81"/>
            <rFont val="돋움"/>
            <family val="3"/>
            <charset val="129"/>
          </rPr>
          <t>경과보관료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대납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진행예정</t>
        </r>
        <r>
          <rPr>
            <sz val="14"/>
            <color indexed="81"/>
            <rFont val="Tahoma"/>
            <family val="2"/>
          </rPr>
          <t xml:space="preserve">)  </t>
        </r>
        <r>
          <rPr>
            <sz val="14"/>
            <color indexed="81"/>
            <rFont val="돋움"/>
            <family val="3"/>
            <charset val="129"/>
          </rPr>
          <t>후</t>
        </r>
        <r>
          <rPr>
            <sz val="14"/>
            <color indexed="81"/>
            <rFont val="Tahoma"/>
            <family val="2"/>
          </rPr>
          <t xml:space="preserve">  </t>
        </r>
        <r>
          <rPr>
            <sz val="14"/>
            <color indexed="81"/>
            <rFont val="돋움"/>
            <family val="3"/>
            <charset val="129"/>
          </rPr>
          <t>신항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보관소에</t>
        </r>
        <r>
          <rPr>
            <sz val="14"/>
            <color indexed="81"/>
            <rFont val="Tahoma"/>
            <family val="2"/>
          </rPr>
          <t xml:space="preserve">  FULL </t>
        </r>
        <r>
          <rPr>
            <sz val="14"/>
            <color indexed="81"/>
            <rFont val="돋움"/>
            <family val="3"/>
            <charset val="129"/>
          </rPr>
          <t>보관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예정</t>
        </r>
        <r>
          <rPr>
            <sz val="14"/>
            <color indexed="81"/>
            <rFont val="Tahoma"/>
            <family val="2"/>
          </rPr>
          <t xml:space="preserve">  ( </t>
        </r>
        <r>
          <rPr>
            <sz val="14"/>
            <color indexed="81"/>
            <rFont val="돋움"/>
            <family val="3"/>
            <charset val="129"/>
          </rPr>
          <t>북항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보관소는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장기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보관이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제한적입니다</t>
        </r>
        <r>
          <rPr>
            <sz val="14"/>
            <color indexed="81"/>
            <rFont val="Tahoma"/>
            <family val="2"/>
          </rPr>
          <t xml:space="preserve">. )  
-  </t>
        </r>
        <r>
          <rPr>
            <sz val="14"/>
            <color indexed="81"/>
            <rFont val="돋움"/>
            <family val="3"/>
            <charset val="129"/>
          </rPr>
          <t>북항</t>
        </r>
        <r>
          <rPr>
            <sz val="14"/>
            <color indexed="81"/>
            <rFont val="Tahoma"/>
            <family val="2"/>
          </rPr>
          <t xml:space="preserve"> – </t>
        </r>
        <r>
          <rPr>
            <sz val="14"/>
            <color indexed="81"/>
            <rFont val="돋움"/>
            <family val="3"/>
            <charset val="129"/>
          </rPr>
          <t>신항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셔틀비용</t>
        </r>
        <r>
          <rPr>
            <sz val="14"/>
            <color indexed="81"/>
            <rFont val="Tahoma"/>
            <family val="2"/>
          </rPr>
          <t xml:space="preserve"> :  </t>
        </r>
        <r>
          <rPr>
            <sz val="14"/>
            <color indexed="81"/>
            <rFont val="돋움"/>
            <family val="3"/>
            <charset val="129"/>
          </rPr>
          <t>기존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셔틀비에</t>
        </r>
        <r>
          <rPr>
            <sz val="14"/>
            <color indexed="81"/>
            <rFont val="Tahoma"/>
            <family val="2"/>
          </rPr>
          <t xml:space="preserve"> + </t>
        </r>
        <r>
          <rPr>
            <sz val="14"/>
            <color indexed="81"/>
            <rFont val="돋움"/>
            <family val="3"/>
            <charset val="129"/>
          </rPr>
          <t>추가</t>
        </r>
        <r>
          <rPr>
            <sz val="14"/>
            <color indexed="81"/>
            <rFont val="Tahoma"/>
            <family val="2"/>
          </rPr>
          <t xml:space="preserve"> 5</t>
        </r>
        <r>
          <rPr>
            <sz val="14"/>
            <color indexed="81"/>
            <rFont val="돋움"/>
            <family val="3"/>
            <charset val="129"/>
          </rPr>
          <t xml:space="preserve">만원
</t>
        </r>
        <r>
          <rPr>
            <sz val="14"/>
            <color indexed="81"/>
            <rFont val="Tahoma"/>
            <family val="2"/>
          </rPr>
          <t xml:space="preserve">:   </t>
        </r>
        <r>
          <rPr>
            <sz val="14"/>
            <color indexed="81"/>
            <rFont val="돋움"/>
            <family val="3"/>
            <charset val="129"/>
          </rPr>
          <t>경과보관료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대납</t>
        </r>
        <r>
          <rPr>
            <sz val="14"/>
            <color indexed="81"/>
            <rFont val="Tahoma"/>
            <family val="2"/>
          </rPr>
          <t xml:space="preserve">  ( 205,500 </t>
        </r>
        <r>
          <rPr>
            <sz val="14"/>
            <color indexed="81"/>
            <rFont val="돋움"/>
            <family val="3"/>
            <charset val="129"/>
          </rPr>
          <t>원</t>
        </r>
        <r>
          <rPr>
            <sz val="14"/>
            <color indexed="81"/>
            <rFont val="Tahoma"/>
            <family val="2"/>
          </rPr>
          <t xml:space="preserve">  /  VAT </t>
        </r>
        <r>
          <rPr>
            <sz val="14"/>
            <color indexed="81"/>
            <rFont val="돋움"/>
            <family val="3"/>
            <charset val="129"/>
          </rPr>
          <t>별도</t>
        </r>
        <r>
          <rPr>
            <sz val="14"/>
            <color indexed="81"/>
            <rFont val="Tahoma"/>
            <family val="2"/>
          </rPr>
          <t xml:space="preserve"> )
</t>
        </r>
      </text>
    </comment>
    <comment ref="AB574" authorId="0" shapeId="0" xr:uid="{87C6FFD4-7A8D-473D-9BFC-82A4D816A2A6}">
      <text>
        <r>
          <rPr>
            <b/>
            <sz val="22"/>
            <color indexed="81"/>
            <rFont val="Tahoma"/>
            <family val="2"/>
          </rPr>
          <t xml:space="preserve">Windows </t>
        </r>
        <r>
          <rPr>
            <b/>
            <sz val="22"/>
            <color indexed="81"/>
            <rFont val="돋움"/>
            <family val="3"/>
            <charset val="129"/>
          </rPr>
          <t>사용자</t>
        </r>
        <r>
          <rPr>
            <b/>
            <sz val="22"/>
            <color indexed="81"/>
            <rFont val="Tahoma"/>
            <family val="2"/>
          </rPr>
          <t>:</t>
        </r>
        <r>
          <rPr>
            <sz val="22"/>
            <color indexed="81"/>
            <rFont val="Tahoma"/>
            <family val="2"/>
          </rPr>
          <t xml:space="preserve">
1040*1040*1250 18'PLT
1040*1040*800 2'PLT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 : 2,440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불가</t>
        </r>
        <r>
          <rPr>
            <sz val="22"/>
            <color indexed="81"/>
            <rFont val="Tahoma"/>
            <family val="2"/>
          </rPr>
          <t xml:space="preserve">, </t>
        </r>
        <r>
          <rPr>
            <sz val="22"/>
            <color indexed="81"/>
            <rFont val="돋움"/>
            <family val="3"/>
            <charset val="129"/>
          </rPr>
          <t>상단적재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1100*1100*770 5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1,570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1100*1100*650 2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753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1040*1040*300 1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103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불가</t>
        </r>
        <r>
          <rPr>
            <sz val="22"/>
            <color indexed="81"/>
            <rFont val="Tahoma"/>
            <family val="2"/>
          </rPr>
          <t xml:space="preserve">, </t>
        </r>
        <r>
          <rPr>
            <sz val="22"/>
            <color indexed="81"/>
            <rFont val="돋움"/>
            <family val="3"/>
            <charset val="129"/>
          </rPr>
          <t>상단적재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총중</t>
        </r>
        <r>
          <rPr>
            <sz val="22"/>
            <color indexed="81"/>
            <rFont val="Tahoma"/>
            <family val="2"/>
          </rPr>
          <t xml:space="preserve"> 4,866
</t>
        </r>
      </text>
    </comment>
    <comment ref="AB575" authorId="0" shapeId="0" xr:uid="{AA42BF71-A878-45D1-8283-598E8BD4A256}">
      <text>
        <r>
          <rPr>
            <b/>
            <sz val="22"/>
            <color indexed="81"/>
            <rFont val="Tahoma"/>
            <family val="2"/>
          </rPr>
          <t xml:space="preserve">Windows </t>
        </r>
        <r>
          <rPr>
            <b/>
            <sz val="22"/>
            <color indexed="81"/>
            <rFont val="돋움"/>
            <family val="3"/>
            <charset val="129"/>
          </rPr>
          <t>사용자</t>
        </r>
        <r>
          <rPr>
            <b/>
            <sz val="22"/>
            <color indexed="81"/>
            <rFont val="Tahoma"/>
            <family val="2"/>
          </rPr>
          <t>:</t>
        </r>
        <r>
          <rPr>
            <sz val="22"/>
            <color indexed="81"/>
            <rFont val="Tahoma"/>
            <family val="2"/>
          </rPr>
          <t xml:space="preserve">
1040*1040*1250 18'PLT
1040*1040*800 2'PLT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 : 2,440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불가</t>
        </r>
        <r>
          <rPr>
            <sz val="22"/>
            <color indexed="81"/>
            <rFont val="Tahoma"/>
            <family val="2"/>
          </rPr>
          <t xml:space="preserve">, </t>
        </r>
        <r>
          <rPr>
            <sz val="22"/>
            <color indexed="81"/>
            <rFont val="돋움"/>
            <family val="3"/>
            <charset val="129"/>
          </rPr>
          <t>상단적재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1100*1100*770 5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1,570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1100*1100*650 2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753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1040*1040*300 1
</t>
        </r>
        <r>
          <rPr>
            <sz val="22"/>
            <color indexed="81"/>
            <rFont val="돋움"/>
            <family val="3"/>
            <charset val="129"/>
          </rPr>
          <t>중량</t>
        </r>
        <r>
          <rPr>
            <sz val="22"/>
            <color indexed="81"/>
            <rFont val="Tahoma"/>
            <family val="2"/>
          </rPr>
          <t xml:space="preserve"> : 103 / 2</t>
        </r>
        <r>
          <rPr>
            <sz val="22"/>
            <color indexed="81"/>
            <rFont val="돋움"/>
            <family val="3"/>
            <charset val="129"/>
          </rPr>
          <t>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불가</t>
        </r>
        <r>
          <rPr>
            <sz val="22"/>
            <color indexed="81"/>
            <rFont val="Tahoma"/>
            <family val="2"/>
          </rPr>
          <t xml:space="preserve">, </t>
        </r>
        <r>
          <rPr>
            <sz val="22"/>
            <color indexed="81"/>
            <rFont val="돋움"/>
            <family val="3"/>
            <charset val="129"/>
          </rPr>
          <t>상단적재</t>
        </r>
        <r>
          <rPr>
            <sz val="22"/>
            <color indexed="81"/>
            <rFont val="Tahoma"/>
            <family val="2"/>
          </rPr>
          <t xml:space="preserve"> </t>
        </r>
        <r>
          <rPr>
            <sz val="22"/>
            <color indexed="81"/>
            <rFont val="돋움"/>
            <family val="3"/>
            <charset val="129"/>
          </rPr>
          <t>가능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총중</t>
        </r>
        <r>
          <rPr>
            <sz val="22"/>
            <color indexed="81"/>
            <rFont val="Tahoma"/>
            <family val="2"/>
          </rPr>
          <t xml:space="preserve"> 4,866
</t>
        </r>
      </text>
    </comment>
    <comment ref="AB581" authorId="0" shapeId="0" xr:uid="{C3CD630F-0F43-49C9-905D-8565DCAE4132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* ONEYDELF50398800 // 20DV / 2005KG // 3PLT / 1400*400*</t>
        </r>
        <r>
          <rPr>
            <sz val="12"/>
            <color indexed="81"/>
            <rFont val="돋움"/>
            <family val="3"/>
            <charset val="129"/>
          </rPr>
          <t>약</t>
        </r>
        <r>
          <rPr>
            <sz val="12"/>
            <color indexed="81"/>
            <rFont val="Tahoma"/>
            <family val="2"/>
          </rPr>
          <t>500, 1300*1250*</t>
        </r>
        <r>
          <rPr>
            <sz val="12"/>
            <color indexed="81"/>
            <rFont val="돋움"/>
            <family val="3"/>
            <charset val="129"/>
          </rPr>
          <t>약</t>
        </r>
        <r>
          <rPr>
            <sz val="12"/>
            <color indexed="81"/>
            <rFont val="Tahoma"/>
            <family val="2"/>
          </rPr>
          <t>500, 1250*1300*</t>
        </r>
        <r>
          <rPr>
            <sz val="12"/>
            <color indexed="81"/>
            <rFont val="돋움"/>
            <family val="3"/>
            <charset val="129"/>
          </rPr>
          <t>약</t>
        </r>
        <r>
          <rPr>
            <sz val="12"/>
            <color indexed="81"/>
            <rFont val="Tahoma"/>
            <family val="2"/>
          </rPr>
          <t>500
* ONEYDELF49784800 // 20DV / 2310KG // 2PLT / 1440*2200*</t>
        </r>
        <r>
          <rPr>
            <sz val="12"/>
            <color indexed="81"/>
            <rFont val="돋움"/>
            <family val="3"/>
            <charset val="129"/>
          </rPr>
          <t>약</t>
        </r>
        <r>
          <rPr>
            <sz val="12"/>
            <color indexed="81"/>
            <rFont val="Tahoma"/>
            <family val="2"/>
          </rPr>
          <t>500, 1440*2200*</t>
        </r>
        <r>
          <rPr>
            <sz val="12"/>
            <color indexed="81"/>
            <rFont val="돋움"/>
            <family val="3"/>
            <charset val="129"/>
          </rPr>
          <t>약</t>
        </r>
        <r>
          <rPr>
            <sz val="12"/>
            <color indexed="81"/>
            <rFont val="Tahoma"/>
            <family val="2"/>
          </rPr>
          <t xml:space="preserve">500
* </t>
        </r>
        <r>
          <rPr>
            <sz val="12"/>
            <color indexed="81"/>
            <rFont val="돋움"/>
            <family val="3"/>
            <charset val="129"/>
          </rPr>
          <t>상차</t>
        </r>
        <r>
          <rPr>
            <sz val="12"/>
            <color indexed="81"/>
            <rFont val="Tahoma"/>
            <family val="2"/>
          </rPr>
          <t xml:space="preserve"> : 12.26 </t>
        </r>
        <r>
          <rPr>
            <sz val="12"/>
            <color indexed="81"/>
            <rFont val="돋움"/>
            <family val="3"/>
            <charset val="129"/>
          </rPr>
          <t>오전</t>
        </r>
        <r>
          <rPr>
            <sz val="12"/>
            <color indexed="81"/>
            <rFont val="Tahoma"/>
            <family val="2"/>
          </rPr>
          <t xml:space="preserve"> // </t>
        </r>
        <r>
          <rPr>
            <sz val="12"/>
            <color indexed="81"/>
            <rFont val="돋움"/>
            <family val="3"/>
            <charset val="129"/>
          </rPr>
          <t>경일글로벌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경남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창원시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진해구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신항</t>
        </r>
        <r>
          <rPr>
            <sz val="12"/>
            <color indexed="81"/>
            <rFont val="Tahoma"/>
            <family val="2"/>
          </rPr>
          <t>8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27 (</t>
        </r>
        <r>
          <rPr>
            <sz val="12"/>
            <color indexed="81"/>
            <rFont val="돋움"/>
            <family val="3"/>
            <charset val="129"/>
          </rPr>
          <t>남문동</t>
        </r>
        <r>
          <rPr>
            <sz val="12"/>
            <color indexed="81"/>
            <rFont val="Tahoma"/>
            <family val="2"/>
          </rPr>
          <t xml:space="preserve">) // </t>
        </r>
        <r>
          <rPr>
            <sz val="12"/>
            <color indexed="81"/>
            <rFont val="돋움"/>
            <family val="3"/>
            <charset val="129"/>
          </rPr>
          <t>진영민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과장님</t>
        </r>
        <r>
          <rPr>
            <sz val="12"/>
            <color indexed="81"/>
            <rFont val="Tahoma"/>
            <family val="2"/>
          </rPr>
          <t xml:space="preserve"> / 055-603-0080
* </t>
        </r>
        <r>
          <rPr>
            <sz val="12"/>
            <color indexed="81"/>
            <rFont val="돋움"/>
            <family val="3"/>
            <charset val="129"/>
          </rPr>
          <t>하차</t>
        </r>
        <r>
          <rPr>
            <sz val="12"/>
            <color indexed="81"/>
            <rFont val="Tahoma"/>
            <family val="2"/>
          </rPr>
          <t xml:space="preserve"> : 12.26 </t>
        </r>
        <r>
          <rPr>
            <sz val="12"/>
            <color indexed="81"/>
            <rFont val="돋움"/>
            <family val="3"/>
            <charset val="129"/>
          </rPr>
          <t>당일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오후</t>
        </r>
        <r>
          <rPr>
            <sz val="12"/>
            <color indexed="81"/>
            <rFont val="Tahoma"/>
            <family val="2"/>
          </rPr>
          <t xml:space="preserve"> // </t>
        </r>
        <r>
          <rPr>
            <sz val="12"/>
            <color indexed="81"/>
            <rFont val="돋움"/>
            <family val="3"/>
            <charset val="129"/>
          </rPr>
          <t>울산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국제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프로토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산업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울산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북구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달천동</t>
        </r>
        <r>
          <rPr>
            <sz val="12"/>
            <color indexed="81"/>
            <rFont val="Tahoma"/>
            <family val="2"/>
          </rPr>
          <t xml:space="preserve"> 205-3 // </t>
        </r>
        <r>
          <rPr>
            <sz val="12"/>
            <color indexed="81"/>
            <rFont val="돋움"/>
            <family val="3"/>
            <charset val="129"/>
          </rPr>
          <t>김승주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차장님</t>
        </r>
        <r>
          <rPr>
            <sz val="12"/>
            <color indexed="81"/>
            <rFont val="Tahoma"/>
            <family val="2"/>
          </rPr>
          <t xml:space="preserve"> / 010-2024-1602
</t>
        </r>
      </text>
    </comment>
    <comment ref="AB596" authorId="0" shapeId="0" xr:uid="{1411DDE9-CFBB-4FB8-B194-0C204116DEB3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화주</t>
        </r>
        <r>
          <rPr>
            <sz val="12"/>
            <color indexed="81"/>
            <rFont val="Tahoma"/>
            <family val="2"/>
          </rPr>
          <t xml:space="preserve"> : DR. ALTHEA
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용마로지스창고</t>
        </r>
        <r>
          <rPr>
            <sz val="12"/>
            <color indexed="81"/>
            <rFont val="Tahoma"/>
            <family val="2"/>
          </rPr>
          <t xml:space="preserve"> -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이천시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마장면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청강가창로</t>
        </r>
        <r>
          <rPr>
            <sz val="12"/>
            <color indexed="81"/>
            <rFont val="Tahoma"/>
            <family val="2"/>
          </rPr>
          <t xml:space="preserve"> 309(</t>
        </r>
        <r>
          <rPr>
            <sz val="12"/>
            <color indexed="81"/>
            <rFont val="돋움"/>
            <family val="3"/>
            <charset val="129"/>
          </rPr>
          <t>해월리</t>
        </r>
        <r>
          <rPr>
            <sz val="12"/>
            <color indexed="81"/>
            <rFont val="Tahoma"/>
            <family val="2"/>
          </rPr>
          <t xml:space="preserve">), </t>
        </r>
        <r>
          <rPr>
            <sz val="12"/>
            <color indexed="81"/>
            <rFont val="돋움"/>
            <family val="3"/>
            <charset val="129"/>
          </rPr>
          <t>켄달스퀘어마장</t>
        </r>
        <r>
          <rPr>
            <sz val="12"/>
            <color indexed="81"/>
            <rFont val="Tahoma"/>
            <family val="2"/>
          </rPr>
          <t xml:space="preserve"> A</t>
        </r>
        <r>
          <rPr>
            <sz val="12"/>
            <color indexed="81"/>
            <rFont val="돋움"/>
            <family val="3"/>
            <charset val="129"/>
          </rPr>
          <t>동</t>
        </r>
        <r>
          <rPr>
            <sz val="12"/>
            <color indexed="81"/>
            <rFont val="Tahoma"/>
            <family val="2"/>
          </rPr>
          <t xml:space="preserve"> 4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</t>
        </r>
        <r>
          <rPr>
            <sz val="12"/>
            <color indexed="81"/>
            <rFont val="돋움"/>
            <family val="3"/>
            <charset val="129"/>
          </rPr>
          <t>손용현</t>
        </r>
        <r>
          <rPr>
            <sz val="12"/>
            <color indexed="81"/>
            <rFont val="Tahoma"/>
            <family val="2"/>
          </rPr>
          <t xml:space="preserve"> / 010-2993-0868 
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비아이디씨</t>
        </r>
        <r>
          <rPr>
            <sz val="12"/>
            <color indexed="81"/>
            <rFont val="Tahoma"/>
            <family val="2"/>
          </rPr>
          <t xml:space="preserve"> - </t>
        </r>
        <r>
          <rPr>
            <sz val="12"/>
            <color indexed="81"/>
            <rFont val="돋움"/>
            <family val="3"/>
            <charset val="129"/>
          </rPr>
          <t>부산광역시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강서구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신항로</t>
        </r>
        <r>
          <rPr>
            <sz val="12"/>
            <color indexed="81"/>
            <rFont val="Tahoma"/>
            <family val="2"/>
          </rPr>
          <t xml:space="preserve"> 96-72(</t>
        </r>
        <r>
          <rPr>
            <sz val="12"/>
            <color indexed="81"/>
            <rFont val="돋움"/>
            <family val="3"/>
            <charset val="129"/>
          </rPr>
          <t>성북동</t>
        </r>
        <r>
          <rPr>
            <sz val="12"/>
            <color indexed="81"/>
            <rFont val="Tahoma"/>
            <family val="2"/>
          </rPr>
          <t xml:space="preserve">) / </t>
        </r>
        <r>
          <rPr>
            <sz val="12"/>
            <color indexed="81"/>
            <rFont val="돋움"/>
            <family val="3"/>
            <charset val="129"/>
          </rPr>
          <t>석동훈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과장님</t>
        </r>
        <r>
          <rPr>
            <sz val="12"/>
            <color indexed="81"/>
            <rFont val="Tahoma"/>
            <family val="2"/>
          </rPr>
          <t xml:space="preserve"> / T. 051-974-7222
BKG NO. SELFM6605900
QTY : 40’HQ X 1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 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18plt, 1100 x 1100 X </t>
        </r>
        <r>
          <rPr>
            <sz val="12"/>
            <color indexed="81"/>
            <rFont val="돋움"/>
            <family val="3"/>
            <charset val="129"/>
          </rPr>
          <t>높이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미정</t>
        </r>
        <r>
          <rPr>
            <sz val="12"/>
            <color indexed="81"/>
            <rFont val="Tahoma"/>
            <family val="2"/>
          </rPr>
          <t>, 1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적재</t>
        </r>
        <r>
          <rPr>
            <sz val="12"/>
            <color indexed="81"/>
            <rFont val="Tahoma"/>
            <family val="2"/>
          </rPr>
          <t xml:space="preserve"> ONLY</t>
        </r>
      </text>
    </comment>
    <comment ref="AB597" authorId="0" shapeId="0" xr:uid="{9EA6C818-9EEE-43C1-A881-CD05E3283710}">
      <text>
        <r>
          <rPr>
            <b/>
            <sz val="12"/>
            <color indexed="81"/>
            <rFont val="Tahoma"/>
            <family val="2"/>
          </rPr>
          <t xml:space="preserve">Windows </t>
        </r>
        <r>
          <rPr>
            <b/>
            <sz val="12"/>
            <color indexed="81"/>
            <rFont val="돋움"/>
            <family val="3"/>
            <charset val="129"/>
          </rPr>
          <t>사용자</t>
        </r>
        <r>
          <rPr>
            <b/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화주</t>
        </r>
        <r>
          <rPr>
            <sz val="12"/>
            <color indexed="81"/>
            <rFont val="Tahoma"/>
            <family val="2"/>
          </rPr>
          <t xml:space="preserve"> : DR. ALTHEA
</t>
        </r>
        <r>
          <rPr>
            <sz val="12"/>
            <color indexed="81"/>
            <rFont val="돋움"/>
            <family val="3"/>
            <charset val="129"/>
          </rPr>
          <t>상차지</t>
        </r>
        <r>
          <rPr>
            <sz val="12"/>
            <color indexed="81"/>
            <rFont val="Tahoma"/>
            <family val="2"/>
          </rPr>
          <t xml:space="preserve"> :  </t>
        </r>
        <r>
          <rPr>
            <sz val="12"/>
            <color indexed="81"/>
            <rFont val="돋움"/>
            <family val="3"/>
            <charset val="129"/>
          </rPr>
          <t>용마로지스창고</t>
        </r>
        <r>
          <rPr>
            <sz val="12"/>
            <color indexed="81"/>
            <rFont val="Tahoma"/>
            <family val="2"/>
          </rPr>
          <t xml:space="preserve"> - </t>
        </r>
        <r>
          <rPr>
            <sz val="12"/>
            <color indexed="81"/>
            <rFont val="돋움"/>
            <family val="3"/>
            <charset val="129"/>
          </rPr>
          <t>경기도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이천시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마장면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청강가창로</t>
        </r>
        <r>
          <rPr>
            <sz val="12"/>
            <color indexed="81"/>
            <rFont val="Tahoma"/>
            <family val="2"/>
          </rPr>
          <t xml:space="preserve"> 309(</t>
        </r>
        <r>
          <rPr>
            <sz val="12"/>
            <color indexed="81"/>
            <rFont val="돋움"/>
            <family val="3"/>
            <charset val="129"/>
          </rPr>
          <t>해월리</t>
        </r>
        <r>
          <rPr>
            <sz val="12"/>
            <color indexed="81"/>
            <rFont val="Tahoma"/>
            <family val="2"/>
          </rPr>
          <t xml:space="preserve">), </t>
        </r>
        <r>
          <rPr>
            <sz val="12"/>
            <color indexed="81"/>
            <rFont val="돋움"/>
            <family val="3"/>
            <charset val="129"/>
          </rPr>
          <t>켄달스퀘어마장</t>
        </r>
        <r>
          <rPr>
            <sz val="12"/>
            <color indexed="81"/>
            <rFont val="Tahoma"/>
            <family val="2"/>
          </rPr>
          <t xml:space="preserve"> A</t>
        </r>
        <r>
          <rPr>
            <sz val="12"/>
            <color indexed="81"/>
            <rFont val="돋움"/>
            <family val="3"/>
            <charset val="129"/>
          </rPr>
          <t>동</t>
        </r>
        <r>
          <rPr>
            <sz val="12"/>
            <color indexed="81"/>
            <rFont val="Tahoma"/>
            <family val="2"/>
          </rPr>
          <t xml:space="preserve"> 4</t>
        </r>
        <r>
          <rPr>
            <sz val="12"/>
            <color indexed="81"/>
            <rFont val="돋움"/>
            <family val="3"/>
            <charset val="129"/>
          </rPr>
          <t>층</t>
        </r>
        <r>
          <rPr>
            <sz val="12"/>
            <color indexed="81"/>
            <rFont val="Tahoma"/>
            <family val="2"/>
          </rPr>
          <t xml:space="preserve">  / </t>
        </r>
        <r>
          <rPr>
            <sz val="12"/>
            <color indexed="81"/>
            <rFont val="돋움"/>
            <family val="3"/>
            <charset val="129"/>
          </rPr>
          <t>손용현</t>
        </r>
        <r>
          <rPr>
            <sz val="12"/>
            <color indexed="81"/>
            <rFont val="Tahoma"/>
            <family val="2"/>
          </rPr>
          <t xml:space="preserve"> / 010-2993-0868 
</t>
        </r>
        <r>
          <rPr>
            <sz val="12"/>
            <color indexed="81"/>
            <rFont val="돋움"/>
            <family val="3"/>
            <charset val="129"/>
          </rPr>
          <t>하차지</t>
        </r>
        <r>
          <rPr>
            <sz val="12"/>
            <color indexed="81"/>
            <rFont val="Tahoma"/>
            <family val="2"/>
          </rPr>
          <t xml:space="preserve"> : </t>
        </r>
        <r>
          <rPr>
            <sz val="12"/>
            <color indexed="81"/>
            <rFont val="돋움"/>
            <family val="3"/>
            <charset val="129"/>
          </rPr>
          <t>비아이디씨</t>
        </r>
        <r>
          <rPr>
            <sz val="12"/>
            <color indexed="81"/>
            <rFont val="Tahoma"/>
            <family val="2"/>
          </rPr>
          <t xml:space="preserve"> - </t>
        </r>
        <r>
          <rPr>
            <sz val="12"/>
            <color indexed="81"/>
            <rFont val="돋움"/>
            <family val="3"/>
            <charset val="129"/>
          </rPr>
          <t>부산광역시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강서구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신항로</t>
        </r>
        <r>
          <rPr>
            <sz val="12"/>
            <color indexed="81"/>
            <rFont val="Tahoma"/>
            <family val="2"/>
          </rPr>
          <t xml:space="preserve"> 96-72(</t>
        </r>
        <r>
          <rPr>
            <sz val="12"/>
            <color indexed="81"/>
            <rFont val="돋움"/>
            <family val="3"/>
            <charset val="129"/>
          </rPr>
          <t>성북동</t>
        </r>
        <r>
          <rPr>
            <sz val="12"/>
            <color indexed="81"/>
            <rFont val="Tahoma"/>
            <family val="2"/>
          </rPr>
          <t xml:space="preserve">) / </t>
        </r>
        <r>
          <rPr>
            <sz val="12"/>
            <color indexed="81"/>
            <rFont val="돋움"/>
            <family val="3"/>
            <charset val="129"/>
          </rPr>
          <t>석동훈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과장님</t>
        </r>
        <r>
          <rPr>
            <sz val="12"/>
            <color indexed="81"/>
            <rFont val="Tahoma"/>
            <family val="2"/>
          </rPr>
          <t xml:space="preserve"> / T. 051-974-7222
BKG NO. SELFM6605900
QTY : 40’HQ X 1</t>
        </r>
        <r>
          <rPr>
            <sz val="12"/>
            <color indexed="81"/>
            <rFont val="돋움"/>
            <family val="3"/>
            <charset val="129"/>
          </rPr>
          <t>대</t>
        </r>
        <r>
          <rPr>
            <sz val="12"/>
            <color indexed="81"/>
            <rFont val="Tahoma"/>
            <family val="2"/>
          </rPr>
          <t xml:space="preserve">  
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18plt, 1100 x 1100 X </t>
        </r>
        <r>
          <rPr>
            <sz val="12"/>
            <color indexed="81"/>
            <rFont val="돋움"/>
            <family val="3"/>
            <charset val="129"/>
          </rPr>
          <t>높이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미정</t>
        </r>
        <r>
          <rPr>
            <sz val="12"/>
            <color indexed="81"/>
            <rFont val="Tahoma"/>
            <family val="2"/>
          </rPr>
          <t>, 1</t>
        </r>
        <r>
          <rPr>
            <sz val="12"/>
            <color indexed="81"/>
            <rFont val="돋움"/>
            <family val="3"/>
            <charset val="129"/>
          </rPr>
          <t>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적재</t>
        </r>
        <r>
          <rPr>
            <sz val="12"/>
            <color indexed="81"/>
            <rFont val="Tahoma"/>
            <family val="2"/>
          </rPr>
          <t xml:space="preserve"> ONLY</t>
        </r>
      </text>
    </comment>
    <comment ref="AB621" authorId="0" shapeId="0" xr:uid="{895EF430-7C81-46D6-ACDD-698DDF372C2A}">
      <text>
        <r>
          <rPr>
            <b/>
            <sz val="12"/>
            <color indexed="81"/>
            <rFont val="돋움"/>
            <family val="3"/>
            <charset val="129"/>
          </rPr>
          <t>화주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>태흥해운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한국폴리아세탈</t>
        </r>
        <r>
          <rPr>
            <b/>
            <sz val="12"/>
            <color indexed="81"/>
            <rFont val="Tahoma"/>
            <family val="2"/>
          </rPr>
          <t xml:space="preserve">)
2025.12.29 </t>
        </r>
        <r>
          <rPr>
            <b/>
            <sz val="12"/>
            <color indexed="81"/>
            <rFont val="돋움"/>
            <family val="3"/>
            <charset val="129"/>
          </rPr>
          <t>오후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상차
상차지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 xml:space="preserve">디앤케이
</t>
        </r>
        <r>
          <rPr>
            <b/>
            <sz val="12"/>
            <color indexed="81"/>
            <rFont val="Tahoma"/>
            <family val="2"/>
          </rPr>
          <t>2025.12.30</t>
        </r>
        <r>
          <rPr>
            <b/>
            <sz val="12"/>
            <color indexed="81"/>
            <rFont val="돋움"/>
            <family val="3"/>
            <charset val="129"/>
          </rPr>
          <t>하차
하차지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>성보화학</t>
        </r>
        <r>
          <rPr>
            <b/>
            <sz val="12"/>
            <color indexed="81"/>
            <rFont val="Tahoma"/>
            <family val="2"/>
          </rPr>
          <t xml:space="preserve"> / </t>
        </r>
        <r>
          <rPr>
            <b/>
            <sz val="12"/>
            <color indexed="81"/>
            <rFont val="돋움"/>
            <family val="3"/>
            <charset val="129"/>
          </rPr>
          <t>경기도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광주시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도척면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다람로</t>
        </r>
        <r>
          <rPr>
            <b/>
            <sz val="12"/>
            <color indexed="81"/>
            <rFont val="Tahoma"/>
            <family val="2"/>
          </rPr>
          <t xml:space="preserve"> 36</t>
        </r>
        <r>
          <rPr>
            <b/>
            <sz val="12"/>
            <color indexed="81"/>
            <rFont val="돋움"/>
            <family val="3"/>
            <charset val="129"/>
          </rPr>
          <t>번길</t>
        </r>
        <r>
          <rPr>
            <b/>
            <sz val="12"/>
            <color indexed="81"/>
            <rFont val="Tahoma"/>
            <family val="2"/>
          </rPr>
          <t xml:space="preserve"> 93-8
MBL NO. : SNKO03N251200204
con : SKHU9522139
* M DO</t>
        </r>
        <r>
          <rPr>
            <b/>
            <sz val="12"/>
            <color indexed="81"/>
            <rFont val="돋움"/>
            <family val="3"/>
            <charset val="129"/>
          </rPr>
          <t>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인수증으로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확인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해주세요</t>
        </r>
        <r>
          <rPr>
            <b/>
            <sz val="12"/>
            <color indexed="81"/>
            <rFont val="Tahoma"/>
            <family val="2"/>
          </rPr>
          <t xml:space="preserve">.
* </t>
        </r>
        <r>
          <rPr>
            <b/>
            <sz val="12"/>
            <color indexed="81"/>
            <rFont val="돋움"/>
            <family val="3"/>
            <charset val="129"/>
          </rPr>
          <t>상차사진</t>
        </r>
        <r>
          <rPr>
            <b/>
            <sz val="12"/>
            <color indexed="81"/>
            <rFont val="Tahoma"/>
            <family val="2"/>
          </rPr>
          <t xml:space="preserve">, </t>
        </r>
        <r>
          <rPr>
            <b/>
            <sz val="12"/>
            <color indexed="81"/>
            <rFont val="돋움"/>
            <family val="3"/>
            <charset val="129"/>
          </rPr>
          <t>인수증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必
물량</t>
        </r>
        <r>
          <rPr>
            <b/>
            <sz val="12"/>
            <color indexed="81"/>
            <rFont val="Tahoma"/>
            <family val="2"/>
          </rPr>
          <t xml:space="preserve"> : 
40ft container x 1</t>
        </r>
        <r>
          <rPr>
            <b/>
            <sz val="12"/>
            <color indexed="81"/>
            <rFont val="돋움"/>
            <family val="3"/>
            <charset val="129"/>
          </rPr>
          <t>대</t>
        </r>
        <r>
          <rPr>
            <b/>
            <sz val="12"/>
            <color indexed="81"/>
            <rFont val="Tahoma"/>
            <family val="2"/>
          </rPr>
          <t xml:space="preserve"> 
25</t>
        </r>
        <r>
          <rPr>
            <b/>
            <sz val="12"/>
            <color indexed="81"/>
            <rFont val="돋움"/>
            <family val="3"/>
            <charset val="129"/>
          </rPr>
          <t>톤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적재</t>
        </r>
        <r>
          <rPr>
            <b/>
            <sz val="12"/>
            <color indexed="81"/>
            <rFont val="Tahoma"/>
            <family val="2"/>
          </rPr>
          <t xml:space="preserve"> = 820kg x 30BAG 
100 * 100 * </t>
        </r>
        <r>
          <rPr>
            <b/>
            <sz val="12"/>
            <color indexed="81"/>
            <rFont val="돋움"/>
            <family val="3"/>
            <charset val="129"/>
          </rPr>
          <t>높이</t>
        </r>
        <r>
          <rPr>
            <b/>
            <sz val="12"/>
            <color indexed="81"/>
            <rFont val="Tahoma"/>
            <family val="2"/>
          </rPr>
          <t xml:space="preserve"> 110~120cm</t>
        </r>
        <r>
          <rPr>
            <b/>
            <sz val="12"/>
            <color indexed="81"/>
            <rFont val="돋움"/>
            <family val="3"/>
            <charset val="129"/>
          </rPr>
          <t>정도</t>
        </r>
      </text>
    </comment>
    <comment ref="AB633" authorId="0" shapeId="0" xr:uid="{9B6541BE-7C9D-474F-BD26-A68442647088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공만차계근</t>
        </r>
        <r>
          <rPr>
            <sz val="11"/>
            <color indexed="81"/>
            <rFont val="Tahoma"/>
            <family val="2"/>
          </rPr>
          <t xml:space="preserve"> ( KGS)
* </t>
        </r>
        <r>
          <rPr>
            <sz val="11"/>
            <color indexed="81"/>
            <rFont val="돋움"/>
            <family val="3"/>
            <charset val="129"/>
          </rPr>
          <t>베스트부품</t>
        </r>
        <r>
          <rPr>
            <sz val="11"/>
            <color indexed="81"/>
            <rFont val="Tahoma"/>
            <family val="2"/>
          </rPr>
          <t xml:space="preserve"> &amp; </t>
        </r>
        <r>
          <rPr>
            <sz val="11"/>
            <color indexed="81"/>
            <rFont val="돋움"/>
            <family val="3"/>
            <charset val="129"/>
          </rPr>
          <t>글로벌라인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작업
</t>
        </r>
        <r>
          <rPr>
            <sz val="11"/>
            <color indexed="81"/>
            <rFont val="Tahoma"/>
            <family val="2"/>
          </rPr>
          <t xml:space="preserve">* HAS </t>
        </r>
        <r>
          <rPr>
            <sz val="11"/>
            <color indexed="81"/>
            <rFont val="돋움"/>
            <family val="3"/>
            <charset val="129"/>
          </rPr>
          <t xml:space="preserve">흥아라인
</t>
        </r>
        <r>
          <rPr>
            <sz val="11"/>
            <color indexed="81"/>
            <rFont val="Tahoma"/>
            <family val="2"/>
          </rPr>
          <t xml:space="preserve">* SURABAYA VOYAGER(SBVG-01) / 9014N / 26-1-2 </t>
        </r>
        <r>
          <rPr>
            <sz val="11"/>
            <color indexed="81"/>
            <rFont val="돋움"/>
            <family val="3"/>
            <charset val="129"/>
          </rPr>
          <t xml:space="preserve">접안예정
</t>
        </r>
        <r>
          <rPr>
            <sz val="11"/>
            <color indexed="81"/>
            <rFont val="Tahoma"/>
            <family val="2"/>
          </rPr>
          <t xml:space="preserve">* </t>
        </r>
        <r>
          <rPr>
            <sz val="11"/>
            <color indexed="81"/>
            <rFont val="돋움"/>
            <family val="3"/>
            <charset val="129"/>
          </rPr>
          <t>부곡픽업</t>
        </r>
        <r>
          <rPr>
            <sz val="11"/>
            <color indexed="81"/>
            <rFont val="Tahoma"/>
            <family val="2"/>
          </rPr>
          <t xml:space="preserve"> / KBCT </t>
        </r>
        <r>
          <rPr>
            <sz val="11"/>
            <color indexed="81"/>
            <rFont val="돋움"/>
            <family val="3"/>
            <charset val="129"/>
          </rPr>
          <t xml:space="preserve">반입
</t>
        </r>
      </text>
    </comment>
    <comment ref="AB648" authorId="0" shapeId="0" xr:uid="{CF41B39E-6C51-48FA-8267-795622C3D288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상차지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 xml:space="preserve">디앤케이
</t>
        </r>
        <r>
          <rPr>
            <sz val="11"/>
            <color indexed="81"/>
            <rFont val="Tahoma"/>
            <family val="2"/>
          </rPr>
          <t>2025.12.30</t>
        </r>
        <r>
          <rPr>
            <sz val="11"/>
            <color indexed="81"/>
            <rFont val="돋움"/>
            <family val="3"/>
            <charset val="129"/>
          </rPr>
          <t>하차
하차지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성보화학</t>
        </r>
        <r>
          <rPr>
            <sz val="11"/>
            <color indexed="81"/>
            <rFont val="Tahoma"/>
            <family val="2"/>
          </rPr>
          <t xml:space="preserve"> / </t>
        </r>
        <r>
          <rPr>
            <sz val="11"/>
            <color indexed="81"/>
            <rFont val="돋움"/>
            <family val="3"/>
            <charset val="129"/>
          </rPr>
          <t>경기도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광주시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도척면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다람로</t>
        </r>
        <r>
          <rPr>
            <sz val="11"/>
            <color indexed="81"/>
            <rFont val="Tahoma"/>
            <family val="2"/>
          </rPr>
          <t xml:space="preserve"> 36</t>
        </r>
        <r>
          <rPr>
            <sz val="11"/>
            <color indexed="81"/>
            <rFont val="돋움"/>
            <family val="3"/>
            <charset val="129"/>
          </rPr>
          <t>번길</t>
        </r>
        <r>
          <rPr>
            <sz val="11"/>
            <color indexed="81"/>
            <rFont val="Tahoma"/>
            <family val="2"/>
          </rPr>
          <t xml:space="preserve"> 93-8
MBL NO. : SNKO03N251200204
con : SKHU9522139
* M DO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인수증으로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해주세요</t>
        </r>
        <r>
          <rPr>
            <sz val="11"/>
            <color indexed="81"/>
            <rFont val="Tahoma"/>
            <family val="2"/>
          </rPr>
          <t xml:space="preserve">.
* </t>
        </r>
        <r>
          <rPr>
            <sz val="11"/>
            <color indexed="81"/>
            <rFont val="돋움"/>
            <family val="3"/>
            <charset val="129"/>
          </rPr>
          <t>상차사진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인수증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必
물량</t>
        </r>
        <r>
          <rPr>
            <sz val="11"/>
            <color indexed="81"/>
            <rFont val="Tahoma"/>
            <family val="2"/>
          </rPr>
          <t xml:space="preserve"> : 
40ft container x 1</t>
        </r>
        <r>
          <rPr>
            <sz val="11"/>
            <color indexed="81"/>
            <rFont val="돋움"/>
            <family val="3"/>
            <charset val="129"/>
          </rPr>
          <t>대</t>
        </r>
        <r>
          <rPr>
            <sz val="11"/>
            <color indexed="81"/>
            <rFont val="Tahoma"/>
            <family val="2"/>
          </rPr>
          <t xml:space="preserve"> 
25</t>
        </r>
        <r>
          <rPr>
            <sz val="11"/>
            <color indexed="81"/>
            <rFont val="돋움"/>
            <family val="3"/>
            <charset val="129"/>
          </rPr>
          <t>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적재</t>
        </r>
        <r>
          <rPr>
            <sz val="11"/>
            <color indexed="81"/>
            <rFont val="Tahoma"/>
            <family val="2"/>
          </rPr>
          <t xml:space="preserve"> = 820kg x 30BAG 
100 * 100 * </t>
        </r>
        <r>
          <rPr>
            <sz val="11"/>
            <color indexed="81"/>
            <rFont val="돋움"/>
            <family val="3"/>
            <charset val="129"/>
          </rPr>
          <t>높이</t>
        </r>
        <r>
          <rPr>
            <sz val="11"/>
            <color indexed="81"/>
            <rFont val="Tahoma"/>
            <family val="2"/>
          </rPr>
          <t xml:space="preserve"> 110~120cm</t>
        </r>
        <r>
          <rPr>
            <sz val="11"/>
            <color indexed="81"/>
            <rFont val="돋움"/>
            <family val="3"/>
            <charset val="129"/>
          </rPr>
          <t>정도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<sst xmlns="http://schemas.openxmlformats.org/spreadsheetml/2006/main" count="12685" uniqueCount="2584">
  <si>
    <t>수입-접안/수출-출항</t>
    <phoneticPr fontId="2" type="noConversion"/>
  </si>
  <si>
    <t>보통 12월위탁</t>
    <phoneticPr fontId="2" type="noConversion"/>
  </si>
  <si>
    <t>수출/입</t>
    <phoneticPr fontId="2" type="noConversion"/>
  </si>
  <si>
    <t>접수점소</t>
    <phoneticPr fontId="2" type="noConversion"/>
  </si>
  <si>
    <t>작업일시</t>
    <phoneticPr fontId="2" type="noConversion"/>
  </si>
  <si>
    <t>청구처</t>
    <phoneticPr fontId="2" type="noConversion"/>
  </si>
  <si>
    <t>화주명</t>
    <phoneticPr fontId="2" type="noConversion"/>
  </si>
  <si>
    <t>화주 코드</t>
    <phoneticPr fontId="2" type="noConversion"/>
  </si>
  <si>
    <t>작업지역</t>
    <phoneticPr fontId="2" type="noConversion"/>
  </si>
  <si>
    <t>컨테이너           SIZE</t>
    <phoneticPr fontId="2" type="noConversion"/>
  </si>
  <si>
    <t>상차지</t>
    <phoneticPr fontId="2" type="noConversion"/>
  </si>
  <si>
    <t>상자치코드</t>
    <phoneticPr fontId="2" type="noConversion"/>
  </si>
  <si>
    <t>하차지</t>
    <phoneticPr fontId="2" type="noConversion"/>
  </si>
  <si>
    <t>하차지코드</t>
    <phoneticPr fontId="2" type="noConversion"/>
  </si>
  <si>
    <t>선사명</t>
    <phoneticPr fontId="2" type="noConversion"/>
  </si>
  <si>
    <t>선사코드</t>
    <phoneticPr fontId="2" type="noConversion"/>
  </si>
  <si>
    <t>선명</t>
    <phoneticPr fontId="2" type="noConversion"/>
  </si>
  <si>
    <t>입/출항일</t>
    <phoneticPr fontId="2" type="noConversion"/>
  </si>
  <si>
    <t>CNTR' NO</t>
    <phoneticPr fontId="2" type="noConversion"/>
  </si>
  <si>
    <t>SEAL NO.</t>
    <phoneticPr fontId="2" type="noConversion"/>
  </si>
  <si>
    <t>차량번호</t>
    <phoneticPr fontId="2" type="noConversion"/>
  </si>
  <si>
    <t>기사연락처</t>
    <phoneticPr fontId="2" type="noConversion"/>
  </si>
  <si>
    <t>매입처</t>
    <phoneticPr fontId="2" type="noConversion"/>
  </si>
  <si>
    <t>매출</t>
    <phoneticPr fontId="2" type="noConversion"/>
  </si>
  <si>
    <t>매입</t>
    <phoneticPr fontId="2" type="noConversion"/>
  </si>
  <si>
    <t>차익</t>
    <phoneticPr fontId="2" type="noConversion"/>
  </si>
  <si>
    <t>B/L 및 부킹넘버</t>
    <phoneticPr fontId="2" type="noConversion"/>
  </si>
  <si>
    <t>배차담당자</t>
    <phoneticPr fontId="2" type="noConversion"/>
  </si>
  <si>
    <t>영업사원</t>
    <phoneticPr fontId="2" type="noConversion"/>
  </si>
  <si>
    <t>특이사항</t>
    <phoneticPr fontId="2" type="noConversion"/>
  </si>
  <si>
    <t>배차완료구분</t>
    <phoneticPr fontId="2" type="noConversion"/>
  </si>
  <si>
    <t>작업시간</t>
    <phoneticPr fontId="2" type="noConversion"/>
  </si>
  <si>
    <t>입고</t>
    <phoneticPr fontId="2" type="noConversion"/>
  </si>
  <si>
    <t>회수및반입</t>
    <phoneticPr fontId="2" type="noConversion"/>
  </si>
  <si>
    <t>이월유무</t>
    <phoneticPr fontId="2" type="noConversion"/>
  </si>
  <si>
    <t>전산등록</t>
    <phoneticPr fontId="2" type="noConversion"/>
  </si>
  <si>
    <t>수출</t>
    <phoneticPr fontId="2" type="noConversion"/>
  </si>
  <si>
    <t>부산</t>
    <phoneticPr fontId="2" type="noConversion"/>
  </si>
  <si>
    <t>대흥알앤티</t>
    <phoneticPr fontId="2" type="noConversion"/>
  </si>
  <si>
    <t>TOPK</t>
    <phoneticPr fontId="2" type="noConversion"/>
  </si>
  <si>
    <t>경남 김해시 진례면</t>
    <phoneticPr fontId="2" type="noConversion"/>
  </si>
  <si>
    <t>40HC</t>
    <phoneticPr fontId="2" type="noConversion"/>
  </si>
  <si>
    <t>KBCT</t>
    <phoneticPr fontId="2" type="noConversion"/>
  </si>
  <si>
    <t>P</t>
  </si>
  <si>
    <t>HSL</t>
    <phoneticPr fontId="2" type="noConversion"/>
  </si>
  <si>
    <t>HSLI</t>
  </si>
  <si>
    <t>STAR PIONEER</t>
  </si>
  <si>
    <t>HSLU8401964</t>
    <phoneticPr fontId="2" type="noConversion"/>
  </si>
  <si>
    <t>HSL019149</t>
    <phoneticPr fontId="2" type="noConversion"/>
  </si>
  <si>
    <t>부산99사6817 / 안승배 기사님 / 010-8513-7252</t>
  </si>
  <si>
    <t>DCNTJ-C1-2511-2 +TDCNTJ-L1-2511-6</t>
  </si>
  <si>
    <t>강다영</t>
    <phoneticPr fontId="2" type="noConversion"/>
  </si>
  <si>
    <t>김수형</t>
    <phoneticPr fontId="2" type="noConversion"/>
  </si>
  <si>
    <t>Y</t>
  </si>
  <si>
    <t>에스더블</t>
    <phoneticPr fontId="2" type="noConversion"/>
  </si>
  <si>
    <t>-</t>
    <phoneticPr fontId="2" type="noConversion"/>
  </si>
  <si>
    <t>이월</t>
    <phoneticPr fontId="2" type="noConversion"/>
  </si>
  <si>
    <t>ㅇ</t>
    <phoneticPr fontId="2" type="noConversion"/>
  </si>
  <si>
    <t>대흥알앤티</t>
  </si>
  <si>
    <t>20BK</t>
    <phoneticPr fontId="2" type="noConversion"/>
  </si>
  <si>
    <t>김해</t>
    <phoneticPr fontId="2" type="noConversion"/>
  </si>
  <si>
    <t>KQ</t>
  </si>
  <si>
    <t>창원</t>
    <phoneticPr fontId="2" type="noConversion"/>
  </si>
  <si>
    <t>Y1</t>
  </si>
  <si>
    <t>XXXX</t>
    <phoneticPr fontId="2" type="noConversion"/>
  </si>
  <si>
    <t>합짐</t>
    <phoneticPr fontId="2" type="noConversion"/>
  </si>
  <si>
    <t>1PLT_102KG</t>
    <phoneticPr fontId="2" type="noConversion"/>
  </si>
  <si>
    <t>경남90자3260 / 이인균 기사님 / 010-4467-5655</t>
  </si>
  <si>
    <t>YDCNYC-L1-2511-3</t>
    <phoneticPr fontId="2" type="noConversion"/>
  </si>
  <si>
    <t>BKG : BLYG2511393-01 // 1톤차량</t>
    <phoneticPr fontId="2" type="noConversion"/>
  </si>
  <si>
    <t>유진로직스</t>
    <phoneticPr fontId="2" type="noConversion"/>
  </si>
  <si>
    <t>수입</t>
    <phoneticPr fontId="2" type="noConversion"/>
  </si>
  <si>
    <t>재성종합물류</t>
    <phoneticPr fontId="2" type="noConversion"/>
  </si>
  <si>
    <t>주영상사</t>
    <phoneticPr fontId="2" type="noConversion"/>
  </si>
  <si>
    <t>경기 포천시 가산면</t>
    <phoneticPr fontId="2" type="noConversion"/>
  </si>
  <si>
    <t>20GP</t>
    <phoneticPr fontId="2" type="noConversion"/>
  </si>
  <si>
    <t>인천한진</t>
    <phoneticPr fontId="2" type="noConversion"/>
  </si>
  <si>
    <t>KMD</t>
    <phoneticPr fontId="2" type="noConversion"/>
  </si>
  <si>
    <t>SEGU2473608</t>
  </si>
  <si>
    <t>서울83바1189 / 김진규 기사님 / 010-5280-8148</t>
    <phoneticPr fontId="2" type="noConversion"/>
  </si>
  <si>
    <t>KMTCSHAO840789</t>
    <phoneticPr fontId="2" type="noConversion"/>
  </si>
  <si>
    <t>박태석</t>
    <phoneticPr fontId="2" type="noConversion"/>
  </si>
  <si>
    <t>태성</t>
    <phoneticPr fontId="2" type="noConversion"/>
  </si>
  <si>
    <t>혜원글로벌</t>
    <phoneticPr fontId="2" type="noConversion"/>
  </si>
  <si>
    <t>착한</t>
    <phoneticPr fontId="2" type="noConversion"/>
  </si>
  <si>
    <t>충남 천안시 동남구 성남면</t>
    <phoneticPr fontId="2" type="noConversion"/>
  </si>
  <si>
    <t>현대신항</t>
    <phoneticPr fontId="2" type="noConversion"/>
  </si>
  <si>
    <t>HMM</t>
    <phoneticPr fontId="2" type="noConversion"/>
  </si>
  <si>
    <t>SEASPAN BREEZE / 0062W</t>
  </si>
  <si>
    <t>BSIU3220140</t>
    <phoneticPr fontId="2" type="noConversion"/>
  </si>
  <si>
    <t>23 0034412</t>
    <phoneticPr fontId="2" type="noConversion"/>
  </si>
  <si>
    <t>충북98바1550 / 최세진 기사님 / 010-4112-7233</t>
    <phoneticPr fontId="2" type="noConversion"/>
  </si>
  <si>
    <t>SELA54013000</t>
    <phoneticPr fontId="2" type="noConversion"/>
  </si>
  <si>
    <t>윤재훈</t>
    <phoneticPr fontId="2" type="noConversion"/>
  </si>
  <si>
    <t>* 컴바인건</t>
    <phoneticPr fontId="2" type="noConversion"/>
  </si>
  <si>
    <t>백승</t>
    <phoneticPr fontId="2" type="noConversion"/>
  </si>
  <si>
    <t>선반입권SELA54013000</t>
    <phoneticPr fontId="2" type="noConversion"/>
  </si>
  <si>
    <t>하불은 11월</t>
    <phoneticPr fontId="2" type="noConversion"/>
  </si>
  <si>
    <t>금길</t>
    <phoneticPr fontId="2" type="noConversion"/>
  </si>
  <si>
    <t>인천</t>
    <phoneticPr fontId="2" type="noConversion"/>
  </si>
  <si>
    <t>더블유에스엘조인해운</t>
    <phoneticPr fontId="2" type="noConversion"/>
  </si>
  <si>
    <t>디에스아이코리아(DSI)</t>
    <phoneticPr fontId="2" type="noConversion"/>
  </si>
  <si>
    <t>경기 화성시 장안면</t>
    <phoneticPr fontId="2" type="noConversion"/>
  </si>
  <si>
    <t>SIF</t>
    <phoneticPr fontId="2" type="noConversion"/>
  </si>
  <si>
    <t>CCLU7495731</t>
    <phoneticPr fontId="2" type="noConversion"/>
  </si>
  <si>
    <t>경기92바6377 / 한재수 기사님 / 010-4045-9973</t>
    <phoneticPr fontId="2" type="noConversion"/>
  </si>
  <si>
    <t>SSHAINC8YB130</t>
  </si>
  <si>
    <t>TGBU2495901</t>
    <phoneticPr fontId="2" type="noConversion"/>
  </si>
  <si>
    <t>23 0034419</t>
  </si>
  <si>
    <t>에이앤비글로벌로지스</t>
    <phoneticPr fontId="2" type="noConversion"/>
  </si>
  <si>
    <t>비즈온글로벌</t>
    <phoneticPr fontId="2" type="noConversion"/>
  </si>
  <si>
    <t>경북 칠곡군 지천면</t>
    <phoneticPr fontId="2" type="noConversion"/>
  </si>
  <si>
    <t>KMTU9318135</t>
    <phoneticPr fontId="2" type="noConversion"/>
  </si>
  <si>
    <t>울산99바1767 / 박종수 기사님 / 010-3867-9941</t>
    <phoneticPr fontId="2" type="noConversion"/>
  </si>
  <si>
    <t>KMTCSHKA211616</t>
    <phoneticPr fontId="2" type="noConversion"/>
  </si>
  <si>
    <t>이탁건</t>
    <phoneticPr fontId="2" type="noConversion"/>
  </si>
  <si>
    <t>동방 익</t>
    <phoneticPr fontId="2" type="noConversion"/>
  </si>
  <si>
    <t>유정로지스틱스</t>
  </si>
  <si>
    <t>뉴턴플래너</t>
    <phoneticPr fontId="2" type="noConversion"/>
  </si>
  <si>
    <t>인천광역시 동구 만석동</t>
    <phoneticPr fontId="2" type="noConversion"/>
  </si>
  <si>
    <t>HSLU2409607</t>
    <phoneticPr fontId="2" type="noConversion"/>
  </si>
  <si>
    <t>부산99사4925 / 이창민 기사님 / 010-2548-4306</t>
  </si>
  <si>
    <t>HSLI026251100064</t>
    <phoneticPr fontId="2" type="noConversion"/>
  </si>
  <si>
    <t>율세</t>
    <phoneticPr fontId="2" type="noConversion"/>
  </si>
  <si>
    <t>선사 반납비 HSLI026251100064</t>
    <phoneticPr fontId="2" type="noConversion"/>
  </si>
  <si>
    <t>인천 반납비 HSLI026251100064</t>
    <phoneticPr fontId="2" type="noConversion"/>
  </si>
  <si>
    <t>제이디쉬핑라인</t>
    <phoneticPr fontId="2" type="noConversion"/>
  </si>
  <si>
    <t>고성씨앤에이치</t>
  </si>
  <si>
    <t xml:space="preserve">경기도 화성시 우정읍 </t>
    <phoneticPr fontId="2" type="noConversion"/>
  </si>
  <si>
    <t>E1</t>
    <phoneticPr fontId="2" type="noConversion"/>
  </si>
  <si>
    <t>PCL</t>
    <phoneticPr fontId="2" type="noConversion"/>
  </si>
  <si>
    <t>FTAU1200805</t>
    <phoneticPr fontId="2" type="noConversion"/>
  </si>
  <si>
    <t>PCLU2541BR8304</t>
    <phoneticPr fontId="2" type="noConversion"/>
  </si>
  <si>
    <t>청구-신항청구로 잘못나감</t>
    <phoneticPr fontId="2" type="noConversion"/>
  </si>
  <si>
    <t>교범해운항공</t>
  </si>
  <si>
    <t>삼화</t>
    <phoneticPr fontId="2" type="noConversion"/>
  </si>
  <si>
    <t>경기도 용인시 처인구 남사면</t>
    <phoneticPr fontId="2" type="noConversion"/>
  </si>
  <si>
    <t>부곡</t>
    <phoneticPr fontId="2" type="noConversion"/>
  </si>
  <si>
    <t>SUNNY DAISY / 2537S</t>
  </si>
  <si>
    <t>12월3일</t>
  </si>
  <si>
    <t>TXGU5029134</t>
    <phoneticPr fontId="2" type="noConversion"/>
  </si>
  <si>
    <t>KSC584923</t>
    <phoneticPr fontId="2" type="noConversion"/>
  </si>
  <si>
    <t>경북 98아6022 / 박준호 기사님 / 010-9002-3295</t>
    <phoneticPr fontId="2" type="noConversion"/>
  </si>
  <si>
    <t>KR04254434</t>
    <phoneticPr fontId="2" type="noConversion"/>
  </si>
  <si>
    <t>표정욱</t>
    <phoneticPr fontId="2" type="noConversion"/>
  </si>
  <si>
    <t>KCTC</t>
    <phoneticPr fontId="2" type="noConversion"/>
  </si>
  <si>
    <t>SEGU1661370</t>
    <phoneticPr fontId="2" type="noConversion"/>
  </si>
  <si>
    <t>KSC585114</t>
    <phoneticPr fontId="2" type="noConversion"/>
  </si>
  <si>
    <t>경기98자1004 / 박규정 기사님 / 010-9054-6306</t>
  </si>
  <si>
    <t>가구느낌</t>
    <phoneticPr fontId="2" type="noConversion"/>
  </si>
  <si>
    <t>경기도 포천시 가산면</t>
  </si>
  <si>
    <t>NSL</t>
    <phoneticPr fontId="2" type="noConversion"/>
  </si>
  <si>
    <t>NSSU7145849</t>
  </si>
  <si>
    <t>인천99아2704 / 이충희 기사님 / 010-4028-3129</t>
  </si>
  <si>
    <t>NSSLATXG25K00272</t>
    <phoneticPr fontId="2" type="noConversion"/>
  </si>
  <si>
    <t>선인터내셔날</t>
    <phoneticPr fontId="2" type="noConversion"/>
  </si>
  <si>
    <t>하이디라오코리아</t>
  </si>
  <si>
    <t>대구광역시 중구 동성로3가</t>
    <phoneticPr fontId="2" type="noConversion"/>
  </si>
  <si>
    <t>대구</t>
    <phoneticPr fontId="2" type="noConversion"/>
  </si>
  <si>
    <t>MAE</t>
    <phoneticPr fontId="2" type="noConversion"/>
  </si>
  <si>
    <t>5톤축</t>
    <phoneticPr fontId="2" type="noConversion"/>
  </si>
  <si>
    <t>부산91바3100 / 장기현 기사님 /  010-2721-9117</t>
    <phoneticPr fontId="2" type="noConversion"/>
  </si>
  <si>
    <t>1번MAEU264755457</t>
    <phoneticPr fontId="2" type="noConversion"/>
  </si>
  <si>
    <t xml:space="preserve"> 부산91바2078 / 양충섭 기사님 /  010-5784-2627 </t>
    <phoneticPr fontId="2" type="noConversion"/>
  </si>
  <si>
    <t>2번MAEU264755457</t>
    <phoneticPr fontId="2" type="noConversion"/>
  </si>
  <si>
    <t>경남82아7434 / 박준호 기사님 /  010-4530-6708</t>
    <phoneticPr fontId="2" type="noConversion"/>
  </si>
  <si>
    <t>3번MAEU264755457</t>
    <phoneticPr fontId="2" type="noConversion"/>
  </si>
  <si>
    <t>1번작업비MAEU264755457</t>
    <phoneticPr fontId="2" type="noConversion"/>
  </si>
  <si>
    <t>2번작업비MAEU264755457</t>
    <phoneticPr fontId="2" type="noConversion"/>
  </si>
  <si>
    <t>3번작업비MAEU264755457</t>
    <phoneticPr fontId="2" type="noConversion"/>
  </si>
  <si>
    <t>정다운</t>
    <phoneticPr fontId="2" type="noConversion"/>
  </si>
  <si>
    <t>나주</t>
    <phoneticPr fontId="2" type="noConversion"/>
  </si>
  <si>
    <t>광양</t>
    <phoneticPr fontId="2" type="noConversion"/>
  </si>
  <si>
    <t>CHENNAI VOYAGER / 2510S</t>
  </si>
  <si>
    <t>BMOU6235010</t>
    <phoneticPr fontId="2" type="noConversion"/>
  </si>
  <si>
    <t>KSC577892</t>
    <phoneticPr fontId="2" type="noConversion"/>
  </si>
  <si>
    <t>광주99사9067 / 윤상균 기사님 / 010-9604-9357</t>
    <phoneticPr fontId="2" type="noConversion"/>
  </si>
  <si>
    <t>KR04258416</t>
    <phoneticPr fontId="2" type="noConversion"/>
  </si>
  <si>
    <t>새벽작업</t>
    <phoneticPr fontId="2" type="noConversion"/>
  </si>
  <si>
    <t>오식도</t>
    <phoneticPr fontId="2" type="noConversion"/>
  </si>
  <si>
    <t>TSL</t>
    <phoneticPr fontId="2" type="noConversion"/>
  </si>
  <si>
    <t>TSSU2452621</t>
    <phoneticPr fontId="2" type="noConversion"/>
  </si>
  <si>
    <t>부산90아5561 / 김태환 기사님 / 010-2884-7674</t>
  </si>
  <si>
    <t>730510304755</t>
    <phoneticPr fontId="2" type="noConversion"/>
  </si>
  <si>
    <t>에스지로</t>
    <phoneticPr fontId="2" type="noConversion"/>
  </si>
  <si>
    <t>NSSU7145849</t>
    <phoneticPr fontId="2" type="noConversion"/>
  </si>
  <si>
    <t>인천99아5954 / 강상열 기사님 / 010-5096-4994</t>
    <phoneticPr fontId="2" type="noConversion"/>
  </si>
  <si>
    <t>NSSLATXG25K00382</t>
    <phoneticPr fontId="2" type="noConversion"/>
  </si>
  <si>
    <t>마리타임허브</t>
    <phoneticPr fontId="2" type="noConversion"/>
  </si>
  <si>
    <t>쿠쿠전자</t>
    <phoneticPr fontId="2" type="noConversion"/>
  </si>
  <si>
    <t>경상남도 양산시 유산동</t>
    <phoneticPr fontId="2" type="noConversion"/>
  </si>
  <si>
    <t>HAS</t>
    <phoneticPr fontId="2" type="noConversion"/>
  </si>
  <si>
    <t>SKHU8312328</t>
    <phoneticPr fontId="2" type="noConversion"/>
  </si>
  <si>
    <t>HAL204133</t>
    <phoneticPr fontId="2" type="noConversion"/>
  </si>
  <si>
    <t>98어4989 / 심규진 기사님 / 98어4989</t>
    <phoneticPr fontId="2" type="noConversion"/>
  </si>
  <si>
    <t>HASLK02251101228</t>
    <phoneticPr fontId="2" type="noConversion"/>
  </si>
  <si>
    <t>세컨작업</t>
    <phoneticPr fontId="2" type="noConversion"/>
  </si>
  <si>
    <t>부강</t>
    <phoneticPr fontId="2" type="noConversion"/>
  </si>
  <si>
    <t>세컨 HASLK02251101228</t>
    <phoneticPr fontId="2" type="noConversion"/>
  </si>
  <si>
    <t>바스엔</t>
    <phoneticPr fontId="2" type="noConversion"/>
  </si>
  <si>
    <t>인천광역시 서구 오류동</t>
    <phoneticPr fontId="2" type="noConversion"/>
  </si>
  <si>
    <t>ICT</t>
    <phoneticPr fontId="2" type="noConversion"/>
  </si>
  <si>
    <t>HLHU8486174</t>
  </si>
  <si>
    <t>인천99아8737 / 김경주 기사님 / 010-7455-3430</t>
  </si>
  <si>
    <t>HASLC05251003220</t>
    <phoneticPr fontId="2" type="noConversion"/>
  </si>
  <si>
    <t>김군환이사님</t>
    <phoneticPr fontId="2" type="noConversion"/>
  </si>
  <si>
    <t>로지아이</t>
    <phoneticPr fontId="2" type="noConversion"/>
  </si>
  <si>
    <t>지엠씨로지스틱스</t>
    <phoneticPr fontId="2" type="noConversion"/>
  </si>
  <si>
    <t>아바텍</t>
    <phoneticPr fontId="2" type="noConversion"/>
  </si>
  <si>
    <t>대구광역시 달서구 호림동</t>
    <phoneticPr fontId="2" type="noConversion"/>
  </si>
  <si>
    <t>20GP</t>
  </si>
  <si>
    <t>SITC</t>
    <phoneticPr fontId="2" type="noConversion"/>
  </si>
  <si>
    <t>CAAU2809945</t>
    <phoneticPr fontId="2" type="noConversion"/>
  </si>
  <si>
    <t>서울85바5342 / 김광윤 기사님 / 010-5820-5423</t>
    <phoneticPr fontId="2" type="noConversion"/>
  </si>
  <si>
    <t>MJSHA25110349</t>
    <phoneticPr fontId="2" type="noConversion"/>
  </si>
  <si>
    <t>에스더블유로지스틱스</t>
  </si>
  <si>
    <t>지엘에스코퍼레이션</t>
    <phoneticPr fontId="2" type="noConversion"/>
  </si>
  <si>
    <t>다인물산</t>
    <phoneticPr fontId="2" type="noConversion"/>
  </si>
  <si>
    <t>경기도 김포시 양촌읍</t>
    <phoneticPr fontId="2" type="noConversion"/>
  </si>
  <si>
    <t>SNCT</t>
    <phoneticPr fontId="2" type="noConversion"/>
  </si>
  <si>
    <t>신국제여객</t>
    <phoneticPr fontId="2" type="noConversion"/>
  </si>
  <si>
    <t>DWS</t>
    <phoneticPr fontId="2" type="noConversion"/>
  </si>
  <si>
    <t>ORIENTAL PEARL VIII / 3481W</t>
    <phoneticPr fontId="2" type="noConversion"/>
  </si>
  <si>
    <t>SEKU6805813</t>
    <phoneticPr fontId="2" type="noConversion"/>
  </si>
  <si>
    <t>DWS2409766</t>
    <phoneticPr fontId="2" type="noConversion"/>
  </si>
  <si>
    <t>경남99사5248 / 우창섭 기사님 / 010-4122-4545</t>
    <phoneticPr fontId="2" type="noConversion"/>
  </si>
  <si>
    <t>DDSIG251201002</t>
    <phoneticPr fontId="2" type="noConversion"/>
  </si>
  <si>
    <t>계근비 DDSIG251201002</t>
    <phoneticPr fontId="2" type="noConversion"/>
  </si>
  <si>
    <t>ㅇ</t>
  </si>
  <si>
    <t>베스트부품</t>
    <phoneticPr fontId="2" type="noConversion"/>
  </si>
  <si>
    <t>경기도 김포시 월곶면</t>
    <phoneticPr fontId="2" type="noConversion"/>
  </si>
  <si>
    <t>인천승진CY</t>
    <phoneticPr fontId="2" type="noConversion"/>
  </si>
  <si>
    <t>SURABAYA VOYAGER / 9011N</t>
    <phoneticPr fontId="2" type="noConversion"/>
  </si>
  <si>
    <t>DFSU2964946</t>
    <phoneticPr fontId="2" type="noConversion"/>
  </si>
  <si>
    <t>HAL133314</t>
    <phoneticPr fontId="2" type="noConversion"/>
  </si>
  <si>
    <t>경기99바1120 / 유인선 기사님 / 010-3790-5151</t>
    <phoneticPr fontId="2" type="noConversion"/>
  </si>
  <si>
    <t>HASLK01251101730</t>
    <phoneticPr fontId="2" type="noConversion"/>
  </si>
  <si>
    <t>** ALE 부품 건</t>
    <phoneticPr fontId="2" type="noConversion"/>
  </si>
  <si>
    <t>양양운수</t>
    <phoneticPr fontId="2" type="noConversion"/>
  </si>
  <si>
    <t>인천픽업 HASLK01251101730</t>
    <phoneticPr fontId="2" type="noConversion"/>
  </si>
  <si>
    <t>인천픽업</t>
    <phoneticPr fontId="2" type="noConversion"/>
  </si>
  <si>
    <t>SKHU9908348</t>
    <phoneticPr fontId="2" type="noConversion"/>
  </si>
  <si>
    <t>HAL133407</t>
    <phoneticPr fontId="2" type="noConversion"/>
  </si>
  <si>
    <t>경기99바1119 / 우기성 기사님 / 010-9915-6583</t>
    <phoneticPr fontId="2" type="noConversion"/>
  </si>
  <si>
    <t>HASLK01251104126</t>
    <phoneticPr fontId="2" type="noConversion"/>
  </si>
  <si>
    <t>** STAP 부품 건</t>
    <phoneticPr fontId="2" type="noConversion"/>
  </si>
  <si>
    <t>중량할증 HASLK01251104126</t>
    <phoneticPr fontId="2" type="noConversion"/>
  </si>
  <si>
    <t>중량 23,280KG</t>
    <phoneticPr fontId="2" type="noConversion"/>
  </si>
  <si>
    <t>삼진해운</t>
    <phoneticPr fontId="2" type="noConversion"/>
  </si>
  <si>
    <t>우성파워택</t>
    <phoneticPr fontId="2" type="noConversion"/>
  </si>
  <si>
    <t>대구시 달성군 구지면</t>
    <phoneticPr fontId="2" type="noConversion"/>
  </si>
  <si>
    <t>SKR</t>
    <phoneticPr fontId="2" type="noConversion"/>
  </si>
  <si>
    <t>KMTC SHENZHEN / 2509E</t>
  </si>
  <si>
    <t>SKHU6327376</t>
  </si>
  <si>
    <t>SKR418078</t>
    <phoneticPr fontId="2" type="noConversion"/>
  </si>
  <si>
    <t>부산98사1564 / 정현영 기사님 / 010-3590-2475</t>
    <phoneticPr fontId="2" type="noConversion"/>
  </si>
  <si>
    <t>SNKO010251111084</t>
    <phoneticPr fontId="2" type="noConversion"/>
  </si>
  <si>
    <t>.</t>
    <phoneticPr fontId="2" type="noConversion"/>
  </si>
  <si>
    <t>HLHU8485331</t>
    <phoneticPr fontId="2" type="noConversion"/>
  </si>
  <si>
    <t>SKR300309</t>
    <phoneticPr fontId="2" type="noConversion"/>
  </si>
  <si>
    <t>부산99사7620 / 송봉길 기사님 / 010-4212-3746</t>
    <phoneticPr fontId="2" type="noConversion"/>
  </si>
  <si>
    <t>세창로지스</t>
    <phoneticPr fontId="2" type="noConversion"/>
  </si>
  <si>
    <t>큐앤큐글로벌</t>
    <phoneticPr fontId="2" type="noConversion"/>
  </si>
  <si>
    <t>인천 서구 원창동</t>
    <phoneticPr fontId="2" type="noConversion"/>
  </si>
  <si>
    <t>TYS</t>
    <phoneticPr fontId="2" type="noConversion"/>
  </si>
  <si>
    <t>ISARA BHUM / 2543W</t>
    <phoneticPr fontId="2" type="noConversion"/>
  </si>
  <si>
    <t>TEMU8664341</t>
    <phoneticPr fontId="2" type="noConversion"/>
  </si>
  <si>
    <t>TYS677131</t>
    <phoneticPr fontId="2" type="noConversion"/>
  </si>
  <si>
    <t>인천99아5948 / 인태홍 기사님 / 010-8954-6368</t>
    <phoneticPr fontId="2" type="noConversion"/>
  </si>
  <si>
    <t>TY25110636</t>
    <phoneticPr fontId="2" type="noConversion"/>
  </si>
  <si>
    <t>인천항 / 계근안함</t>
    <phoneticPr fontId="2" type="noConversion"/>
  </si>
  <si>
    <t>건창</t>
    <phoneticPr fontId="2" type="noConversion"/>
  </si>
  <si>
    <t>허치슨감만</t>
    <phoneticPr fontId="2" type="noConversion"/>
  </si>
  <si>
    <t>DJS</t>
    <phoneticPr fontId="2" type="noConversion"/>
  </si>
  <si>
    <t>DONGJIN FIDES / 0656S</t>
    <phoneticPr fontId="2" type="noConversion"/>
  </si>
  <si>
    <t>DJLU2183652</t>
    <phoneticPr fontId="2" type="noConversion"/>
  </si>
  <si>
    <t>DJSC72997</t>
  </si>
  <si>
    <t>경기99바1148 / 김진환 기사님 / 010-3234-0881</t>
    <phoneticPr fontId="2" type="noConversion"/>
  </si>
  <si>
    <t>DJSCPUS250023330</t>
    <phoneticPr fontId="2" type="noConversion"/>
  </si>
  <si>
    <t>모선변경이슈건</t>
    <phoneticPr fontId="2" type="noConversion"/>
  </si>
  <si>
    <t>대우로지스틱스</t>
    <phoneticPr fontId="2" type="noConversion"/>
  </si>
  <si>
    <t>삼보오토</t>
    <phoneticPr fontId="2" type="noConversion"/>
  </si>
  <si>
    <t>충청남도 예산군 옹붕면</t>
    <phoneticPr fontId="2" type="noConversion"/>
  </si>
  <si>
    <t>KMTC SHENZHEN / 2508E</t>
    <phoneticPr fontId="2" type="noConversion"/>
  </si>
  <si>
    <t>BMOU6347703</t>
    <phoneticPr fontId="2" type="noConversion"/>
  </si>
  <si>
    <t>KSC360737</t>
    <phoneticPr fontId="2" type="noConversion"/>
  </si>
  <si>
    <t>경기99아5240 / 김성근 기사님 / 010-9798-7879</t>
    <phoneticPr fontId="2" type="noConversion"/>
  </si>
  <si>
    <t>KR04248415</t>
    <phoneticPr fontId="2" type="noConversion"/>
  </si>
  <si>
    <t>비에스</t>
    <phoneticPr fontId="2" type="noConversion"/>
  </si>
  <si>
    <t>탁건 과장님</t>
    <phoneticPr fontId="2" type="noConversion"/>
  </si>
  <si>
    <t>상차료</t>
    <phoneticPr fontId="2" type="noConversion"/>
  </si>
  <si>
    <t>12/2 작업 12/6반입</t>
    <phoneticPr fontId="2" type="noConversion"/>
  </si>
  <si>
    <t>디앤케이</t>
    <phoneticPr fontId="2" type="noConversion"/>
  </si>
  <si>
    <t>셔틀료</t>
    <phoneticPr fontId="2" type="noConversion"/>
  </si>
  <si>
    <t>보관료</t>
    <phoneticPr fontId="2" type="noConversion"/>
  </si>
  <si>
    <t>THN</t>
    <phoneticPr fontId="2" type="noConversion"/>
  </si>
  <si>
    <t>전라남도 장성군 남면</t>
    <phoneticPr fontId="2" type="noConversion"/>
  </si>
  <si>
    <t>PANCON VICTORY</t>
    <phoneticPr fontId="2" type="noConversion"/>
  </si>
  <si>
    <t>PCLU5229210</t>
    <phoneticPr fontId="2" type="noConversion"/>
  </si>
  <si>
    <t>853221</t>
    <phoneticPr fontId="2" type="noConversion"/>
  </si>
  <si>
    <t>부산99사4962 / 윤상현 기사님 / 010-8173-1358</t>
    <phoneticPr fontId="2" type="noConversion"/>
  </si>
  <si>
    <t>PUS03598603</t>
    <phoneticPr fontId="2" type="noConversion"/>
  </si>
  <si>
    <t>보관료 PUS03598603</t>
    <phoneticPr fontId="2" type="noConversion"/>
  </si>
  <si>
    <t>보관건</t>
    <phoneticPr fontId="2" type="noConversion"/>
  </si>
  <si>
    <t>DJS</t>
  </si>
  <si>
    <t>DJLU5154344</t>
    <phoneticPr fontId="2" type="noConversion"/>
  </si>
  <si>
    <t>경기99아5668 / 한형주 기사님 / 010-6274-0940</t>
    <phoneticPr fontId="2" type="noConversion"/>
  </si>
  <si>
    <t>DJSCTXG250010113</t>
    <phoneticPr fontId="2" type="noConversion"/>
  </si>
  <si>
    <t>유정로지스틱스</t>
    <phoneticPr fontId="2" type="noConversion"/>
  </si>
  <si>
    <t>동원가구(가구있다)</t>
    <phoneticPr fontId="2" type="noConversion"/>
  </si>
  <si>
    <t>경기도 포천시 가산면</t>
    <phoneticPr fontId="2" type="noConversion"/>
  </si>
  <si>
    <t>COS</t>
    <phoneticPr fontId="2" type="noConversion"/>
  </si>
  <si>
    <t>OOLU8973424</t>
    <phoneticPr fontId="2" type="noConversion"/>
  </si>
  <si>
    <t>인천99아7669 / 박종필 기사님 / 010-3311-8534</t>
    <phoneticPr fontId="2" type="noConversion"/>
  </si>
  <si>
    <t>SSHAINC8YD152</t>
    <phoneticPr fontId="2" type="noConversion"/>
  </si>
  <si>
    <t>삼광윈테크</t>
    <phoneticPr fontId="2" type="noConversion"/>
  </si>
  <si>
    <t>경북 경산시 진량읍</t>
    <phoneticPr fontId="2" type="noConversion"/>
  </si>
  <si>
    <t>한진신항</t>
    <phoneticPr fontId="2" type="noConversion"/>
  </si>
  <si>
    <t>SML</t>
    <phoneticPr fontId="2" type="noConversion"/>
  </si>
  <si>
    <t>SM SHANGHAI / 2508E</t>
    <phoneticPr fontId="2" type="noConversion"/>
  </si>
  <si>
    <t>SMCU1115793</t>
    <phoneticPr fontId="2" type="noConversion"/>
  </si>
  <si>
    <t>SM885915</t>
    <phoneticPr fontId="2" type="noConversion"/>
  </si>
  <si>
    <t>부산98사2919 / 기태진 기사님 / 010-4225-0504</t>
    <phoneticPr fontId="2" type="noConversion"/>
  </si>
  <si>
    <t>SEL5L9768400</t>
    <phoneticPr fontId="2" type="noConversion"/>
  </si>
  <si>
    <t>에이치엔엘</t>
    <phoneticPr fontId="2" type="noConversion"/>
  </si>
  <si>
    <t>스마일해운항공</t>
    <phoneticPr fontId="2" type="noConversion"/>
  </si>
  <si>
    <t>다모아자원</t>
    <phoneticPr fontId="2" type="noConversion"/>
  </si>
  <si>
    <t>경상남도 양산시 소주동</t>
    <phoneticPr fontId="2" type="noConversion"/>
  </si>
  <si>
    <t>BIT</t>
    <phoneticPr fontId="2" type="noConversion"/>
  </si>
  <si>
    <t>HONOR PROSPER / 2219W</t>
    <phoneticPr fontId="2" type="noConversion"/>
  </si>
  <si>
    <t>FFAU7236808</t>
    <phoneticPr fontId="2" type="noConversion"/>
  </si>
  <si>
    <t>SITR627225</t>
    <phoneticPr fontId="2" type="noConversion"/>
  </si>
  <si>
    <t>경남99사2694 / 010-9016-4776 / 김영국기사 / CKCK2694</t>
    <phoneticPr fontId="2" type="noConversion"/>
  </si>
  <si>
    <t>SITPUCB059509</t>
    <phoneticPr fontId="2" type="noConversion"/>
  </si>
  <si>
    <t>하이디라오코리아</t>
    <phoneticPr fontId="2" type="noConversion"/>
  </si>
  <si>
    <t>부산92아5618 / 주광오 기사님 / 010-2426-7055</t>
    <phoneticPr fontId="2" type="noConversion"/>
  </si>
  <si>
    <t>MAEU264755457</t>
    <phoneticPr fontId="2" type="noConversion"/>
  </si>
  <si>
    <t>경북87바2408 / 전점곤 기사님 / 010-8456-0040</t>
    <phoneticPr fontId="2" type="noConversion"/>
  </si>
  <si>
    <t>4번MAEU264755457</t>
    <phoneticPr fontId="2" type="noConversion"/>
  </si>
  <si>
    <t>대구80바5016 / 윤복용 기사님 / 010-2517-2874</t>
    <phoneticPr fontId="2" type="noConversion"/>
  </si>
  <si>
    <t>5번MAEU264755457</t>
    <phoneticPr fontId="2" type="noConversion"/>
  </si>
  <si>
    <t>대구81자5237 / 유석운 기사님 / 010-3501-4480</t>
    <phoneticPr fontId="2" type="noConversion"/>
  </si>
  <si>
    <t>6번MAEU264755457</t>
    <phoneticPr fontId="2" type="noConversion"/>
  </si>
  <si>
    <t>작업비MAEU264755457</t>
    <phoneticPr fontId="2" type="noConversion"/>
  </si>
  <si>
    <t>4번작업비MAEU264755457</t>
    <phoneticPr fontId="2" type="noConversion"/>
  </si>
  <si>
    <t>5번작업비MAEU264755457</t>
    <phoneticPr fontId="2" type="noConversion"/>
  </si>
  <si>
    <t>6번작업비MAEU264755457</t>
    <phoneticPr fontId="2" type="noConversion"/>
  </si>
  <si>
    <t>FEO</t>
    <phoneticPr fontId="2" type="noConversion"/>
  </si>
  <si>
    <t>ZHONG CHUAN HAI YUN / ZCHY010</t>
    <phoneticPr fontId="2" type="noConversion"/>
  </si>
  <si>
    <t>DFSU6776762</t>
  </si>
  <si>
    <t>DJSC60531</t>
    <phoneticPr fontId="2" type="noConversion"/>
  </si>
  <si>
    <t>경기99바1133 / 이동주 기사님 / 010-3219-4316</t>
    <phoneticPr fontId="2" type="noConversion"/>
  </si>
  <si>
    <t>KSL023824</t>
    <phoneticPr fontId="2" type="noConversion"/>
  </si>
  <si>
    <t>** KIT 부품 건</t>
    <phoneticPr fontId="2" type="noConversion"/>
  </si>
  <si>
    <t>인천픽업 KSL023824</t>
    <phoneticPr fontId="2" type="noConversion"/>
  </si>
  <si>
    <t>TEMU8408400</t>
    <phoneticPr fontId="2" type="noConversion"/>
  </si>
  <si>
    <t>인천99아8737 / 김경주 기사님 / 010-7455-3430</t>
    <phoneticPr fontId="2" type="noConversion"/>
  </si>
  <si>
    <t>NSSLAXMN25J00035</t>
    <phoneticPr fontId="2" type="noConversion"/>
  </si>
  <si>
    <t>DFSU6892084</t>
    <phoneticPr fontId="2" type="noConversion"/>
  </si>
  <si>
    <t>경기99아5684 / 박종묵 기사님 / 010-3139-9812</t>
    <phoneticPr fontId="2" type="noConversion"/>
  </si>
  <si>
    <t>바른로지스틱스</t>
    <phoneticPr fontId="2" type="noConversion"/>
  </si>
  <si>
    <t>블루닉스</t>
    <phoneticPr fontId="2" type="noConversion"/>
  </si>
  <si>
    <t>경기도 안산시 단원구 목내동</t>
    <phoneticPr fontId="2" type="noConversion"/>
  </si>
  <si>
    <t>BNCT</t>
    <phoneticPr fontId="2" type="noConversion"/>
  </si>
  <si>
    <t>CMA</t>
    <phoneticPr fontId="2" type="noConversion"/>
  </si>
  <si>
    <t>CMAU2843293</t>
    <phoneticPr fontId="2" type="noConversion"/>
  </si>
  <si>
    <t>부산99사9800 / 김윤태 기사님 / 010-5845-5900</t>
    <phoneticPr fontId="2" type="noConversion"/>
  </si>
  <si>
    <t>KPE0199290</t>
  </si>
  <si>
    <t>반납비 KPE0199290</t>
    <phoneticPr fontId="2" type="noConversion"/>
  </si>
  <si>
    <t>은성해운항공</t>
    <phoneticPr fontId="2" type="noConversion"/>
  </si>
  <si>
    <t>성진케미칼</t>
    <phoneticPr fontId="2" type="noConversion"/>
  </si>
  <si>
    <t>대구광역시 달성군 구지면</t>
    <phoneticPr fontId="2" type="noConversion"/>
  </si>
  <si>
    <t>HEUNG-A JANICE // 2544W</t>
    <phoneticPr fontId="2" type="noConversion"/>
  </si>
  <si>
    <t>SKLU1961792</t>
    <phoneticPr fontId="2" type="noConversion"/>
  </si>
  <si>
    <t>HAL181966</t>
    <phoneticPr fontId="2" type="noConversion"/>
  </si>
  <si>
    <t>HASLK01251105011</t>
    <phoneticPr fontId="2" type="noConversion"/>
  </si>
  <si>
    <t>계근비 HASLK01251105011</t>
    <phoneticPr fontId="2" type="noConversion"/>
  </si>
  <si>
    <t>SKHU9946693</t>
  </si>
  <si>
    <t>SKR466256</t>
    <phoneticPr fontId="2" type="noConversion"/>
  </si>
  <si>
    <t>두원냉기</t>
    <phoneticPr fontId="2" type="noConversion"/>
  </si>
  <si>
    <t>경기도 화성시 장지동</t>
    <phoneticPr fontId="2" type="noConversion"/>
  </si>
  <si>
    <t>평택</t>
    <phoneticPr fontId="2" type="noConversion"/>
  </si>
  <si>
    <t>EAS</t>
    <phoneticPr fontId="2" type="noConversion"/>
  </si>
  <si>
    <t>TRHU3526723</t>
    <phoneticPr fontId="2" type="noConversion"/>
  </si>
  <si>
    <t>부산95아4088 / 최기호 기사님 / 010-6744-3388</t>
    <phoneticPr fontId="2" type="noConversion"/>
  </si>
  <si>
    <t>EASNR2540SP8004</t>
    <phoneticPr fontId="2" type="noConversion"/>
  </si>
  <si>
    <t>더로지스</t>
    <phoneticPr fontId="2" type="noConversion"/>
  </si>
  <si>
    <t>좋은사람들</t>
    <phoneticPr fontId="2" type="noConversion"/>
  </si>
  <si>
    <t xml:space="preserve">경기도 파주시 탄현면 </t>
    <phoneticPr fontId="2" type="noConversion"/>
  </si>
  <si>
    <t>YA LU JIANG / 888W (ULJG / 93)</t>
    <phoneticPr fontId="2" type="noConversion"/>
  </si>
  <si>
    <t>PHRU8191450</t>
    <phoneticPr fontId="2" type="noConversion"/>
  </si>
  <si>
    <t>DWS2409951</t>
    <phoneticPr fontId="2" type="noConversion"/>
  </si>
  <si>
    <t>인천98바2236 / 김홍철 기사님 / 010-4902-4227</t>
    <phoneticPr fontId="2" type="noConversion"/>
  </si>
  <si>
    <t>DWSID251120001</t>
  </si>
  <si>
    <t>계근비DWSID251120001</t>
    <phoneticPr fontId="2" type="noConversion"/>
  </si>
  <si>
    <t>2,090KG</t>
    <phoneticPr fontId="2" type="noConversion"/>
  </si>
  <si>
    <t>아이지케이</t>
    <phoneticPr fontId="2" type="noConversion"/>
  </si>
  <si>
    <t>제이오텍</t>
    <phoneticPr fontId="2" type="noConversion"/>
  </si>
  <si>
    <t>대전광역시 유성구 용산동</t>
    <phoneticPr fontId="2" type="noConversion"/>
  </si>
  <si>
    <t>ONE CONTRIBUTION / 0063E</t>
    <phoneticPr fontId="2" type="noConversion"/>
  </si>
  <si>
    <t>KOCU4609748</t>
    <phoneticPr fontId="2" type="noConversion"/>
  </si>
  <si>
    <t>23 1544980</t>
    <phoneticPr fontId="2" type="noConversion"/>
  </si>
  <si>
    <t>울산99바1767 / 010-3867-9941 / 박종수기사님</t>
    <phoneticPr fontId="2" type="noConversion"/>
  </si>
  <si>
    <t>SELMN64125701</t>
    <phoneticPr fontId="2" type="noConversion"/>
  </si>
  <si>
    <t>선반입권 SELMN64125701</t>
    <phoneticPr fontId="2" type="noConversion"/>
  </si>
  <si>
    <t>SKHU8911861</t>
    <phoneticPr fontId="2" type="noConversion"/>
  </si>
  <si>
    <t>SKR420460</t>
    <phoneticPr fontId="2" type="noConversion"/>
  </si>
  <si>
    <t>부산99사8473 / 강상원 기사님 / 010-6573-7012</t>
    <phoneticPr fontId="2" type="noConversion"/>
  </si>
  <si>
    <t>BMOU6249672</t>
    <phoneticPr fontId="2" type="noConversion"/>
  </si>
  <si>
    <t>경남99바5664 / 김문섭 기사님 / 010-3536-1416</t>
    <phoneticPr fontId="2" type="noConversion"/>
  </si>
  <si>
    <t>KMTCSWA0378497</t>
    <phoneticPr fontId="2" type="noConversion"/>
  </si>
  <si>
    <t>니프코코리아(울산)</t>
    <phoneticPr fontId="2" type="noConversion"/>
  </si>
  <si>
    <t>울산광역시 울주군 상북면</t>
    <phoneticPr fontId="2" type="noConversion"/>
  </si>
  <si>
    <t>KOCU4709500</t>
    <phoneticPr fontId="2" type="noConversion"/>
  </si>
  <si>
    <t>24H0492279</t>
    <phoneticPr fontId="2" type="noConversion"/>
  </si>
  <si>
    <t>경남99사5010 / 정재훈 기사님 / 010-8070-2907</t>
    <phoneticPr fontId="2" type="noConversion"/>
  </si>
  <si>
    <t>SELA33049413</t>
    <phoneticPr fontId="2" type="noConversion"/>
  </si>
  <si>
    <t>선반입권SELA33049413</t>
    <phoneticPr fontId="2" type="noConversion"/>
  </si>
  <si>
    <t>계근SELA33049413</t>
    <phoneticPr fontId="2" type="noConversion"/>
  </si>
  <si>
    <t>대구81바6692  / 박재열 기사님 / 010-5744-4832</t>
    <phoneticPr fontId="2" type="noConversion"/>
  </si>
  <si>
    <t>7번MAEU264755457</t>
    <phoneticPr fontId="2" type="noConversion"/>
  </si>
  <si>
    <t>야간작업아님</t>
    <phoneticPr fontId="2" type="noConversion"/>
  </si>
  <si>
    <t>7번작업료MAEU264755457</t>
    <phoneticPr fontId="2" type="noConversion"/>
  </si>
  <si>
    <t>SAWASDEE VEGA</t>
    <phoneticPr fontId="2" type="noConversion"/>
  </si>
  <si>
    <t>BMOU4666070</t>
    <phoneticPr fontId="2" type="noConversion"/>
  </si>
  <si>
    <t>HAL197796</t>
    <phoneticPr fontId="2" type="noConversion"/>
  </si>
  <si>
    <t>99보7397 / 김정진 기사님 / 010-9345-3620</t>
    <phoneticPr fontId="2" type="noConversion"/>
  </si>
  <si>
    <t>윌트레이드</t>
    <phoneticPr fontId="2" type="noConversion"/>
  </si>
  <si>
    <t>대구광역시 서구 중리동(상중이동)</t>
    <phoneticPr fontId="2" type="noConversion"/>
  </si>
  <si>
    <t>SKHU9309587</t>
    <phoneticPr fontId="2" type="noConversion"/>
  </si>
  <si>
    <t>울산99바1767 / 010-3867-9941 / 박종수기사</t>
    <phoneticPr fontId="2" type="noConversion"/>
  </si>
  <si>
    <t>HASLC01251116573</t>
    <phoneticPr fontId="2" type="noConversion"/>
  </si>
  <si>
    <t>CKL</t>
  </si>
  <si>
    <t>FCIU6042615</t>
    <phoneticPr fontId="2" type="noConversion"/>
  </si>
  <si>
    <t>충북98바1550 / 010-4112-7233 / 최세진 기사님</t>
    <phoneticPr fontId="2" type="noConversion"/>
  </si>
  <si>
    <t>CKCOFUG0007150</t>
    <phoneticPr fontId="2" type="noConversion"/>
  </si>
  <si>
    <t>베스트부품&amp;엠투닉스</t>
    <phoneticPr fontId="2" type="noConversion"/>
  </si>
  <si>
    <t>SURABAYA VOYAGR / 9011N</t>
    <phoneticPr fontId="2" type="noConversion"/>
  </si>
  <si>
    <t>SKHU9915012</t>
    <phoneticPr fontId="2" type="noConversion"/>
  </si>
  <si>
    <t>HAL133351</t>
    <phoneticPr fontId="2" type="noConversion"/>
  </si>
  <si>
    <t>경기99바1120 / 010-3790-5151 / 유인선 기사님</t>
    <phoneticPr fontId="2" type="noConversion"/>
  </si>
  <si>
    <t>베스트부품HASLK01251200247</t>
    <phoneticPr fontId="2" type="noConversion"/>
  </si>
  <si>
    <t>엠투닉스</t>
    <phoneticPr fontId="2" type="noConversion"/>
  </si>
  <si>
    <t>엠투닉스HASLK01251200247</t>
    <phoneticPr fontId="2" type="noConversion"/>
  </si>
  <si>
    <t>엠티엘</t>
    <phoneticPr fontId="2" type="noConversion"/>
  </si>
  <si>
    <t>경기도 화성시 우정읍</t>
    <phoneticPr fontId="2" type="noConversion"/>
  </si>
  <si>
    <t>NINGBO TRADER / NBTD-2543W</t>
    <phoneticPr fontId="2" type="noConversion"/>
  </si>
  <si>
    <t>SKHU9305030</t>
  </si>
  <si>
    <t>SKR189491</t>
    <phoneticPr fontId="2" type="noConversion"/>
  </si>
  <si>
    <t>서울98바3935 / 오일태 기사님 / 010-7283-1511</t>
    <phoneticPr fontId="2" type="noConversion"/>
  </si>
  <si>
    <t>SNKO010251200601</t>
    <phoneticPr fontId="2" type="noConversion"/>
  </si>
  <si>
    <t>계근비SNKO010251200601</t>
    <phoneticPr fontId="2" type="noConversion"/>
  </si>
  <si>
    <t>대륙항공해운</t>
    <phoneticPr fontId="2" type="noConversion"/>
  </si>
  <si>
    <t>이샵</t>
    <phoneticPr fontId="2" type="noConversion"/>
  </si>
  <si>
    <t>경상남도 김해시 부곡동</t>
    <phoneticPr fontId="2" type="noConversion"/>
  </si>
  <si>
    <t>bit</t>
    <phoneticPr fontId="2" type="noConversion"/>
  </si>
  <si>
    <t>TCNU5881934</t>
    <phoneticPr fontId="2" type="noConversion"/>
  </si>
  <si>
    <t>부산98사1936 / 강신황 기사님 / 010-9358-7962</t>
    <phoneticPr fontId="2" type="noConversion"/>
  </si>
  <si>
    <t>EASEK2546SB8003</t>
    <phoneticPr fontId="2" type="noConversion"/>
  </si>
  <si>
    <t>쓰리에이치</t>
    <phoneticPr fontId="2" type="noConversion"/>
  </si>
  <si>
    <t xml:space="preserve">대구 동구 </t>
    <phoneticPr fontId="2" type="noConversion"/>
  </si>
  <si>
    <t>NSSU7140322</t>
    <phoneticPr fontId="2" type="noConversion"/>
  </si>
  <si>
    <t xml:space="preserve">부산99사5257  / 박성준 기사님 / 010-3586-3697 </t>
    <phoneticPr fontId="2" type="noConversion"/>
  </si>
  <si>
    <t>NSSLADLC25K00205</t>
    <phoneticPr fontId="2" type="noConversion"/>
  </si>
  <si>
    <t>케이제이엔터프라이즈</t>
    <phoneticPr fontId="2" type="noConversion"/>
  </si>
  <si>
    <t>창영테크</t>
    <phoneticPr fontId="2" type="noConversion"/>
  </si>
  <si>
    <t>경기도 양주시 백석읍</t>
    <phoneticPr fontId="2" type="noConversion"/>
  </si>
  <si>
    <t>IAL</t>
    <phoneticPr fontId="2" type="noConversion"/>
  </si>
  <si>
    <t>CAIU2868072</t>
    <phoneticPr fontId="2" type="noConversion"/>
  </si>
  <si>
    <t>IAAH453262</t>
    <phoneticPr fontId="2" type="noConversion"/>
  </si>
  <si>
    <t>경남99바5929 /  조병길 기사님 /  010-9304-5929</t>
    <phoneticPr fontId="2" type="noConversion"/>
  </si>
  <si>
    <t>A27FX07613</t>
    <phoneticPr fontId="2" type="noConversion"/>
  </si>
  <si>
    <t>김태훈</t>
    <phoneticPr fontId="2" type="noConversion"/>
  </si>
  <si>
    <t>천경</t>
    <phoneticPr fontId="2" type="noConversion"/>
  </si>
  <si>
    <t>인천픽업A27FX07613</t>
    <phoneticPr fontId="2" type="noConversion"/>
  </si>
  <si>
    <t>SKR486474</t>
    <phoneticPr fontId="2" type="noConversion"/>
  </si>
  <si>
    <t>3PLT_1104KG</t>
    <phoneticPr fontId="2" type="noConversion"/>
  </si>
  <si>
    <t>경남90자3549 / 전광식 기사님 / 010-3575-2732</t>
    <phoneticPr fontId="2" type="noConversion"/>
  </si>
  <si>
    <t>YDCNYC-L1-2512-2</t>
    <phoneticPr fontId="2" type="noConversion"/>
  </si>
  <si>
    <t>BKG . JSHA2512040 //1톤차량 3PLT</t>
    <phoneticPr fontId="2" type="noConversion"/>
  </si>
  <si>
    <t>HSLU2000882</t>
    <phoneticPr fontId="2" type="noConversion"/>
  </si>
  <si>
    <t>HSL019136</t>
    <phoneticPr fontId="2" type="noConversion"/>
  </si>
  <si>
    <t>TDCNTJ-L1-2512-2</t>
    <phoneticPr fontId="2" type="noConversion"/>
  </si>
  <si>
    <t>BKG. HSLI010251200132</t>
    <phoneticPr fontId="2" type="noConversion"/>
  </si>
  <si>
    <t>에스더블유로지스틱스</t>
    <phoneticPr fontId="2" type="noConversion"/>
  </si>
  <si>
    <t>코스모스벽지</t>
    <phoneticPr fontId="2" type="noConversion"/>
  </si>
  <si>
    <t>충남 천안시 동남구 수신면</t>
    <phoneticPr fontId="2" type="noConversion"/>
  </si>
  <si>
    <t>PIL</t>
    <phoneticPr fontId="2" type="noConversion"/>
  </si>
  <si>
    <t>KOTA GAYA(KGAA-11) / 0424S</t>
    <phoneticPr fontId="2" type="noConversion"/>
  </si>
  <si>
    <t>12월9일</t>
    <phoneticPr fontId="2" type="noConversion"/>
  </si>
  <si>
    <t>BSIU2463090</t>
    <phoneticPr fontId="2" type="noConversion"/>
  </si>
  <si>
    <t>SF1147011</t>
    <phoneticPr fontId="2" type="noConversion"/>
  </si>
  <si>
    <t>SRAF0082504</t>
    <phoneticPr fontId="2" type="noConversion"/>
  </si>
  <si>
    <t>SEGU4810544</t>
    <phoneticPr fontId="2" type="noConversion"/>
  </si>
  <si>
    <t>268395</t>
    <phoneticPr fontId="2" type="noConversion"/>
  </si>
  <si>
    <t>경남99바3792 / 김관호 기사님 / 010-5437-4204</t>
    <phoneticPr fontId="2" type="noConversion"/>
  </si>
  <si>
    <t>전산오류</t>
    <phoneticPr fontId="2" type="noConversion"/>
  </si>
  <si>
    <t>KR04248415</t>
  </si>
  <si>
    <t>12/4작업 / 12/6 반입</t>
    <phoneticPr fontId="2" type="noConversion"/>
  </si>
  <si>
    <t>SKHU9965899</t>
    <phoneticPr fontId="2" type="noConversion"/>
  </si>
  <si>
    <t>806605</t>
    <phoneticPr fontId="2" type="noConversion"/>
  </si>
  <si>
    <t>경남99사2084 / 이현희 기사님 / 010-7765-6091</t>
    <phoneticPr fontId="2" type="noConversion"/>
  </si>
  <si>
    <t>계근비 SNKO010251200601</t>
    <phoneticPr fontId="2" type="noConversion"/>
  </si>
  <si>
    <t>16,120KG</t>
    <phoneticPr fontId="2" type="noConversion"/>
  </si>
  <si>
    <t xml:space="preserve">SKHU6402994 </t>
    <phoneticPr fontId="2" type="noConversion"/>
  </si>
  <si>
    <t>SKR207004</t>
    <phoneticPr fontId="2" type="noConversion"/>
  </si>
  <si>
    <t>전남98사7079 / 김진영 기사님 / 010-8879-3665</t>
    <phoneticPr fontId="2" type="noConversion"/>
  </si>
  <si>
    <t>15,890 KG</t>
    <phoneticPr fontId="2" type="noConversion"/>
  </si>
  <si>
    <t xml:space="preserve">HLHU6406462 </t>
    <phoneticPr fontId="2" type="noConversion"/>
  </si>
  <si>
    <t>SKR189317</t>
    <phoneticPr fontId="2" type="noConversion"/>
  </si>
  <si>
    <t>경기98바9050 / 김건모 기사님 / 010-5787-7859</t>
    <phoneticPr fontId="2" type="noConversion"/>
  </si>
  <si>
    <t>13,200KG</t>
  </si>
  <si>
    <t>SKHU6344352</t>
    <phoneticPr fontId="2" type="noConversion"/>
  </si>
  <si>
    <t>SKR189338</t>
    <phoneticPr fontId="2" type="noConversion"/>
  </si>
  <si>
    <t>경기99바5960 / 고범두 기사님 / 010-9855-6810</t>
    <phoneticPr fontId="2" type="noConversion"/>
  </si>
  <si>
    <t>12,460KG</t>
    <phoneticPr fontId="2" type="noConversion"/>
  </si>
  <si>
    <t>에이씨그룹월드와이드코리아</t>
    <phoneticPr fontId="2" type="noConversion"/>
  </si>
  <si>
    <t>한국로텍</t>
    <phoneticPr fontId="2" type="noConversion"/>
  </si>
  <si>
    <t>브산 강서구 송정동</t>
    <phoneticPr fontId="2" type="noConversion"/>
  </si>
  <si>
    <t>40BK</t>
    <phoneticPr fontId="2" type="noConversion"/>
  </si>
  <si>
    <t>PNIT</t>
    <phoneticPr fontId="2" type="noConversion"/>
  </si>
  <si>
    <t>25톤카고차</t>
    <phoneticPr fontId="2" type="noConversion"/>
  </si>
  <si>
    <t>총 12'GT 상차</t>
    <phoneticPr fontId="2" type="noConversion"/>
  </si>
  <si>
    <t>인천82바8357 / 강호룡기사님 / 010-3693-8150</t>
    <phoneticPr fontId="2" type="noConversion"/>
  </si>
  <si>
    <t>MAEU261752690</t>
    <phoneticPr fontId="2" type="noConversion"/>
  </si>
  <si>
    <t xml:space="preserve"> 98어4989 / 심규진 기사님 / 010-2335-8564</t>
    <phoneticPr fontId="2" type="noConversion"/>
  </si>
  <si>
    <t>세컨</t>
    <phoneticPr fontId="2" type="noConversion"/>
  </si>
  <si>
    <t>오슬로</t>
    <phoneticPr fontId="2" type="noConversion"/>
  </si>
  <si>
    <t>인천광역시 중구 항동7가</t>
  </si>
  <si>
    <t>BCT</t>
    <phoneticPr fontId="2" type="noConversion"/>
  </si>
  <si>
    <t>YML</t>
    <phoneticPr fontId="2" type="noConversion"/>
  </si>
  <si>
    <t>SEGU1458419</t>
    <phoneticPr fontId="2" type="noConversion"/>
  </si>
  <si>
    <t>인천98바4872 / 정영도 기사님 / 010-2573-3497</t>
    <phoneticPr fontId="2" type="noConversion"/>
  </si>
  <si>
    <t>YMJAN755284092</t>
    <phoneticPr fontId="2" type="noConversion"/>
  </si>
  <si>
    <t>한울로직스</t>
  </si>
  <si>
    <t>보세면허YMJAN755284092</t>
    <phoneticPr fontId="2" type="noConversion"/>
  </si>
  <si>
    <t>현대포리텍</t>
    <phoneticPr fontId="2" type="noConversion"/>
  </si>
  <si>
    <t>충북 음성군 음성읍</t>
    <phoneticPr fontId="2" type="noConversion"/>
  </si>
  <si>
    <t>음성</t>
    <phoneticPr fontId="2" type="noConversion"/>
  </si>
  <si>
    <t>HMM CLOVER</t>
    <phoneticPr fontId="2" type="noConversion"/>
  </si>
  <si>
    <t>8톤윙바디차</t>
    <phoneticPr fontId="2" type="noConversion"/>
  </si>
  <si>
    <t>11 PLT</t>
    <phoneticPr fontId="2" type="noConversion"/>
  </si>
  <si>
    <t xml:space="preserve">8톤차량 :  대구81아5931 / 홍연만 기사님 /  010-8614-6642  </t>
    <phoneticPr fontId="2" type="noConversion"/>
  </si>
  <si>
    <t>SELA33049407</t>
    <phoneticPr fontId="2" type="noConversion"/>
  </si>
  <si>
    <t>12/4(목) 14시픽업 ~12/05 (금) 오전 하차 음성상차-부산신항 CFS 하차</t>
  </si>
  <si>
    <t>대성스틸</t>
    <phoneticPr fontId="2" type="noConversion"/>
  </si>
  <si>
    <t>경기도 평택시 포승읍</t>
    <phoneticPr fontId="2" type="noConversion"/>
  </si>
  <si>
    <t>DONGJIN CONFIDENT</t>
    <phoneticPr fontId="2" type="noConversion"/>
  </si>
  <si>
    <t>DJLU2150495</t>
    <phoneticPr fontId="2" type="noConversion"/>
  </si>
  <si>
    <t>DJSC81978</t>
    <phoneticPr fontId="2" type="noConversion"/>
  </si>
  <si>
    <t>대성스틸 사장님차량</t>
    <phoneticPr fontId="2" type="noConversion"/>
  </si>
  <si>
    <t>DJSCPTK250001786</t>
    <phoneticPr fontId="2" type="noConversion"/>
  </si>
  <si>
    <t>다원</t>
    <phoneticPr fontId="2" type="noConversion"/>
  </si>
  <si>
    <t>DJLU2012794</t>
    <phoneticPr fontId="2" type="noConversion"/>
  </si>
  <si>
    <t>DJSC81975</t>
    <phoneticPr fontId="2" type="noConversion"/>
  </si>
  <si>
    <t>쇼링비</t>
    <phoneticPr fontId="2" type="noConversion"/>
  </si>
  <si>
    <t>DJLU2150495 ,DJLU2012794</t>
    <phoneticPr fontId="2" type="noConversion"/>
  </si>
  <si>
    <t>장비대</t>
    <phoneticPr fontId="2" type="noConversion"/>
  </si>
  <si>
    <t>DJLU2188443</t>
    <phoneticPr fontId="2" type="noConversion"/>
  </si>
  <si>
    <t>DJSC81864</t>
    <phoneticPr fontId="2" type="noConversion"/>
  </si>
  <si>
    <t>TIIU2434382</t>
    <phoneticPr fontId="2" type="noConversion"/>
  </si>
  <si>
    <t>DJSC81865</t>
    <phoneticPr fontId="2" type="noConversion"/>
  </si>
  <si>
    <t>DJLU2188443, TLLU2434382</t>
    <phoneticPr fontId="2" type="noConversion"/>
  </si>
  <si>
    <t>EAXU6250337</t>
    <phoneticPr fontId="2" type="noConversion"/>
  </si>
  <si>
    <t>부산98사4061 김대성 010-8580-6284</t>
    <phoneticPr fontId="2" type="noConversion"/>
  </si>
  <si>
    <t>상정무역</t>
    <phoneticPr fontId="2" type="noConversion"/>
  </si>
  <si>
    <t>WHL</t>
    <phoneticPr fontId="2" type="noConversion"/>
  </si>
  <si>
    <t>WHSU6025358</t>
    <phoneticPr fontId="2" type="noConversion"/>
  </si>
  <si>
    <t>인천98사5035 / 백낙선 기사님 / 010-3170-1804</t>
    <phoneticPr fontId="2" type="noConversion"/>
  </si>
  <si>
    <t>067FX26250</t>
    <phoneticPr fontId="2" type="noConversion"/>
  </si>
  <si>
    <t>HALU2308689</t>
    <phoneticPr fontId="2" type="noConversion"/>
  </si>
  <si>
    <t>HAL197895</t>
    <phoneticPr fontId="2" type="noConversion"/>
  </si>
  <si>
    <t>부산99사6105 / 전재석 기사님 / 010-3859-1420</t>
    <phoneticPr fontId="2" type="noConversion"/>
  </si>
  <si>
    <t>HASLK02251200337</t>
    <phoneticPr fontId="2" type="noConversion"/>
  </si>
  <si>
    <t>자재창고(어곡창고) , POD QINGDAO</t>
    <phoneticPr fontId="2" type="noConversion"/>
  </si>
  <si>
    <t>솔루션팩</t>
    <phoneticPr fontId="2" type="noConversion"/>
  </si>
  <si>
    <t>유니링크</t>
    <phoneticPr fontId="2" type="noConversion"/>
  </si>
  <si>
    <t>부산 강서구 대저2동</t>
    <phoneticPr fontId="2" type="noConversion"/>
  </si>
  <si>
    <t>DYS</t>
    <phoneticPr fontId="2" type="noConversion"/>
  </si>
  <si>
    <t>SEKU1118917</t>
    <phoneticPr fontId="2" type="noConversion"/>
  </si>
  <si>
    <t>경남81사8217 / 장경협 기사님 /  010-7554-6444</t>
    <phoneticPr fontId="2" type="noConversion"/>
  </si>
  <si>
    <t>PCSLSBL608251121</t>
  </si>
  <si>
    <t>NSSU7055489</t>
    <phoneticPr fontId="2" type="noConversion"/>
  </si>
  <si>
    <t>경북99아5709 / 이상준 기사님 / 010-2751-3191</t>
    <phoneticPr fontId="2" type="noConversion"/>
  </si>
  <si>
    <t>NSSLAXMN25J100244</t>
    <phoneticPr fontId="2" type="noConversion"/>
  </si>
  <si>
    <t>김군환이사님 / NSSU7102111 보류</t>
    <phoneticPr fontId="2" type="noConversion"/>
  </si>
  <si>
    <t>SKHU6397666</t>
    <phoneticPr fontId="2" type="noConversion"/>
  </si>
  <si>
    <t>SKR225164</t>
    <phoneticPr fontId="2" type="noConversion"/>
  </si>
  <si>
    <t>충남98사5454 / 김예곤 기사님 / 010-5265-6064</t>
    <phoneticPr fontId="2" type="noConversion"/>
  </si>
  <si>
    <t>9,540 KG</t>
    <phoneticPr fontId="2" type="noConversion"/>
  </si>
  <si>
    <t>SEKU4427972</t>
    <phoneticPr fontId="2" type="noConversion"/>
  </si>
  <si>
    <t>SKR228947</t>
    <phoneticPr fontId="2" type="noConversion"/>
  </si>
  <si>
    <t>부산98바8714 / 전영환 기사님 / 010-8824-2869</t>
    <phoneticPr fontId="2" type="noConversion"/>
  </si>
  <si>
    <t>14,210 KG</t>
    <phoneticPr fontId="2" type="noConversion"/>
  </si>
  <si>
    <t>FCIU7265450</t>
    <phoneticPr fontId="2" type="noConversion"/>
  </si>
  <si>
    <t>SKR210721</t>
    <phoneticPr fontId="2" type="noConversion"/>
  </si>
  <si>
    <t>17,240KG</t>
    <phoneticPr fontId="2" type="noConversion"/>
  </si>
  <si>
    <t>경기도 양주시 회암동</t>
    <phoneticPr fontId="2" type="noConversion"/>
  </si>
  <si>
    <t>FFAU1048022</t>
    <phoneticPr fontId="2" type="noConversion"/>
  </si>
  <si>
    <t>인천98아6903 / 조종욱 기사님 / 010-2054-8649</t>
    <phoneticPr fontId="2" type="noConversion"/>
  </si>
  <si>
    <t>KMTCXMN0826172</t>
    <phoneticPr fontId="2" type="noConversion"/>
  </si>
  <si>
    <t>김군환이사님 / 양주 고치고</t>
    <phoneticPr fontId="2" type="noConversion"/>
  </si>
  <si>
    <t>플러스큐</t>
    <phoneticPr fontId="2" type="noConversion"/>
  </si>
  <si>
    <t>인천 중구 신흥동 3가</t>
    <phoneticPr fontId="2" type="noConversion"/>
  </si>
  <si>
    <t>FEO</t>
  </si>
  <si>
    <t>ZHONG CHUAN HAI YUN / HKK 1102N</t>
    <phoneticPr fontId="2" type="noConversion"/>
  </si>
  <si>
    <t>BMOU2991385</t>
    <phoneticPr fontId="2" type="noConversion"/>
  </si>
  <si>
    <t>075746</t>
    <phoneticPr fontId="2" type="noConversion"/>
  </si>
  <si>
    <t>경남99사2694 / 010-9016-4776 / 김영국기사</t>
    <phoneticPr fontId="2" type="noConversion"/>
  </si>
  <si>
    <t>THR009579</t>
    <phoneticPr fontId="2" type="noConversion"/>
  </si>
  <si>
    <t>선광종합물류 보관 건 현대신항 셔틀만 / SOC / 중량할증 포함</t>
    <phoneticPr fontId="2" type="noConversion"/>
  </si>
  <si>
    <t>글로벌라인</t>
    <phoneticPr fontId="2" type="noConversion"/>
  </si>
  <si>
    <t>경기 김포시 월곶면</t>
    <phoneticPr fontId="2" type="noConversion"/>
  </si>
  <si>
    <t>SURABAYA VOYAGER / 9012N</t>
  </si>
  <si>
    <t>HLHU8526169</t>
    <phoneticPr fontId="2" type="noConversion"/>
  </si>
  <si>
    <t>HAL133301</t>
    <phoneticPr fontId="2" type="noConversion"/>
  </si>
  <si>
    <t>경기99바1156 / 010-9181-0372 / 용우식기사</t>
    <phoneticPr fontId="2" type="noConversion"/>
  </si>
  <si>
    <t>HASLK01251108738</t>
    <phoneticPr fontId="2" type="noConversion"/>
  </si>
  <si>
    <t>글로벌라인 단독 / 공만차 계근</t>
    <phoneticPr fontId="2" type="noConversion"/>
  </si>
  <si>
    <t>양양</t>
    <phoneticPr fontId="2" type="noConversion"/>
  </si>
  <si>
    <t>니프코코리아(부산)</t>
    <phoneticPr fontId="2" type="noConversion"/>
  </si>
  <si>
    <t>부산광역시 강서구 송정동</t>
    <phoneticPr fontId="2" type="noConversion"/>
  </si>
  <si>
    <t>HMM CLOVER / 0001W</t>
    <phoneticPr fontId="2" type="noConversion"/>
  </si>
  <si>
    <t>HDMU2718088</t>
    <phoneticPr fontId="2" type="noConversion"/>
  </si>
  <si>
    <t>25H0264366</t>
    <phoneticPr fontId="2" type="noConversion"/>
  </si>
  <si>
    <t>SELA33049416</t>
    <phoneticPr fontId="2" type="noConversion"/>
  </si>
  <si>
    <t>공만차 계근 / * HMM CLOVER (HOCV/001)/ 001W /  ETA - 2025-12-06 19:00 예정</t>
    <phoneticPr fontId="2" type="noConversion"/>
  </si>
  <si>
    <t>계근비SELA33049416</t>
    <phoneticPr fontId="2" type="noConversion"/>
  </si>
  <si>
    <t>로커스로지스틱스</t>
    <phoneticPr fontId="2" type="noConversion"/>
  </si>
  <si>
    <t>대신에스앤비</t>
    <phoneticPr fontId="2" type="noConversion"/>
  </si>
  <si>
    <t>경남 함안구 군북면</t>
    <phoneticPr fontId="2" type="noConversion"/>
  </si>
  <si>
    <t>DYLU5146226</t>
    <phoneticPr fontId="2" type="noConversion"/>
  </si>
  <si>
    <t>경남99바 1584 / 손태열 기사님 010-3599-2278</t>
    <phoneticPr fontId="2" type="noConversion"/>
  </si>
  <si>
    <t>PCSLSBL602251118</t>
    <phoneticPr fontId="2" type="noConversion"/>
  </si>
  <si>
    <t xml:space="preserve"> ORIENTAL PEARL VIII(DFCL-99) / 3483W</t>
    <phoneticPr fontId="2" type="noConversion"/>
  </si>
  <si>
    <t>PHRU8705184</t>
    <phoneticPr fontId="2" type="noConversion"/>
  </si>
  <si>
    <t>SITJ101842</t>
    <phoneticPr fontId="2" type="noConversion"/>
  </si>
  <si>
    <t xml:space="preserve">인천99아5693 / 박창규 기사님 / 010-3725-1776 </t>
    <phoneticPr fontId="2" type="noConversion"/>
  </si>
  <si>
    <t>DDSIG251126001</t>
    <phoneticPr fontId="2" type="noConversion"/>
  </si>
  <si>
    <t>* ORIENTAL PEARL VIII(DFCL-99) / 3483W / ETA : 12-08 예정</t>
    <phoneticPr fontId="2" type="noConversion"/>
  </si>
  <si>
    <t>계근비DDSIG251126001</t>
    <phoneticPr fontId="2" type="noConversion"/>
  </si>
  <si>
    <t>12,590KG</t>
    <phoneticPr fontId="2" type="noConversion"/>
  </si>
  <si>
    <t>스마트해운항공</t>
    <phoneticPr fontId="2" type="noConversion"/>
  </si>
  <si>
    <t>파야릭</t>
    <phoneticPr fontId="2" type="noConversion"/>
  </si>
  <si>
    <t>경북 경산시 압량읍</t>
    <phoneticPr fontId="2" type="noConversion"/>
  </si>
  <si>
    <t>부산시</t>
    <phoneticPr fontId="2" type="noConversion"/>
  </si>
  <si>
    <t>PP</t>
    <phoneticPr fontId="2" type="noConversion"/>
  </si>
  <si>
    <t>SUNNY ROSE(	KSRO-08) / 2527W</t>
    <phoneticPr fontId="2" type="noConversion"/>
  </si>
  <si>
    <t>WSCU7770870</t>
    <phoneticPr fontId="2" type="noConversion"/>
  </si>
  <si>
    <t>SITA406213</t>
    <phoneticPr fontId="2" type="noConversion"/>
  </si>
  <si>
    <t>충북98바1550 / 010-4112-7233 / 최세진기사</t>
    <phoneticPr fontId="2" type="noConversion"/>
  </si>
  <si>
    <t>KR04269084</t>
    <phoneticPr fontId="2" type="noConversion"/>
  </si>
  <si>
    <t>SOC(베스트CY-부산남구)픽업</t>
    <phoneticPr fontId="2" type="noConversion"/>
  </si>
  <si>
    <t>선반입티켓KR04269084</t>
    <phoneticPr fontId="2" type="noConversion"/>
  </si>
  <si>
    <t>대기료KR04269084</t>
    <phoneticPr fontId="2" type="noConversion"/>
  </si>
  <si>
    <t>야간할증KR04269084</t>
    <phoneticPr fontId="2" type="noConversion"/>
  </si>
  <si>
    <t>빌리언야드</t>
    <phoneticPr fontId="2" type="noConversion"/>
  </si>
  <si>
    <t>경기 용인시 처인구 모현읍</t>
    <phoneticPr fontId="2" type="noConversion"/>
  </si>
  <si>
    <t>POL</t>
  </si>
  <si>
    <t xml:space="preserve">HNKU6307090 </t>
    <phoneticPr fontId="2" type="noConversion"/>
  </si>
  <si>
    <t xml:space="preserve">SITJ101712 </t>
    <phoneticPr fontId="2" type="noConversion"/>
  </si>
  <si>
    <t xml:space="preserve">경기99아5668 / 010-6274-0940 / 한형주기사 </t>
    <phoneticPr fontId="2" type="noConversion"/>
  </si>
  <si>
    <t>PANSEL2512505101</t>
    <phoneticPr fontId="2" type="noConversion"/>
  </si>
  <si>
    <t>윤재훈</t>
  </si>
  <si>
    <t>밥테일 입고 / SOC건 / QECN528783 (픽업) / PANSEL2512505101 (반입)</t>
    <phoneticPr fontId="2" type="noConversion"/>
  </si>
  <si>
    <t>트리</t>
    <phoneticPr fontId="2" type="noConversion"/>
  </si>
  <si>
    <t>경북 경산시 와촌면</t>
    <phoneticPr fontId="2" type="noConversion"/>
  </si>
  <si>
    <t>CKL</t>
    <phoneticPr fontId="2" type="noConversion"/>
  </si>
  <si>
    <t>CKSU4015058</t>
  </si>
  <si>
    <t xml:space="preserve">경북98사8310 / 정영채 기사님 / 010-3816-8747 </t>
  </si>
  <si>
    <t>CKCOXMN0023533</t>
    <phoneticPr fontId="2" type="noConversion"/>
  </si>
  <si>
    <t>대기료CKCOXMN0023533</t>
    <phoneticPr fontId="2" type="noConversion"/>
  </si>
  <si>
    <t>20분 대기</t>
    <phoneticPr fontId="2" type="noConversion"/>
  </si>
  <si>
    <t>GAOU6005130</t>
    <phoneticPr fontId="2" type="noConversion"/>
  </si>
  <si>
    <t>부산98바8701 / 최석장 기사님 / 010-4621-7658</t>
    <phoneticPr fontId="2" type="noConversion"/>
  </si>
  <si>
    <t>보관료CKCOXMN0023533</t>
    <phoneticPr fontId="2" type="noConversion"/>
  </si>
  <si>
    <t>EVER STRONG(STRO-004) / 0126S</t>
    <phoneticPr fontId="2" type="noConversion"/>
  </si>
  <si>
    <t>HMMU4331990</t>
    <phoneticPr fontId="2" type="noConversion"/>
  </si>
  <si>
    <t>25H0272627</t>
    <phoneticPr fontId="2" type="noConversion"/>
  </si>
  <si>
    <t>PUSO17309700</t>
    <phoneticPr fontId="2" type="noConversion"/>
  </si>
  <si>
    <t>선픽업PUSO17309700</t>
    <phoneticPr fontId="2" type="noConversion"/>
  </si>
  <si>
    <t>세컨PUSO17309700</t>
    <phoneticPr fontId="2" type="noConversion"/>
  </si>
  <si>
    <t>수입</t>
  </si>
  <si>
    <t>부산</t>
  </si>
  <si>
    <t>지엘에스코퍼레이션</t>
  </si>
  <si>
    <t>쓰리에이치</t>
  </si>
  <si>
    <t xml:space="preserve">대구 동구 </t>
  </si>
  <si>
    <t>40HC</t>
  </si>
  <si>
    <t>BIT</t>
  </si>
  <si>
    <t>NSL</t>
  </si>
  <si>
    <t>-</t>
  </si>
  <si>
    <t>CICU10141535</t>
    <phoneticPr fontId="2" type="noConversion"/>
  </si>
  <si>
    <t xml:space="preserve">부산98사1564 / 정현영 기사님 / 010-3590-2475 </t>
    <phoneticPr fontId="2" type="noConversion"/>
  </si>
  <si>
    <t>NSSLADLC25K00217</t>
    <phoneticPr fontId="2" type="noConversion"/>
  </si>
  <si>
    <t>에스지로</t>
  </si>
  <si>
    <t>에이앤비글로벌로지스</t>
  </si>
  <si>
    <t>비즈온글로벌</t>
  </si>
  <si>
    <t>경북 칠곡군 지천면</t>
  </si>
  <si>
    <t>FFAU4560583</t>
    <phoneticPr fontId="2" type="noConversion"/>
  </si>
  <si>
    <t>경남99바3512 / 신명기 기사님 / 010-3552-6831</t>
    <phoneticPr fontId="2" type="noConversion"/>
  </si>
  <si>
    <t>CKCOFUG0007138</t>
    <phoneticPr fontId="2" type="noConversion"/>
  </si>
  <si>
    <t>이탁건</t>
  </si>
  <si>
    <t>서플러스</t>
    <phoneticPr fontId="2" type="noConversion"/>
  </si>
  <si>
    <t>경기도 시흥시 정왕동</t>
    <phoneticPr fontId="2" type="noConversion"/>
  </si>
  <si>
    <t>ISARA BHUM(ISBM-35) / 2544W</t>
    <phoneticPr fontId="2" type="noConversion"/>
  </si>
  <si>
    <t xml:space="preserve">DYLU2114689 </t>
    <phoneticPr fontId="2" type="noConversion"/>
  </si>
  <si>
    <t>DYL798291</t>
    <phoneticPr fontId="2" type="noConversion"/>
  </si>
  <si>
    <t>인천84바8018 / 정동원 기사님 / 010-3318-8063</t>
    <phoneticPr fontId="2" type="noConversion"/>
  </si>
  <si>
    <t>KSLU2501035</t>
    <phoneticPr fontId="2" type="noConversion"/>
  </si>
  <si>
    <t>지금무역</t>
    <phoneticPr fontId="2" type="noConversion"/>
  </si>
  <si>
    <t>경기 화성시 마도면</t>
    <phoneticPr fontId="2" type="noConversion"/>
  </si>
  <si>
    <t>40HQ</t>
    <phoneticPr fontId="2" type="noConversion"/>
  </si>
  <si>
    <t>ZHONG SHENG TUO HAI(KZTH-39) / 2537S</t>
    <phoneticPr fontId="2" type="noConversion"/>
  </si>
  <si>
    <t>DYLU5146205</t>
    <phoneticPr fontId="2" type="noConversion"/>
  </si>
  <si>
    <t>DYL808355</t>
    <phoneticPr fontId="2" type="noConversion"/>
  </si>
  <si>
    <t>인천99아8914 / 박춘일 기사님 / 010-5525-6656</t>
    <phoneticPr fontId="2" type="noConversion"/>
  </si>
  <si>
    <t>KSLU2501352</t>
    <phoneticPr fontId="2" type="noConversion"/>
  </si>
  <si>
    <t>캔슬 / 캔슬비 190,000+상하차료  90,000</t>
    <phoneticPr fontId="2" type="noConversion"/>
  </si>
  <si>
    <t xml:space="preserve">FFAU4980009 </t>
    <phoneticPr fontId="2" type="noConversion"/>
  </si>
  <si>
    <t>DYL808169</t>
    <phoneticPr fontId="2" type="noConversion"/>
  </si>
  <si>
    <t>인천99사1159 / 권홍택 기사님 / 010-8480-3252</t>
    <phoneticPr fontId="2" type="noConversion"/>
  </si>
  <si>
    <t>20OT</t>
    <phoneticPr fontId="2" type="noConversion"/>
  </si>
  <si>
    <t>TEXU1054741</t>
    <phoneticPr fontId="2" type="noConversion"/>
  </si>
  <si>
    <t>073675</t>
    <phoneticPr fontId="2" type="noConversion"/>
  </si>
  <si>
    <t>인천99아7619 / 이필호 사장님 / 010-5476-3785</t>
    <phoneticPr fontId="2" type="noConversion"/>
  </si>
  <si>
    <t xml:space="preserve">KSLU2501353 </t>
    <phoneticPr fontId="2" type="noConversion"/>
  </si>
  <si>
    <t>캔슬 / 캔슬비 500,000+상하차료 60,000</t>
    <phoneticPr fontId="2" type="noConversion"/>
  </si>
  <si>
    <t>동화</t>
    <phoneticPr fontId="2" type="noConversion"/>
  </si>
  <si>
    <t>니프코 울산(안산공장)</t>
    <phoneticPr fontId="2" type="noConversion"/>
  </si>
  <si>
    <t>경기도 안산시 단원구 신길동</t>
    <phoneticPr fontId="2" type="noConversion"/>
  </si>
  <si>
    <t>DGT</t>
    <phoneticPr fontId="2" type="noConversion"/>
  </si>
  <si>
    <t>TIGER CHENNAI(TCHN-09) / W509</t>
  </si>
  <si>
    <t>WHSU0140903</t>
    <phoneticPr fontId="2" type="noConversion"/>
  </si>
  <si>
    <t>WHA1790270</t>
    <phoneticPr fontId="2" type="noConversion"/>
  </si>
  <si>
    <t>경남99사3924 / 박수영 기사님님/ 010-8893-6804</t>
    <phoneticPr fontId="2" type="noConversion"/>
  </si>
  <si>
    <t>005FX31668</t>
    <phoneticPr fontId="2" type="noConversion"/>
  </si>
  <si>
    <t>공만차계근</t>
    <phoneticPr fontId="2" type="noConversion"/>
  </si>
  <si>
    <t>천일</t>
    <phoneticPr fontId="2" type="noConversion"/>
  </si>
  <si>
    <t>인천픽업005FX31668</t>
    <phoneticPr fontId="2" type="noConversion"/>
  </si>
  <si>
    <t>계근005FX31668</t>
    <phoneticPr fontId="2" type="noConversion"/>
  </si>
  <si>
    <t>WHSU2816432</t>
    <phoneticPr fontId="2" type="noConversion"/>
  </si>
  <si>
    <t>WHA1790203</t>
    <phoneticPr fontId="2" type="noConversion"/>
  </si>
  <si>
    <t>경남99바8832 / 백승훈 기사님 / 010-8701-2624</t>
    <phoneticPr fontId="2" type="noConversion"/>
  </si>
  <si>
    <t>인천 픽업 005FX31668</t>
    <phoneticPr fontId="2" type="noConversion"/>
  </si>
  <si>
    <t>ZHONG SHENG TUO HAI (KZTH-39) / 2537S</t>
    <phoneticPr fontId="2" type="noConversion"/>
  </si>
  <si>
    <t xml:space="preserve">KMTU9303454 </t>
  </si>
  <si>
    <t xml:space="preserve">KSC600915 </t>
    <phoneticPr fontId="2" type="noConversion"/>
  </si>
  <si>
    <t>인천98바4894 / 김성주 기사님 / 010-2309-2726</t>
    <phoneticPr fontId="2" type="noConversion"/>
  </si>
  <si>
    <t>KR04270653</t>
    <phoneticPr fontId="2" type="noConversion"/>
  </si>
  <si>
    <t>APEO 오일건 / ABT.24톤 / 계근 / 서류마감 13시</t>
    <phoneticPr fontId="2" type="noConversion"/>
  </si>
  <si>
    <t>중량할증KR04270653</t>
    <phoneticPr fontId="2" type="noConversion"/>
  </si>
  <si>
    <t>PNC</t>
    <phoneticPr fontId="2" type="noConversion"/>
  </si>
  <si>
    <t>ONE</t>
    <phoneticPr fontId="2" type="noConversion"/>
  </si>
  <si>
    <t>ESL WAFA(ELWF-008) / 2550W</t>
    <phoneticPr fontId="2" type="noConversion"/>
  </si>
  <si>
    <t xml:space="preserve">DFSU2316877 </t>
    <phoneticPr fontId="2" type="noConversion"/>
  </si>
  <si>
    <t>KRAW11464</t>
    <phoneticPr fontId="2" type="noConversion"/>
  </si>
  <si>
    <t>부산99사5592 / 김인종 기사님 / 010-3404-4881</t>
    <phoneticPr fontId="2" type="noConversion"/>
  </si>
  <si>
    <t>SELFL0640800</t>
    <phoneticPr fontId="2" type="noConversion"/>
  </si>
  <si>
    <t>선픽업건</t>
    <phoneticPr fontId="2" type="noConversion"/>
  </si>
  <si>
    <t>부산99사5592 / 김인종 기사님 / 010-3404-4881</t>
  </si>
  <si>
    <t>선픽업SELFL0640800</t>
    <phoneticPr fontId="2" type="noConversion"/>
  </si>
  <si>
    <t>선픽업건 / 장비 6만원+셔틀2만원+보관 2만원</t>
    <phoneticPr fontId="2" type="noConversion"/>
  </si>
  <si>
    <t xml:space="preserve">HEUNG-A JANICE(HAJN-45) / </t>
    <phoneticPr fontId="2" type="noConversion"/>
  </si>
  <si>
    <t>HLHU8478420</t>
    <phoneticPr fontId="2" type="noConversion"/>
  </si>
  <si>
    <t>HAL189602</t>
    <phoneticPr fontId="2" type="noConversion"/>
  </si>
  <si>
    <t>98나3313 / 심규진 기사님 / 010-2335-8564</t>
    <phoneticPr fontId="2" type="noConversion"/>
  </si>
  <si>
    <t>HASLK02251101599</t>
    <phoneticPr fontId="2" type="noConversion"/>
  </si>
  <si>
    <t>쿠쿠전자2공장</t>
    <phoneticPr fontId="2" type="noConversion"/>
  </si>
  <si>
    <t>SKHU6458566</t>
    <phoneticPr fontId="2" type="noConversion"/>
  </si>
  <si>
    <t>HAL206980</t>
    <phoneticPr fontId="2" type="noConversion"/>
  </si>
  <si>
    <t>98나 3313 / 심규진 기사님 / 010-2335-8564</t>
    <phoneticPr fontId="2" type="noConversion"/>
  </si>
  <si>
    <t>TEMU6102793</t>
    <phoneticPr fontId="2" type="noConversion"/>
  </si>
  <si>
    <t>인천99아8470 / 홍순진 기사님 / 010-5665-3174</t>
    <phoneticPr fontId="2" type="noConversion"/>
  </si>
  <si>
    <t>COAU7262997340</t>
    <phoneticPr fontId="2" type="noConversion"/>
  </si>
  <si>
    <t xml:space="preserve">리즈밴 확인하기 / 김군환이사님 / </t>
    <phoneticPr fontId="2" type="noConversion"/>
  </si>
  <si>
    <t>CSNU8721976</t>
    <phoneticPr fontId="2" type="noConversion"/>
  </si>
  <si>
    <t>강원98바1210 / 김종수 기사님 / 010-3503-1215</t>
    <phoneticPr fontId="2" type="noConversion"/>
  </si>
  <si>
    <t xml:space="preserve">김군환이사님 / </t>
    <phoneticPr fontId="2" type="noConversion"/>
  </si>
  <si>
    <t>여명벽지</t>
    <phoneticPr fontId="2" type="noConversion"/>
  </si>
  <si>
    <t>경기 평택시 청북읍</t>
    <phoneticPr fontId="2" type="noConversion"/>
  </si>
  <si>
    <t>ONE INFINITY(OITY-003) / 0008W</t>
    <phoneticPr fontId="2" type="noConversion"/>
  </si>
  <si>
    <t>ONEU2841857</t>
    <phoneticPr fontId="2" type="noConversion"/>
  </si>
  <si>
    <t>KRAR88466</t>
    <phoneticPr fontId="2" type="noConversion"/>
  </si>
  <si>
    <t>경기99바1160 / 박범구 기사님 / 010-5245-6584</t>
  </si>
  <si>
    <t>SELFL2750500</t>
    <phoneticPr fontId="2" type="noConversion"/>
  </si>
  <si>
    <t>선픽업SELFL2750500</t>
    <phoneticPr fontId="2" type="noConversion"/>
  </si>
  <si>
    <t>선반입권SELFL2750500</t>
    <phoneticPr fontId="2" type="noConversion"/>
  </si>
  <si>
    <t>건화이엔지</t>
    <phoneticPr fontId="2" type="noConversion"/>
  </si>
  <si>
    <t xml:space="preserve">경북 경산시 진량읍 공단 5로 13 </t>
    <phoneticPr fontId="2" type="noConversion"/>
  </si>
  <si>
    <t>경산</t>
    <phoneticPr fontId="2" type="noConversion"/>
  </si>
  <si>
    <t>부산강서</t>
  </si>
  <si>
    <t>5톤</t>
    <phoneticPr fontId="2" type="noConversion"/>
  </si>
  <si>
    <t>* 1040*1040*1250 10PLT + 1100*1100*650 6PLT + 1100*1100*650 1PLT</t>
  </si>
  <si>
    <t>부산95아7137 / 김정동 기사님 / 010-8871-4161</t>
  </si>
  <si>
    <t>SELFK3652600</t>
    <phoneticPr fontId="2" type="noConversion"/>
  </si>
  <si>
    <t>12/8 14시 상차 / 12/9 하차</t>
    <phoneticPr fontId="2" type="noConversion"/>
  </si>
  <si>
    <t>* 1040*1040*1250 10PLT</t>
  </si>
  <si>
    <t>경북87바2306 / 오창수 기사님 / 010-6666-3121</t>
    <phoneticPr fontId="2" type="noConversion"/>
  </si>
  <si>
    <t>2번SELFK3652600</t>
    <phoneticPr fontId="2" type="noConversion"/>
  </si>
  <si>
    <t>11톤</t>
    <phoneticPr fontId="2" type="noConversion"/>
  </si>
  <si>
    <t>*1150*1160*960 14PLT + 1020*1220*1490 2PLT</t>
    <phoneticPr fontId="2" type="noConversion"/>
  </si>
  <si>
    <t>경남 82사 6776 / 권영석 기사님 / 0100-9399-3367</t>
    <phoneticPr fontId="2" type="noConversion"/>
  </si>
  <si>
    <t>3번SELFK3652600</t>
    <phoneticPr fontId="2" type="noConversion"/>
  </si>
  <si>
    <t>가구느낌</t>
  </si>
  <si>
    <t>NSSU7157726</t>
    <phoneticPr fontId="2" type="noConversion"/>
  </si>
  <si>
    <t>NSSLATXG5K00575</t>
    <phoneticPr fontId="2" type="noConversion"/>
  </si>
  <si>
    <t>메이커빌</t>
    <phoneticPr fontId="2" type="noConversion"/>
  </si>
  <si>
    <t>경기도 부천시 부천로 246번길 33</t>
    <phoneticPr fontId="2" type="noConversion"/>
  </si>
  <si>
    <t>PACIFIC MONACO</t>
    <phoneticPr fontId="2" type="noConversion"/>
  </si>
  <si>
    <t>PCLU5257531</t>
    <phoneticPr fontId="2" type="noConversion"/>
  </si>
  <si>
    <t>854869</t>
    <phoneticPr fontId="2" type="noConversion"/>
  </si>
  <si>
    <t>부산98사2806 / 010-5621-0500</t>
    <phoneticPr fontId="2" type="noConversion"/>
  </si>
  <si>
    <t>PUS03548633</t>
    <phoneticPr fontId="2" type="noConversion"/>
  </si>
  <si>
    <t>최미영</t>
    <phoneticPr fontId="2" type="noConversion"/>
  </si>
  <si>
    <t>씨제이</t>
    <phoneticPr fontId="2" type="noConversion"/>
  </si>
  <si>
    <t>앱티브</t>
    <phoneticPr fontId="2" type="noConversion"/>
  </si>
  <si>
    <t>충남 아산시 둔포면</t>
    <phoneticPr fontId="2" type="noConversion"/>
  </si>
  <si>
    <t>부산강서</t>
    <phoneticPr fontId="2" type="noConversion"/>
  </si>
  <si>
    <t>pp</t>
    <phoneticPr fontId="2" type="noConversion"/>
  </si>
  <si>
    <t>아산</t>
    <phoneticPr fontId="2" type="noConversion"/>
  </si>
  <si>
    <t>11톤 윙바디</t>
    <phoneticPr fontId="2" type="noConversion"/>
  </si>
  <si>
    <t xml:space="preserve"> / 경남83아3230 / 백명재 기사님 /  010-8441-8782</t>
    <phoneticPr fontId="2" type="noConversion"/>
  </si>
  <si>
    <t>EASPH2549SB6028</t>
    <phoneticPr fontId="2" type="noConversion"/>
  </si>
  <si>
    <t>고래마린</t>
    <phoneticPr fontId="2" type="noConversion"/>
  </si>
  <si>
    <t>충청남도 공주시 검상동</t>
    <phoneticPr fontId="2" type="noConversion"/>
  </si>
  <si>
    <t>dws</t>
    <phoneticPr fontId="2" type="noConversion"/>
  </si>
  <si>
    <t>CBLU1107647</t>
    <phoneticPr fontId="2" type="noConversion"/>
  </si>
  <si>
    <t>DOLPQD2547E202</t>
    <phoneticPr fontId="2" type="noConversion"/>
  </si>
  <si>
    <t>충청북도 음성군 음성읍 신용로 56-20</t>
    <phoneticPr fontId="2" type="noConversion"/>
  </si>
  <si>
    <t>인천공항</t>
    <phoneticPr fontId="2" type="noConversion"/>
  </si>
  <si>
    <t>1톤</t>
    <phoneticPr fontId="2" type="noConversion"/>
  </si>
  <si>
    <t>경기92바7976 / 정상권 / 010-3462-2707</t>
    <phoneticPr fontId="2" type="noConversion"/>
  </si>
  <si>
    <t>주재원화물박스</t>
    <phoneticPr fontId="2" type="noConversion"/>
  </si>
  <si>
    <t>로지스팟</t>
    <phoneticPr fontId="2" type="noConversion"/>
  </si>
  <si>
    <t xml:space="preserve">SM YANTIAN / 2508E </t>
    <phoneticPr fontId="2" type="noConversion"/>
  </si>
  <si>
    <t>CAIU9951677</t>
    <phoneticPr fontId="2" type="noConversion"/>
  </si>
  <si>
    <t>SM887500</t>
    <phoneticPr fontId="2" type="noConversion"/>
  </si>
  <si>
    <t>부산98사 2919 / 기태진 기사님 / 010-4225-0504</t>
  </si>
  <si>
    <t>SEL5M0664500</t>
    <phoneticPr fontId="2" type="noConversion"/>
  </si>
  <si>
    <t>디에스아이</t>
    <phoneticPr fontId="2" type="noConversion"/>
  </si>
  <si>
    <t>FCIU7146105</t>
    <phoneticPr fontId="2" type="noConversion"/>
  </si>
  <si>
    <t>인천98자4481 / 박영남 기사님 / 010-3799-8034</t>
    <phoneticPr fontId="2" type="noConversion"/>
  </si>
  <si>
    <t>KMTCSHAO894073</t>
    <phoneticPr fontId="2" type="noConversion"/>
  </si>
  <si>
    <t>인천한진</t>
  </si>
  <si>
    <t>NSSU7067617</t>
    <phoneticPr fontId="2" type="noConversion"/>
  </si>
  <si>
    <t>NSSLATXG25K00517</t>
    <phoneticPr fontId="2" type="noConversion"/>
  </si>
  <si>
    <t>1공장</t>
    <phoneticPr fontId="2" type="noConversion"/>
  </si>
  <si>
    <t>경기도 고양시 일산동구 성석동</t>
    <phoneticPr fontId="2" type="noConversion"/>
  </si>
  <si>
    <t>* PANCON SUNSHINE / 2521W</t>
  </si>
  <si>
    <t>BSIU9406148</t>
    <phoneticPr fontId="2" type="noConversion"/>
  </si>
  <si>
    <t>R8740428</t>
    <phoneticPr fontId="2" type="noConversion"/>
  </si>
  <si>
    <t>부산99사3894 / 옥재성 기사님 / 010-2988-7831</t>
    <phoneticPr fontId="2" type="noConversion"/>
  </si>
  <si>
    <t>PUS25L00232</t>
    <phoneticPr fontId="2" type="noConversion"/>
  </si>
  <si>
    <t>SOC 픽업 : SALES-35669 / 부산계근</t>
    <phoneticPr fontId="2" type="noConversion"/>
  </si>
  <si>
    <t>선반입권PUS25L00232</t>
    <phoneticPr fontId="2" type="noConversion"/>
  </si>
  <si>
    <t>교범해운항공</t>
    <phoneticPr fontId="2" type="noConversion"/>
  </si>
  <si>
    <t>코오롱</t>
    <phoneticPr fontId="2" type="noConversion"/>
  </si>
  <si>
    <t>울산 북구 중산산업 1길 6(중산동)</t>
    <phoneticPr fontId="2" type="noConversion"/>
  </si>
  <si>
    <t>NSSU7139276</t>
    <phoneticPr fontId="2" type="noConversion"/>
  </si>
  <si>
    <t>부산99바9832 / 여인헌 기사님 / 010-9968-9356</t>
  </si>
  <si>
    <t>NSSLSNBSC2500454</t>
    <phoneticPr fontId="2" type="noConversion"/>
  </si>
  <si>
    <t>PCTC</t>
    <phoneticPr fontId="2" type="noConversion"/>
  </si>
  <si>
    <t>PEGASUS PROTO</t>
    <phoneticPr fontId="2" type="noConversion"/>
  </si>
  <si>
    <t>DJLU2188150</t>
    <phoneticPr fontId="2" type="noConversion"/>
  </si>
  <si>
    <t>C81730</t>
    <phoneticPr fontId="2" type="noConversion"/>
  </si>
  <si>
    <t>3 COIL, 1BOX / 20,960</t>
    <phoneticPr fontId="2" type="noConversion"/>
  </si>
  <si>
    <t>DJSCPTK250001787</t>
    <phoneticPr fontId="2" type="noConversion"/>
  </si>
  <si>
    <t>다원로직</t>
    <phoneticPr fontId="2" type="noConversion"/>
  </si>
  <si>
    <t>PEGASUS PROTO</t>
  </si>
  <si>
    <t>DJLU2150031</t>
    <phoneticPr fontId="2" type="noConversion"/>
  </si>
  <si>
    <t>C81729</t>
    <phoneticPr fontId="2" type="noConversion"/>
  </si>
  <si>
    <t>7'COIL
20,992</t>
    <phoneticPr fontId="2" type="noConversion"/>
  </si>
  <si>
    <t>DJLU2188150, DJLU2150031</t>
    <phoneticPr fontId="2" type="noConversion"/>
  </si>
  <si>
    <t>실화주</t>
    <phoneticPr fontId="2" type="noConversion"/>
  </si>
  <si>
    <t>경남 양산시 충렬로 143(유산동)</t>
    <phoneticPr fontId="2" type="noConversion"/>
  </si>
  <si>
    <t>HEUNG-A JANICE / 2545W</t>
    <phoneticPr fontId="2" type="noConversion"/>
  </si>
  <si>
    <t>HLHU8369178</t>
    <phoneticPr fontId="2" type="noConversion"/>
  </si>
  <si>
    <t>HAL206797</t>
    <phoneticPr fontId="2" type="noConversion"/>
  </si>
  <si>
    <t>경북99아3415 / 김형갑 기사님 / 010-2780-4301</t>
    <phoneticPr fontId="2" type="noConversion"/>
  </si>
  <si>
    <t>전남 장성군 남면 나노산단로 55</t>
    <phoneticPr fontId="2" type="noConversion"/>
  </si>
  <si>
    <t>HEUNG-A JANICE (HAJN-45) 2545W</t>
    <phoneticPr fontId="2" type="noConversion"/>
  </si>
  <si>
    <t>DFSU7680752</t>
    <phoneticPr fontId="2" type="noConversion"/>
  </si>
  <si>
    <t>HAL206894</t>
    <phoneticPr fontId="2" type="noConversion"/>
  </si>
  <si>
    <t>충북98바1550 / 010-4112-7233 / 최세진기사님</t>
    <phoneticPr fontId="2" type="noConversion"/>
  </si>
  <si>
    <t>HASLK02251200496</t>
    <phoneticPr fontId="2" type="noConversion"/>
  </si>
  <si>
    <t>대전 유성구 테크노2로 153(용산동) 제이오텍</t>
    <phoneticPr fontId="2" type="noConversion"/>
  </si>
  <si>
    <t>COSCO SHIPPING CAMELLIA (CSCM-005) / 030E</t>
    <phoneticPr fontId="2" type="noConversion"/>
  </si>
  <si>
    <t xml:space="preserve">BEAU5576845 </t>
    <phoneticPr fontId="2" type="noConversion"/>
  </si>
  <si>
    <t>28553519</t>
    <phoneticPr fontId="2" type="noConversion"/>
  </si>
  <si>
    <t>울산99바1767 / 010-3867-9941 / 박종수 기사님</t>
    <phoneticPr fontId="2" type="noConversion"/>
  </si>
  <si>
    <t>6437482980</t>
    <phoneticPr fontId="2" type="noConversion"/>
  </si>
  <si>
    <t>선반입권6437482980</t>
    <phoneticPr fontId="2" type="noConversion"/>
  </si>
  <si>
    <t>5일권</t>
    <phoneticPr fontId="2" type="noConversion"/>
  </si>
  <si>
    <t>멀티미디어</t>
    <phoneticPr fontId="2" type="noConversion"/>
  </si>
  <si>
    <t>경기도 의왕시 오전공업길 19. 812호( 오전동, 대현테크노월드)</t>
  </si>
  <si>
    <t>PHRU2701915</t>
    <phoneticPr fontId="2" type="noConversion"/>
  </si>
  <si>
    <t>경기90아6436 / 이운도 기사님 / 010-3595-6063</t>
  </si>
  <si>
    <t>DJSCSHA250012999</t>
    <phoneticPr fontId="2" type="noConversion"/>
  </si>
  <si>
    <t>리라홈</t>
    <phoneticPr fontId="2" type="noConversion"/>
  </si>
  <si>
    <t>경기 부천시 오정구 오정로95번길 66 (내동)</t>
    <phoneticPr fontId="2" type="noConversion"/>
  </si>
  <si>
    <t>SEKU6623700</t>
    <phoneticPr fontId="2" type="noConversion"/>
  </si>
  <si>
    <t>경기98아6388 / 곽석진 기사님 / 010-6687-6263</t>
    <phoneticPr fontId="2" type="noConversion"/>
  </si>
  <si>
    <t>PCSLNIL797251129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</si>
  <si>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구항 요율 확인해야함</t>
    </r>
    <r>
      <rPr>
        <sz val="10"/>
        <color theme="1"/>
        <rFont val="맑은 고딕"/>
        <family val="3"/>
        <charset val="129"/>
        <scheme val="minor"/>
      </rPr>
      <t xml:space="preserve"> // 상세주소 : 부천내동복합물류센터 9층(로지쓰리3PL) </t>
    </r>
    <phoneticPr fontId="2" type="noConversion"/>
  </si>
  <si>
    <t>MAERSK CAP JERVIS ( MJRV-006) / 550S</t>
    <phoneticPr fontId="2" type="noConversion"/>
  </si>
  <si>
    <t>MSKU5414570</t>
    <phoneticPr fontId="2" type="noConversion"/>
  </si>
  <si>
    <t>KR1037588</t>
    <phoneticPr fontId="2" type="noConversion"/>
  </si>
  <si>
    <t>경기 99바1135 / 김동순 기사님 / 010-3726-2338</t>
  </si>
  <si>
    <t>262864864</t>
    <phoneticPr fontId="2" type="noConversion"/>
  </si>
  <si>
    <t>VSA부품</t>
    <phoneticPr fontId="2" type="noConversion"/>
  </si>
  <si>
    <t>경북 칠곡군지천면 금호로 298</t>
    <phoneticPr fontId="2" type="noConversion"/>
  </si>
  <si>
    <t>FTAU1069568</t>
    <phoneticPr fontId="2" type="noConversion"/>
  </si>
  <si>
    <t>부산99바1114 / 김성태 기사님 / 010-5536-3417</t>
    <phoneticPr fontId="2" type="noConversion"/>
  </si>
  <si>
    <t>KMTCSHKA242439</t>
    <phoneticPr fontId="2" type="noConversion"/>
  </si>
  <si>
    <t>케이엠텍</t>
    <phoneticPr fontId="2" type="noConversion"/>
  </si>
  <si>
    <t>충북 음성 삼성면 금율로 389번길 17-21 플라스틱과 사람들</t>
    <phoneticPr fontId="2" type="noConversion"/>
  </si>
  <si>
    <t>ECMU7233399</t>
    <phoneticPr fontId="2" type="noConversion"/>
  </si>
  <si>
    <t>인천99아7432 / 이봉길 기사님 / 010-5277-5963</t>
    <phoneticPr fontId="2" type="noConversion"/>
  </si>
  <si>
    <t>DOH0156807</t>
    <phoneticPr fontId="2" type="noConversion"/>
  </si>
  <si>
    <t>중량할증</t>
    <phoneticPr fontId="2" type="noConversion"/>
  </si>
  <si>
    <t>중량DOH0156807</t>
    <phoneticPr fontId="2" type="noConversion"/>
  </si>
  <si>
    <t>충북 청주시 오창읍 농소리 96-23</t>
    <phoneticPr fontId="2" type="noConversion"/>
  </si>
  <si>
    <t>CMAU6813110</t>
    <phoneticPr fontId="2" type="noConversion"/>
  </si>
  <si>
    <t>인천98아8502 / 김지용 기사님 / 010-9724-0309</t>
    <phoneticPr fontId="2" type="noConversion"/>
  </si>
  <si>
    <t>DOH0156809</t>
    <phoneticPr fontId="2" type="noConversion"/>
  </si>
  <si>
    <t>중량DOH0156809</t>
    <phoneticPr fontId="2" type="noConversion"/>
  </si>
  <si>
    <t>밥테일 회수 / SOC건 / QECN528783 (픽업) / PANSEL2512505101 (반입)</t>
    <phoneticPr fontId="2" type="noConversion"/>
  </si>
  <si>
    <t>계근비PANSEL2512505101</t>
    <phoneticPr fontId="2" type="noConversion"/>
  </si>
  <si>
    <t>니프코코리아</t>
    <phoneticPr fontId="2" type="noConversion"/>
  </si>
  <si>
    <t>TIGER CHENNAI(TCHN-009) /  2509W</t>
    <phoneticPr fontId="2" type="noConversion"/>
  </si>
  <si>
    <t xml:space="preserve">WHSU6424403 </t>
    <phoneticPr fontId="2" type="noConversion"/>
  </si>
  <si>
    <t>WHA1203565</t>
    <phoneticPr fontId="2" type="noConversion"/>
  </si>
  <si>
    <t>005FX31661</t>
    <phoneticPr fontId="2" type="noConversion"/>
  </si>
  <si>
    <t>계근 005FX31661</t>
    <phoneticPr fontId="2" type="noConversion"/>
  </si>
  <si>
    <t>코오롱인더스트리</t>
    <phoneticPr fontId="2" type="noConversion"/>
  </si>
  <si>
    <t>충남 천안시 서북구 입장면</t>
    <phoneticPr fontId="2" type="noConversion"/>
  </si>
  <si>
    <t>NSSU7121240</t>
    <phoneticPr fontId="2" type="noConversion"/>
  </si>
  <si>
    <t>울산99바4459 / 조대식 기사님 / 010-9501-3831</t>
    <phoneticPr fontId="2" type="noConversion"/>
  </si>
  <si>
    <t>NSSLNMNPC2500267</t>
    <phoneticPr fontId="2" type="noConversion"/>
  </si>
  <si>
    <t>11/21 선반출 후 보관건 / 경과보관료, 반납기한경과료 대납</t>
    <phoneticPr fontId="2" type="noConversion"/>
  </si>
  <si>
    <t>반납기한경과료NSSLNMNPC2500267</t>
    <phoneticPr fontId="2" type="noConversion"/>
  </si>
  <si>
    <t>정다운 나주</t>
    <phoneticPr fontId="2" type="noConversion"/>
  </si>
  <si>
    <t>SUNNY LAUREL(KSLR022)/2522S</t>
    <phoneticPr fontId="2" type="noConversion"/>
  </si>
  <si>
    <t>FFAU3968930</t>
    <phoneticPr fontId="2" type="noConversion"/>
  </si>
  <si>
    <t>KSC573642</t>
    <phoneticPr fontId="2" type="noConversion"/>
  </si>
  <si>
    <t>경기99바9786 / 이경모 기사님 / 010-2312-4235</t>
    <phoneticPr fontId="2" type="noConversion"/>
  </si>
  <si>
    <t>KR04264839</t>
    <phoneticPr fontId="2" type="noConversion"/>
  </si>
  <si>
    <t>10일에 두대 다 넣고 10시에 씰채움</t>
    <phoneticPr fontId="2" type="noConversion"/>
  </si>
  <si>
    <t>BEAU4923493</t>
    <phoneticPr fontId="2" type="noConversion"/>
  </si>
  <si>
    <t>KSC579041</t>
    <phoneticPr fontId="2" type="noConversion"/>
  </si>
  <si>
    <t>신혁산업</t>
    <phoneticPr fontId="2" type="noConversion"/>
  </si>
  <si>
    <t>경남 김해시 진영읍</t>
    <phoneticPr fontId="2" type="noConversion"/>
  </si>
  <si>
    <t>경기93자6982  / 최형국 / 010-3760-6566</t>
    <phoneticPr fontId="2" type="noConversion"/>
  </si>
  <si>
    <t>TJCNJX-L1-2512-1</t>
    <phoneticPr fontId="2" type="noConversion"/>
  </si>
  <si>
    <t xml:space="preserve">BKG . HSLI010251200023 / </t>
    <phoneticPr fontId="2" type="noConversion"/>
  </si>
  <si>
    <t>성락</t>
    <phoneticPr fontId="2" type="noConversion"/>
  </si>
  <si>
    <t>경기도 광명시 금오로 756(옥길동)</t>
    <phoneticPr fontId="2" type="noConversion"/>
  </si>
  <si>
    <t>CNC</t>
    <phoneticPr fontId="2" type="noConversion"/>
  </si>
  <si>
    <t>ST. MARY(CNTM-001) / 0XSONS1NC</t>
    <phoneticPr fontId="2" type="noConversion"/>
  </si>
  <si>
    <t>TCNU6362255</t>
    <phoneticPr fontId="2" type="noConversion"/>
  </si>
  <si>
    <t>R8740059</t>
    <phoneticPr fontId="2" type="noConversion"/>
  </si>
  <si>
    <t>인천98바9802 / 김형준 기사님 / 010-4799-2706</t>
    <phoneticPr fontId="2" type="noConversion"/>
  </si>
  <si>
    <t>AFW0276525</t>
    <phoneticPr fontId="2" type="noConversion"/>
  </si>
  <si>
    <t>대기료AFW0276525</t>
    <phoneticPr fontId="2" type="noConversion"/>
  </si>
  <si>
    <t>삼양케이씨아이</t>
    <phoneticPr fontId="2" type="noConversion"/>
  </si>
  <si>
    <t>충남 서산시 대산읍</t>
    <phoneticPr fontId="2" type="noConversion"/>
  </si>
  <si>
    <t>ZIM</t>
    <phoneticPr fontId="2" type="noConversion"/>
  </si>
  <si>
    <t>ZIM RUBY(ZZR3-002) / 7/W</t>
    <phoneticPr fontId="2" type="noConversion"/>
  </si>
  <si>
    <t>HLHU8573772</t>
    <phoneticPr fontId="2" type="noConversion"/>
  </si>
  <si>
    <t>HAL133285</t>
    <phoneticPr fontId="2" type="noConversion"/>
  </si>
  <si>
    <t xml:space="preserve">ZIMUSEL71194085 </t>
    <phoneticPr fontId="2" type="noConversion"/>
  </si>
  <si>
    <t xml:space="preserve">선반입권ZIMUSEL71194085 </t>
    <phoneticPr fontId="2" type="noConversion"/>
  </si>
  <si>
    <t>선반입권 3일권</t>
    <phoneticPr fontId="2" type="noConversion"/>
  </si>
  <si>
    <t>BEN</t>
    <phoneticPr fontId="2" type="noConversion"/>
  </si>
  <si>
    <t>BEAU4732619</t>
    <phoneticPr fontId="2" type="noConversion"/>
  </si>
  <si>
    <t>인천98바4109 / 김영규 기사님 / 010-8242-5110</t>
    <phoneticPr fontId="2" type="noConversion"/>
  </si>
  <si>
    <t>CULVXMN2501830</t>
    <phoneticPr fontId="2" type="noConversion"/>
  </si>
  <si>
    <t>김군환이사님 / 2025.12.10(수) 08:30
화주 : 바스엔
BL : CULVXMN2501830
CON : BEAU4732619 &gt; 해당 컨만 진행
인천 서구 원당대로 395-99 / 이진완과장님  010-9355-8283
금일만기건으로 금일 반출 부탁드립니다~</t>
    <phoneticPr fontId="2" type="noConversion"/>
  </si>
  <si>
    <t>포켄스</t>
    <phoneticPr fontId="2" type="noConversion"/>
  </si>
  <si>
    <t>경기도 안성시 공단2로 100(신소현동)</t>
    <phoneticPr fontId="2" type="noConversion"/>
  </si>
  <si>
    <t>HEUNG-A XIAMEN(HAXM-41) / 2549S</t>
    <phoneticPr fontId="2" type="noConversion"/>
  </si>
  <si>
    <t>경기98자1767 / 임흥섭 기사님 / 010-3523-9644</t>
    <phoneticPr fontId="2" type="noConversion"/>
  </si>
  <si>
    <t>HASLK02251101185</t>
    <phoneticPr fontId="2" type="noConversion"/>
  </si>
  <si>
    <t>계근비HASLK02251101185</t>
    <phoneticPr fontId="2" type="noConversion"/>
  </si>
  <si>
    <t>진텍</t>
    <phoneticPr fontId="2" type="noConversion"/>
  </si>
  <si>
    <t>인천 서구 로봇랜드로 249번길 132(청라동)</t>
    <phoneticPr fontId="2" type="noConversion"/>
  </si>
  <si>
    <t>RCL</t>
    <phoneticPr fontId="2" type="noConversion"/>
  </si>
  <si>
    <t>OOCL LUXEMBOURG(OOLU-00) / 122W</t>
    <phoneticPr fontId="2" type="noConversion"/>
  </si>
  <si>
    <t>CAIU9602865</t>
    <phoneticPr fontId="2" type="noConversion"/>
  </si>
  <si>
    <t>KRPUS2405785</t>
    <phoneticPr fontId="2" type="noConversion"/>
  </si>
  <si>
    <t>경기99아6138 / 변재흥 기사님 / 010-6340-5088</t>
    <phoneticPr fontId="2" type="noConversion"/>
  </si>
  <si>
    <t>BBUSC25011618</t>
    <phoneticPr fontId="2" type="noConversion"/>
  </si>
  <si>
    <t>인천픽업BBUSC25011618</t>
    <phoneticPr fontId="2" type="noConversion"/>
  </si>
  <si>
    <t>REGU5241884</t>
    <phoneticPr fontId="2" type="noConversion"/>
  </si>
  <si>
    <t>경기98자1689 / 서민호 기사님 / 010-5380-4551</t>
    <phoneticPr fontId="2" type="noConversion"/>
  </si>
  <si>
    <t>SEGU1507679</t>
    <phoneticPr fontId="2" type="noConversion"/>
  </si>
  <si>
    <t>KRPUS2405784</t>
    <phoneticPr fontId="2" type="noConversion"/>
  </si>
  <si>
    <t>부산99사5355 / 안병기 기사님 / 010-8907-3242</t>
    <phoneticPr fontId="2" type="noConversion"/>
  </si>
  <si>
    <t>경남 양산시 유산공단2길 14</t>
    <phoneticPr fontId="2" type="noConversion"/>
  </si>
  <si>
    <t>HEUNG-A JANICE (HAJN-45) / 2545W</t>
    <phoneticPr fontId="2" type="noConversion"/>
  </si>
  <si>
    <t>TEMU8650625</t>
    <phoneticPr fontId="2" type="noConversion"/>
  </si>
  <si>
    <t>HAL183494</t>
    <phoneticPr fontId="2" type="noConversion"/>
  </si>
  <si>
    <t>쿠쿠전자1공장</t>
    <phoneticPr fontId="2" type="noConversion"/>
  </si>
  <si>
    <t>HLHU8492916</t>
    <phoneticPr fontId="2" type="noConversion"/>
  </si>
  <si>
    <t>HAL214589</t>
    <phoneticPr fontId="2" type="noConversion"/>
  </si>
  <si>
    <t>부산99바6576 / 서문덕 기사님 / 010-3864-9525</t>
    <phoneticPr fontId="2" type="noConversion"/>
  </si>
  <si>
    <t>PCTC</t>
  </si>
  <si>
    <t>PEGASUS PROTO(DPRT-14)/2514S</t>
    <phoneticPr fontId="2" type="noConversion"/>
  </si>
  <si>
    <t>DJLU2250616</t>
    <phoneticPr fontId="2" type="noConversion"/>
  </si>
  <si>
    <t>C81819</t>
    <phoneticPr fontId="2" type="noConversion"/>
  </si>
  <si>
    <t>5' COIL / 20,083</t>
    <phoneticPr fontId="2" type="noConversion"/>
  </si>
  <si>
    <t>PEGASUS PROTO(DPRT-14)/2515S</t>
  </si>
  <si>
    <t>DJLU2154588</t>
    <phoneticPr fontId="2" type="noConversion"/>
  </si>
  <si>
    <t>C81814</t>
    <phoneticPr fontId="2" type="noConversion"/>
  </si>
  <si>
    <t>6'COIL,220PCS / 20,373</t>
    <phoneticPr fontId="2" type="noConversion"/>
  </si>
  <si>
    <t>PEGASUS PROTO(DPRT-14)/2516S</t>
  </si>
  <si>
    <t>쇼링비2</t>
    <phoneticPr fontId="2" type="noConversion"/>
  </si>
  <si>
    <t>DJLU2250616, DJLU2154588</t>
    <phoneticPr fontId="2" type="noConversion"/>
  </si>
  <si>
    <t>PEGASUS PROTO(DPRT-14)/2517S</t>
  </si>
  <si>
    <t>장비대2</t>
    <phoneticPr fontId="2" type="noConversion"/>
  </si>
  <si>
    <t>경기도 김포시 월곳면 갈산리 518-31</t>
    <phoneticPr fontId="2" type="noConversion"/>
  </si>
  <si>
    <t>HAD</t>
    <phoneticPr fontId="2" type="noConversion"/>
  </si>
  <si>
    <t xml:space="preserve"> ZHI YING HE SHUN(ZYHS-2) // APS1227</t>
    <phoneticPr fontId="2" type="noConversion"/>
  </si>
  <si>
    <t>CICU3422665</t>
    <phoneticPr fontId="2" type="noConversion"/>
  </si>
  <si>
    <t>222830</t>
    <phoneticPr fontId="2" type="noConversion"/>
  </si>
  <si>
    <t>CMC25120111</t>
    <phoneticPr fontId="2" type="noConversion"/>
  </si>
  <si>
    <t>12월 19일 에정</t>
    <phoneticPr fontId="2" type="noConversion"/>
  </si>
  <si>
    <t xml:space="preserve"> ZHI YING HE SHUN(ZYHS-2) // APS1227</t>
  </si>
  <si>
    <t>보관료CMC25120111</t>
    <phoneticPr fontId="2" type="noConversion"/>
  </si>
  <si>
    <t>12월 19일 반입</t>
    <phoneticPr fontId="2" type="noConversion"/>
  </si>
  <si>
    <t>가구있다</t>
    <phoneticPr fontId="2" type="noConversion"/>
  </si>
  <si>
    <t>PCLU5222089</t>
    <phoneticPr fontId="2" type="noConversion"/>
  </si>
  <si>
    <t>인천99아 7432 / 이봉길 기사님 / 010-5277-5963</t>
    <phoneticPr fontId="2" type="noConversion"/>
  </si>
  <si>
    <t>CLUXXH2731138</t>
    <phoneticPr fontId="2" type="noConversion"/>
  </si>
  <si>
    <t>니프코 아산</t>
    <phoneticPr fontId="2" type="noConversion"/>
  </si>
  <si>
    <t>충남 아산시 둔포면 아산밸리남로 146</t>
    <phoneticPr fontId="2" type="noConversion"/>
  </si>
  <si>
    <t>TIGER CHENNAI (TCHN-09) / W509</t>
    <phoneticPr fontId="2" type="noConversion"/>
  </si>
  <si>
    <t>WLHU0632744</t>
    <phoneticPr fontId="2" type="noConversion"/>
  </si>
  <si>
    <t>WHA1769305</t>
    <phoneticPr fontId="2" type="noConversion"/>
  </si>
  <si>
    <t>005FX31918</t>
    <phoneticPr fontId="2" type="noConversion"/>
  </si>
  <si>
    <t>공만차 계근</t>
    <phoneticPr fontId="2" type="noConversion"/>
  </si>
  <si>
    <t>계근비005FX31918</t>
    <phoneticPr fontId="2" type="noConversion"/>
  </si>
  <si>
    <t>스마트브레인</t>
    <phoneticPr fontId="2" type="noConversion"/>
  </si>
  <si>
    <t>경북 김천시 어모면 산업단지 4로 115</t>
    <phoneticPr fontId="2" type="noConversion"/>
  </si>
  <si>
    <t>POL</t>
    <phoneticPr fontId="2" type="noConversion"/>
  </si>
  <si>
    <t>STXU4549510</t>
    <phoneticPr fontId="2" type="noConversion"/>
  </si>
  <si>
    <t>POBUNGB251180561</t>
    <phoneticPr fontId="2" type="noConversion"/>
  </si>
  <si>
    <t>인천98바6510 / 주창근 기사님 / 010-6652-3137</t>
    <phoneticPr fontId="2" type="noConversion"/>
  </si>
  <si>
    <t>증량DOH0156807</t>
    <phoneticPr fontId="2" type="noConversion"/>
  </si>
  <si>
    <t>엠제이솔루션</t>
    <phoneticPr fontId="2" type="noConversion"/>
  </si>
  <si>
    <t>경남 김해시 칠산로 128-1</t>
    <phoneticPr fontId="2" type="noConversion"/>
  </si>
  <si>
    <t>hmm</t>
    <phoneticPr fontId="2" type="noConversion"/>
  </si>
  <si>
    <t>KOCU4174012</t>
    <phoneticPr fontId="2" type="noConversion"/>
  </si>
  <si>
    <t>부산99바2305 / 임일 기사님 / 010-4529-8494</t>
    <phoneticPr fontId="2" type="noConversion"/>
  </si>
  <si>
    <t>HDMUTAOA26655000</t>
    <phoneticPr fontId="2" type="noConversion"/>
  </si>
  <si>
    <t>KOCU5072798</t>
    <phoneticPr fontId="2" type="noConversion"/>
  </si>
  <si>
    <t>부산99사1037 / 박민호 기사님 / 010-5546-7237</t>
    <phoneticPr fontId="2" type="noConversion"/>
  </si>
  <si>
    <t>12/2 입고후작업</t>
    <phoneticPr fontId="2" type="noConversion"/>
  </si>
  <si>
    <t>스마트해운항공 손예지 070-4900-9733</t>
    <phoneticPr fontId="2" type="noConversion"/>
  </si>
  <si>
    <t>ISP COMPANY</t>
    <phoneticPr fontId="2" type="noConversion"/>
  </si>
  <si>
    <t>NAGOYA TRADER(NGTR-71) / 2573W</t>
    <phoneticPr fontId="2" type="noConversion"/>
  </si>
  <si>
    <t>CFS작업료</t>
    <phoneticPr fontId="2" type="noConversion"/>
  </si>
  <si>
    <t>SKHU6344429 / SKR191129</t>
    <phoneticPr fontId="2" type="noConversion"/>
  </si>
  <si>
    <t>JTNAEACH0S8048093 &amp; JTNAEACHXT8053089</t>
    <phoneticPr fontId="2" type="noConversion"/>
  </si>
  <si>
    <t>SNKO010251204087</t>
    <phoneticPr fontId="2" type="noConversion"/>
  </si>
  <si>
    <t xml:space="preserve">  ** 수출(평택) - 12/2~3 (화~수) 입고 ~ 12/10 (수) 작업 ~ 12/10 (수) 반입</t>
    <phoneticPr fontId="2" type="noConversion"/>
  </si>
  <si>
    <t>Y</t>
    <phoneticPr fontId="2" type="noConversion"/>
  </si>
  <si>
    <t>입고 12/2  입고 12/3</t>
    <phoneticPr fontId="2" type="noConversion"/>
  </si>
  <si>
    <t>작업 / 반입 12/10</t>
    <phoneticPr fontId="2" type="noConversion"/>
  </si>
  <si>
    <t>기름제거비</t>
    <phoneticPr fontId="2" type="noConversion"/>
  </si>
  <si>
    <t>스마트해운항공 김진선 070-4900-9310</t>
    <phoneticPr fontId="2" type="noConversion"/>
  </si>
  <si>
    <t>WONYOUNG COMPANY</t>
  </si>
  <si>
    <t>화성장안면-인천세광물류CFS-인천E1</t>
    <phoneticPr fontId="2" type="noConversion"/>
  </si>
  <si>
    <t>화성</t>
    <phoneticPr fontId="2" type="noConversion"/>
  </si>
  <si>
    <t>X</t>
    <phoneticPr fontId="2" type="noConversion"/>
  </si>
  <si>
    <t>접안 12/15</t>
    <phoneticPr fontId="2" type="noConversion"/>
  </si>
  <si>
    <t>11톤차량</t>
    <phoneticPr fontId="2" type="noConversion"/>
  </si>
  <si>
    <t>10(18)'PLTS ( 86'ROLLS )  /  11,112 KGS</t>
  </si>
  <si>
    <t>경기90자1057 / 010-4884-2232 / 최성규기사</t>
  </si>
  <si>
    <t>(화성-인천)KR04253240</t>
    <phoneticPr fontId="2" type="noConversion"/>
  </si>
  <si>
    <t xml:space="preserve">  ** 수출(인천구항) - 12/10 (수) 오전 10시 픽업  ~  당일 바로 하차 / CFS 작업  ~  터미널 반입 후 보고 (반입계)</t>
    <phoneticPr fontId="2" type="noConversion"/>
  </si>
  <si>
    <t>픽업 12/10</t>
    <phoneticPr fontId="2" type="noConversion"/>
  </si>
  <si>
    <t>반입 12/11</t>
    <phoneticPr fontId="2" type="noConversion"/>
  </si>
  <si>
    <t>YZCU2300870</t>
  </si>
  <si>
    <t>KR04253240</t>
    <phoneticPr fontId="2" type="noConversion"/>
  </si>
  <si>
    <t>세광</t>
    <phoneticPr fontId="2" type="noConversion"/>
  </si>
  <si>
    <t>BCT</t>
  </si>
  <si>
    <t>BC</t>
  </si>
  <si>
    <t>NSSU7083515</t>
    <phoneticPr fontId="2" type="noConversion"/>
  </si>
  <si>
    <t>부산99사5592 / 010-3404-4881 / 김인종기사</t>
    <phoneticPr fontId="2" type="noConversion"/>
  </si>
  <si>
    <t>NSSLSNBSC2500430</t>
    <phoneticPr fontId="2" type="noConversion"/>
  </si>
  <si>
    <t>11/21 선반출 후 보관건</t>
    <phoneticPr fontId="2" type="noConversion"/>
  </si>
  <si>
    <t>반납기한경과료대납NSSLSNBSC2500430</t>
    <phoneticPr fontId="2" type="noConversion"/>
  </si>
  <si>
    <t>SURABAYA VOYAGER(SBVG-17) / 9012N</t>
    <phoneticPr fontId="2" type="noConversion"/>
  </si>
  <si>
    <t>HALU5683847</t>
    <phoneticPr fontId="2" type="noConversion"/>
  </si>
  <si>
    <t>HAL133398</t>
    <phoneticPr fontId="2" type="noConversion"/>
  </si>
  <si>
    <t>경기99바1156 / 용우식 기사님 / 010-9181-0372</t>
    <phoneticPr fontId="2" type="noConversion"/>
  </si>
  <si>
    <t>HASLK01251108882</t>
    <phoneticPr fontId="2" type="noConversion"/>
  </si>
  <si>
    <t>CHU 부품건 / 계근필</t>
    <phoneticPr fontId="2" type="noConversion"/>
  </si>
  <si>
    <t>삼민화학</t>
    <phoneticPr fontId="2" type="noConversion"/>
  </si>
  <si>
    <t>인천 계양구 효성동 335-5</t>
    <phoneticPr fontId="2" type="noConversion"/>
  </si>
  <si>
    <t>YM MUTUALITY(YMMU-006) / 0110E</t>
    <phoneticPr fontId="2" type="noConversion"/>
  </si>
  <si>
    <t>HMMU4102968</t>
    <phoneticPr fontId="2" type="noConversion"/>
  </si>
  <si>
    <t>25H0339542</t>
    <phoneticPr fontId="2" type="noConversion"/>
  </si>
  <si>
    <t>SELM69866901</t>
    <phoneticPr fontId="2" type="noConversion"/>
  </si>
  <si>
    <t>중량 15,570KG</t>
    <phoneticPr fontId="2" type="noConversion"/>
  </si>
  <si>
    <t>대경그린</t>
    <phoneticPr fontId="2" type="noConversion"/>
  </si>
  <si>
    <t>경북 고령군 다산면 상곡1길 21-4</t>
    <phoneticPr fontId="2" type="noConversion"/>
  </si>
  <si>
    <t>SITC QINGDAO(STQD-001) / 2574S</t>
    <phoneticPr fontId="2" type="noConversion"/>
  </si>
  <si>
    <t>TRHU8783350</t>
    <phoneticPr fontId="2" type="noConversion"/>
  </si>
  <si>
    <t>SITR614802</t>
    <phoneticPr fontId="2" type="noConversion"/>
  </si>
  <si>
    <t>부산99사1827 / 신동규 기사님 / 010-2571-8272</t>
  </si>
  <si>
    <t>SITPUCB059208</t>
    <phoneticPr fontId="2" type="noConversion"/>
  </si>
  <si>
    <t>SIT PUCB059208 회수 후 교체 // 온그라운딩</t>
    <phoneticPr fontId="2" type="noConversion"/>
  </si>
  <si>
    <t>PEGASUS PROTO(DPRT-14)/2514S</t>
  </si>
  <si>
    <t>DJLU2234472</t>
    <phoneticPr fontId="2" type="noConversion"/>
  </si>
  <si>
    <t>C81656</t>
    <phoneticPr fontId="2" type="noConversion"/>
  </si>
  <si>
    <t>1'COIL, 7 BOX / 20,476</t>
    <phoneticPr fontId="2" type="noConversion"/>
  </si>
  <si>
    <t>PEGASUS PROTO(DPRT-14)/2515S</t>
    <phoneticPr fontId="2" type="noConversion"/>
  </si>
  <si>
    <t>DJLU2162860</t>
    <phoneticPr fontId="2" type="noConversion"/>
  </si>
  <si>
    <t>C81657</t>
    <phoneticPr fontId="2" type="noConversion"/>
  </si>
  <si>
    <t>1'COIL, 7 BOX / 20,482</t>
    <phoneticPr fontId="2" type="noConversion"/>
  </si>
  <si>
    <t>쇼링비3</t>
    <phoneticPr fontId="2" type="noConversion"/>
  </si>
  <si>
    <t>DJLU2234472, CJLU2162860</t>
    <phoneticPr fontId="2" type="noConversion"/>
  </si>
  <si>
    <t>장비대3</t>
    <phoneticPr fontId="2" type="noConversion"/>
  </si>
  <si>
    <t>장비대 발생 X</t>
    <phoneticPr fontId="2" type="noConversion"/>
  </si>
  <si>
    <t>경기도 김포시 양촌읍 황금 6로 8</t>
    <phoneticPr fontId="2" type="noConversion"/>
  </si>
  <si>
    <t>ORIENTAL PEARL VIII(DFCL-101)/3485W</t>
    <phoneticPr fontId="2" type="noConversion"/>
  </si>
  <si>
    <t>VPLU5008401</t>
    <phoneticPr fontId="2" type="noConversion"/>
  </si>
  <si>
    <t>DWS2409220</t>
    <phoneticPr fontId="2" type="noConversion"/>
  </si>
  <si>
    <t>인천99아2020 / 오순석 기사님 / 010-8832-5633</t>
    <phoneticPr fontId="2" type="noConversion"/>
  </si>
  <si>
    <t>DDSIG251208002</t>
    <phoneticPr fontId="2" type="noConversion"/>
  </si>
  <si>
    <t>공만차계근 必</t>
    <phoneticPr fontId="2" type="noConversion"/>
  </si>
  <si>
    <t>계근비DDSIG251208002</t>
    <phoneticPr fontId="2" type="noConversion"/>
  </si>
  <si>
    <t>경기 화성시 양감면 은행나무로 442 (Y.M.W)</t>
    <phoneticPr fontId="2" type="noConversion"/>
  </si>
  <si>
    <t>TIGER CHENNAI(TCHN-09) / W509</t>
    <phoneticPr fontId="2" type="noConversion"/>
  </si>
  <si>
    <t>WHSU0521751</t>
    <phoneticPr fontId="2" type="noConversion"/>
  </si>
  <si>
    <t>WHA1790286</t>
    <phoneticPr fontId="2" type="noConversion"/>
  </si>
  <si>
    <t>광주99바7330 / 이상하 기사님 / 010-3717-0811</t>
    <phoneticPr fontId="2" type="noConversion"/>
  </si>
  <si>
    <t>005FX31662</t>
    <phoneticPr fontId="2" type="noConversion"/>
  </si>
  <si>
    <t>인천픽업005FX31662</t>
    <phoneticPr fontId="2" type="noConversion"/>
  </si>
  <si>
    <t>계근005FX31662</t>
    <phoneticPr fontId="2" type="noConversion"/>
  </si>
  <si>
    <t>음성-충주-부산</t>
    <phoneticPr fontId="2" type="noConversion"/>
  </si>
  <si>
    <t>TIGER CHENNAI/ W509</t>
    <phoneticPr fontId="2" type="noConversion"/>
  </si>
  <si>
    <t>대구81아5931 / 홍연만 /  010-8614-6642</t>
    <phoneticPr fontId="2" type="noConversion"/>
  </si>
  <si>
    <t>005FX31512</t>
    <phoneticPr fontId="2" type="noConversion"/>
  </si>
  <si>
    <t>12/11 픽업, 12/12하차. // 음성1공장+충주 우성수출포장</t>
    <phoneticPr fontId="2" type="noConversion"/>
  </si>
  <si>
    <t>12/12하차</t>
    <phoneticPr fontId="2" type="noConversion"/>
  </si>
  <si>
    <t>지브이인터내셔날</t>
    <phoneticPr fontId="2" type="noConversion"/>
  </si>
  <si>
    <t>경기 안성시 공단1로 81(신건지동)-도레이안성공장맞은편</t>
    <phoneticPr fontId="2" type="noConversion"/>
  </si>
  <si>
    <t>IBN AL ABBAR(IAAB-014) / KTH2550S</t>
    <phoneticPr fontId="2" type="noConversion"/>
  </si>
  <si>
    <t>OCGU2064578</t>
    <phoneticPr fontId="2" type="noConversion"/>
  </si>
  <si>
    <t>YMAV519129</t>
    <phoneticPr fontId="2" type="noConversion"/>
  </si>
  <si>
    <t>경기89사3963 / 김지한 기사님 / 010-3895-8544</t>
    <phoneticPr fontId="2" type="noConversion"/>
  </si>
  <si>
    <t>I360893183</t>
    <phoneticPr fontId="2" type="noConversion"/>
  </si>
  <si>
    <t>치우상 부장님 / 010-8724-3754 / 1시반까지가 점심시간이니, 도착 전 연락 부탁드립니다.</t>
    <phoneticPr fontId="2" type="noConversion"/>
  </si>
  <si>
    <t>대승정밀</t>
    <phoneticPr fontId="2" type="noConversion"/>
  </si>
  <si>
    <t>경기도 안산시 단원구 성곡동 710-4 시화공단 4라 613호 / 한진로지스</t>
    <phoneticPr fontId="2" type="noConversion"/>
  </si>
  <si>
    <t>20FR</t>
    <phoneticPr fontId="2" type="noConversion"/>
  </si>
  <si>
    <t>안산</t>
    <phoneticPr fontId="2" type="noConversion"/>
  </si>
  <si>
    <t>RSSA</t>
    <phoneticPr fontId="2" type="noConversion"/>
  </si>
  <si>
    <t>TIGER CHENNAI</t>
    <phoneticPr fontId="2" type="noConversion"/>
  </si>
  <si>
    <t>T/R1</t>
    <phoneticPr fontId="2" type="noConversion"/>
  </si>
  <si>
    <t>21톤</t>
    <phoneticPr fontId="2" type="noConversion"/>
  </si>
  <si>
    <t>전남98사7042 / 010-3866-0687 / 문세건기사</t>
    <phoneticPr fontId="2" type="noConversion"/>
  </si>
  <si>
    <t>RSAPUSMAA359400</t>
    <phoneticPr fontId="2" type="noConversion"/>
  </si>
  <si>
    <t>12월11일 상차, 12월12일 하차 / 지정 공만차계근  ( 제일계량소)</t>
    <phoneticPr fontId="2" type="noConversion"/>
  </si>
  <si>
    <t>두레</t>
    <phoneticPr fontId="2" type="noConversion"/>
  </si>
  <si>
    <t>T/R2</t>
    <phoneticPr fontId="2" type="noConversion"/>
  </si>
  <si>
    <t>경남99바3270 / 010-3884-2910 / 우한철기사</t>
    <phoneticPr fontId="2" type="noConversion"/>
  </si>
  <si>
    <t>T/R3</t>
    <phoneticPr fontId="2" type="noConversion"/>
  </si>
  <si>
    <t>부산99바3102 / 010-3190-1998 / 박용수기사</t>
    <phoneticPr fontId="2" type="noConversion"/>
  </si>
  <si>
    <t>더블유에스엘조인해운</t>
  </si>
  <si>
    <t>태양인터내셔날</t>
    <phoneticPr fontId="2" type="noConversion"/>
  </si>
  <si>
    <t>경기 화성시 남양읍 활초길 118(안석리 9-1</t>
    <phoneticPr fontId="2" type="noConversion"/>
  </si>
  <si>
    <t>GAOU7049512</t>
    <phoneticPr fontId="2" type="noConversion"/>
  </si>
  <si>
    <t>인천98자1549 / 최창영 기사님 / 010-6263-4377</t>
    <phoneticPr fontId="2" type="noConversion"/>
  </si>
  <si>
    <t>CKCOFUG0007148</t>
    <phoneticPr fontId="2" type="noConversion"/>
  </si>
  <si>
    <t>경기도 김포시 월곳면 갈신리 518-31</t>
    <phoneticPr fontId="2" type="noConversion"/>
  </si>
  <si>
    <t>ZHI YING HE SHUN(ZYHS-2)/APS1227</t>
    <phoneticPr fontId="2" type="noConversion"/>
  </si>
  <si>
    <t>AILU4501192</t>
    <phoneticPr fontId="2" type="noConversion"/>
  </si>
  <si>
    <t>255949</t>
    <phoneticPr fontId="2" type="noConversion"/>
  </si>
  <si>
    <t>CMC25120404</t>
    <phoneticPr fontId="2" type="noConversion"/>
  </si>
  <si>
    <t>보관료CMC25120404</t>
    <phoneticPr fontId="2" type="noConversion"/>
  </si>
  <si>
    <t>12월11일입고 / 12월17일 반입 예정</t>
    <phoneticPr fontId="2" type="noConversion"/>
  </si>
  <si>
    <t>김해시 진례면 서부로 436번길 37-28</t>
    <phoneticPr fontId="2" type="noConversion"/>
  </si>
  <si>
    <t>1PLT</t>
    <phoneticPr fontId="2" type="noConversion"/>
  </si>
  <si>
    <t>경남91자1049 / 김동수 기사님 / 010-2926-1472</t>
    <phoneticPr fontId="2" type="noConversion"/>
  </si>
  <si>
    <t>YDCNYC-L1-2512-3</t>
    <phoneticPr fontId="2" type="noConversion"/>
  </si>
  <si>
    <t>BKG : BLYG2512341-01</t>
    <phoneticPr fontId="2" type="noConversion"/>
  </si>
  <si>
    <t>13PLT</t>
    <phoneticPr fontId="2" type="noConversion"/>
  </si>
  <si>
    <t>경기92사7130 / 황재찬 기사님 / 010-7766-1105</t>
    <phoneticPr fontId="2" type="noConversion"/>
  </si>
  <si>
    <t>TGCNGZ-L1-2512-1</t>
    <phoneticPr fontId="2" type="noConversion"/>
  </si>
  <si>
    <t>BKG : KR04243651</t>
    <phoneticPr fontId="2" type="noConversion"/>
  </si>
  <si>
    <t>SAWASDEE BALTIC(SWBT-07)/2510W</t>
    <phoneticPr fontId="2" type="noConversion"/>
  </si>
  <si>
    <t>HSLU2407420</t>
    <phoneticPr fontId="2" type="noConversion"/>
  </si>
  <si>
    <t>HSL019129</t>
    <phoneticPr fontId="2" type="noConversion"/>
  </si>
  <si>
    <t>부산96아1876 / 김재용 기사님 / 010-4760-6006</t>
    <phoneticPr fontId="2" type="noConversion"/>
  </si>
  <si>
    <t>TDCNTJ-L1-2512-3</t>
    <phoneticPr fontId="2" type="noConversion"/>
  </si>
  <si>
    <t>BKG : HSLI010251200400 // 2180 KG</t>
    <phoneticPr fontId="2" type="noConversion"/>
  </si>
  <si>
    <t>에스더블유</t>
    <phoneticPr fontId="2" type="noConversion"/>
  </si>
  <si>
    <t>대구시 달서구 성서로 71길 43</t>
    <phoneticPr fontId="2" type="noConversion"/>
  </si>
  <si>
    <t>HALU2436000</t>
    <phoneticPr fontId="2" type="noConversion"/>
  </si>
  <si>
    <t>HASLJ01251100952</t>
    <phoneticPr fontId="2" type="noConversion"/>
  </si>
  <si>
    <t>뒷작업</t>
    <phoneticPr fontId="2" type="noConversion"/>
  </si>
  <si>
    <t>경북 고령군 다산면 벌지로 240</t>
    <phoneticPr fontId="2" type="noConversion"/>
  </si>
  <si>
    <t>SITC MINGDE(STMD-004)/2526S</t>
    <phoneticPr fontId="2" type="noConversion"/>
  </si>
  <si>
    <t>부산99사1827 / 신동규 기사님 / 010-2571-8272</t>
    <phoneticPr fontId="2" type="noConversion"/>
  </si>
  <si>
    <t>SITPUCB059489</t>
    <phoneticPr fontId="2" type="noConversion"/>
  </si>
  <si>
    <t xml:space="preserve">교체입고 건 // SITPUCB059208 회수 // T.W 3,700 KGS // </t>
    <phoneticPr fontId="2" type="noConversion"/>
  </si>
  <si>
    <t>울산광역시 북구 중산산업 1길 6(중산동)</t>
    <phoneticPr fontId="2" type="noConversion"/>
  </si>
  <si>
    <t>TCKU6655650</t>
    <phoneticPr fontId="2" type="noConversion"/>
  </si>
  <si>
    <t>NSSLSNBSC2500465</t>
    <phoneticPr fontId="2" type="noConversion"/>
  </si>
  <si>
    <t>SAWASDEE VEGA(SWVG-44)/2545W</t>
    <phoneticPr fontId="2" type="noConversion"/>
  </si>
  <si>
    <t>HLHU8483370</t>
    <phoneticPr fontId="2" type="noConversion"/>
  </si>
  <si>
    <t>HAL214583</t>
    <phoneticPr fontId="2" type="noConversion"/>
  </si>
  <si>
    <t>부산99사8966 / 김봉균 기사님 / 010-2449-3200</t>
    <phoneticPr fontId="2" type="noConversion"/>
  </si>
  <si>
    <t>HASLK02251101600</t>
    <phoneticPr fontId="2" type="noConversion"/>
  </si>
  <si>
    <t>쿠쿠전자 2공장</t>
    <phoneticPr fontId="2" type="noConversion"/>
  </si>
  <si>
    <t>HALU5648980</t>
    <phoneticPr fontId="2" type="noConversion"/>
  </si>
  <si>
    <t>HAL213670</t>
    <phoneticPr fontId="2" type="noConversion"/>
  </si>
  <si>
    <t>부산98사7378 / 010-2014-8653 / 박현태기사</t>
    <phoneticPr fontId="2" type="noConversion"/>
  </si>
  <si>
    <t>TCNU4461665</t>
    <phoneticPr fontId="2" type="noConversion"/>
  </si>
  <si>
    <t>HAL206773</t>
    <phoneticPr fontId="2" type="noConversion"/>
  </si>
  <si>
    <t>REN JIAN 27(RNJN-05) / 2525E</t>
    <phoneticPr fontId="2" type="noConversion"/>
  </si>
  <si>
    <t>FFAU1032664</t>
    <phoneticPr fontId="2" type="noConversion"/>
  </si>
  <si>
    <t>268396</t>
    <phoneticPr fontId="2" type="noConversion"/>
  </si>
  <si>
    <t>서울98사2306 / 한상엽 기사님 / 010-5211-4624</t>
    <phoneticPr fontId="2" type="noConversion"/>
  </si>
  <si>
    <t>KR04248416</t>
    <phoneticPr fontId="2" type="noConversion"/>
  </si>
  <si>
    <t>T.W 3,700 KG</t>
    <phoneticPr fontId="2" type="noConversion"/>
  </si>
  <si>
    <t>12./11</t>
    <phoneticPr fontId="2" type="noConversion"/>
  </si>
  <si>
    <t>12/15 반입</t>
    <phoneticPr fontId="2" type="noConversion"/>
  </si>
  <si>
    <t>SKHU9211116 / SKR191221</t>
    <phoneticPr fontId="2" type="noConversion"/>
  </si>
  <si>
    <t>JTNAEACH4S8048744 &amp; JTNAEACH6S8042234</t>
    <phoneticPr fontId="2" type="noConversion"/>
  </si>
  <si>
    <t>SNKO010251204382</t>
  </si>
  <si>
    <t xml:space="preserve">  ** 수출(평택) - 12/3~4 (수~목) 입고 ~ 12/11 (목) 작업 ~ 12/11 (목) 반입</t>
    <phoneticPr fontId="2" type="noConversion"/>
  </si>
  <si>
    <t>입고 12/3  입고 12/4</t>
    <phoneticPr fontId="2" type="noConversion"/>
  </si>
  <si>
    <t>작업 12/11</t>
    <phoneticPr fontId="2" type="noConversion"/>
  </si>
  <si>
    <t>더블유에스엘조인해운
강미경 차장님 02-318-4084</t>
    <phoneticPr fontId="2" type="noConversion"/>
  </si>
  <si>
    <t>경기도 안성시 공단1로 99 (신건지동) / 삼원기계</t>
    <phoneticPr fontId="2" type="noConversion"/>
  </si>
  <si>
    <t>PEGASUS PROTO(DPRT-014) / 2514S</t>
    <phoneticPr fontId="2" type="noConversion"/>
  </si>
  <si>
    <t>BSIU2270466</t>
    <phoneticPr fontId="2" type="noConversion"/>
  </si>
  <si>
    <t>KRAR88832</t>
    <phoneticPr fontId="2" type="noConversion"/>
  </si>
  <si>
    <t>SELFJ1791701</t>
    <phoneticPr fontId="2" type="noConversion"/>
  </si>
  <si>
    <t>계근필, 셔틀철송</t>
    <phoneticPr fontId="2" type="noConversion"/>
  </si>
  <si>
    <t>계근비SELFJ1791701</t>
    <phoneticPr fontId="2" type="noConversion"/>
  </si>
  <si>
    <t>경기도 김포시 월곳면 갈산리 171-54</t>
    <phoneticPr fontId="2" type="noConversion"/>
  </si>
  <si>
    <t>DELAWARE EXPRESS(DELX-007) / 551E</t>
    <phoneticPr fontId="2" type="noConversion"/>
  </si>
  <si>
    <t xml:space="preserve">MRSU4763753 </t>
    <phoneticPr fontId="2" type="noConversion"/>
  </si>
  <si>
    <t xml:space="preserve">KR1037712 </t>
    <phoneticPr fontId="2" type="noConversion"/>
  </si>
  <si>
    <t>경기99바1120/ 유인선 기사님 / 010-3790-5151</t>
    <phoneticPr fontId="2" type="noConversion"/>
  </si>
  <si>
    <t>262271285</t>
    <phoneticPr fontId="2" type="noConversion"/>
  </si>
  <si>
    <t>3,720 KG // TEHC 부품 + 오일 작업</t>
    <phoneticPr fontId="2" type="noConversion"/>
  </si>
  <si>
    <t>경북 경산시 압량읍 압독1로 118-13</t>
    <phoneticPr fontId="2" type="noConversion"/>
  </si>
  <si>
    <t>HLHU8491442</t>
    <phoneticPr fontId="2" type="noConversion"/>
  </si>
  <si>
    <t>부산99사5155 / 김용규 기사님 / 010-3845-5097</t>
    <phoneticPr fontId="2" type="noConversion"/>
  </si>
  <si>
    <t>SNKO03G251200024</t>
    <phoneticPr fontId="2" type="noConversion"/>
  </si>
  <si>
    <t>보관SNKO03G251200024</t>
    <phoneticPr fontId="2" type="noConversion"/>
  </si>
  <si>
    <t>엠티반납불가로 다음날 반입</t>
    <phoneticPr fontId="2" type="noConversion"/>
  </si>
  <si>
    <t>12/13반입</t>
    <phoneticPr fontId="2" type="noConversion"/>
  </si>
  <si>
    <t>세창로지스</t>
  </si>
  <si>
    <t>지금무역</t>
  </si>
  <si>
    <t>경기 화성시 서신면</t>
    <phoneticPr fontId="2" type="noConversion"/>
  </si>
  <si>
    <t>40HQ</t>
  </si>
  <si>
    <t>SEGU5474038</t>
    <phoneticPr fontId="2" type="noConversion"/>
  </si>
  <si>
    <t>DYL808168</t>
    <phoneticPr fontId="2" type="noConversion"/>
  </si>
  <si>
    <t>인천99아9864 / 김병훈 기사님 / 010-5348-5828</t>
    <phoneticPr fontId="2" type="noConversion"/>
  </si>
  <si>
    <t>KSLU2502179</t>
    <phoneticPr fontId="2" type="noConversion"/>
  </si>
  <si>
    <t>마도면 견적만 나감</t>
    <phoneticPr fontId="2" type="noConversion"/>
  </si>
  <si>
    <t>DYLU5144455</t>
    <phoneticPr fontId="2" type="noConversion"/>
  </si>
  <si>
    <t>DYL808040</t>
    <phoneticPr fontId="2" type="noConversion"/>
  </si>
  <si>
    <t>계근비KSLU2502179</t>
    <phoneticPr fontId="2" type="noConversion"/>
  </si>
  <si>
    <t>코오롱 중산공장</t>
    <phoneticPr fontId="2" type="noConversion"/>
  </si>
  <si>
    <t>BMOU5483367</t>
    <phoneticPr fontId="2" type="noConversion"/>
  </si>
  <si>
    <t>부산99사9572 / 박기호 기사님 / 010-3868-8466</t>
    <phoneticPr fontId="2" type="noConversion"/>
  </si>
  <si>
    <t>NSSLSNBSC2500471</t>
    <phoneticPr fontId="2" type="noConversion"/>
  </si>
  <si>
    <t>20OT</t>
  </si>
  <si>
    <t>DYL808019</t>
  </si>
  <si>
    <t>인천99아8912 / 나상도 기사님 / 010-5316-5213</t>
    <phoneticPr fontId="2" type="noConversion"/>
  </si>
  <si>
    <t>KSLU2502178</t>
    <phoneticPr fontId="2" type="noConversion"/>
  </si>
  <si>
    <t>컨테이너 지정 건</t>
    <phoneticPr fontId="2" type="noConversion"/>
  </si>
  <si>
    <t>대기비KSLU2502178</t>
    <phoneticPr fontId="2" type="noConversion"/>
  </si>
  <si>
    <t>계근비KSLU2502178</t>
    <phoneticPr fontId="2" type="noConversion"/>
  </si>
  <si>
    <t>신풍에이치</t>
    <phoneticPr fontId="2" type="noConversion"/>
  </si>
  <si>
    <t>충북 음성군 금왕읍 대금로 1064-10</t>
    <phoneticPr fontId="2" type="noConversion"/>
  </si>
  <si>
    <t>TIGER CHENNAI(TCHN-09) / 2509W</t>
    <phoneticPr fontId="2" type="noConversion"/>
  </si>
  <si>
    <t>KMTU9330228</t>
    <phoneticPr fontId="2" type="noConversion"/>
  </si>
  <si>
    <t>KSC582072</t>
    <phoneticPr fontId="2" type="noConversion"/>
  </si>
  <si>
    <t>KR04269692</t>
    <phoneticPr fontId="2" type="noConversion"/>
  </si>
  <si>
    <t>내품 : 카시트 솜이라 냄새, 얼룩 절대 금지 // BUSNA / CHENNAI</t>
    <phoneticPr fontId="2" type="noConversion"/>
  </si>
  <si>
    <t>충남 천안시 동남구 성남면 세성로 67,2동</t>
    <phoneticPr fontId="2" type="noConversion"/>
  </si>
  <si>
    <t>HYUNDAI HONGKONG(HHHK-002)/0155W</t>
    <phoneticPr fontId="2" type="noConversion"/>
  </si>
  <si>
    <t>GCXU2134228</t>
    <phoneticPr fontId="2" type="noConversion"/>
  </si>
  <si>
    <t>25H0351694</t>
    <phoneticPr fontId="2" type="noConversion"/>
  </si>
  <si>
    <t>SELA95784800</t>
    <phoneticPr fontId="2" type="noConversion"/>
  </si>
  <si>
    <t>2,100KGS</t>
    <phoneticPr fontId="2" type="noConversion"/>
  </si>
  <si>
    <t>KOCU2072670</t>
    <phoneticPr fontId="2" type="noConversion"/>
  </si>
  <si>
    <t>25H0351697</t>
    <phoneticPr fontId="2" type="noConversion"/>
  </si>
  <si>
    <t>경남 김해시 칠산로 128-1 / 롯데김해물류센터</t>
    <phoneticPr fontId="2" type="noConversion"/>
  </si>
  <si>
    <t>OOCL</t>
    <phoneticPr fontId="2" type="noConversion"/>
  </si>
  <si>
    <t>FFAU3498625</t>
    <phoneticPr fontId="2" type="noConversion"/>
  </si>
  <si>
    <t>OOLU2315248940</t>
    <phoneticPr fontId="2" type="noConversion"/>
  </si>
  <si>
    <t>CSNU6003394</t>
    <phoneticPr fontId="2" type="noConversion"/>
  </si>
  <si>
    <t>부산99사6914 / 김세웅 기사님 / 010-6426-0112</t>
    <phoneticPr fontId="2" type="noConversion"/>
  </si>
  <si>
    <t>OOCU7212281</t>
    <phoneticPr fontId="2" type="noConversion"/>
  </si>
  <si>
    <t>부산98사6746 / 최형준 기사님 / 010-8562-0597</t>
    <phoneticPr fontId="2" type="noConversion"/>
  </si>
  <si>
    <t>경북 칠곡군 지천면 금호로 298</t>
    <phoneticPr fontId="2" type="noConversion"/>
  </si>
  <si>
    <t>BEAU2518300</t>
    <phoneticPr fontId="2" type="noConversion"/>
  </si>
  <si>
    <t>부산94아4741 / 김종운 기사님 / 010-3845-9244</t>
    <phoneticPr fontId="2" type="noConversion"/>
  </si>
  <si>
    <t>HASLC05251103672</t>
    <phoneticPr fontId="2" type="noConversion"/>
  </si>
  <si>
    <t>디알젬</t>
    <phoneticPr fontId="2" type="noConversion"/>
  </si>
  <si>
    <t>경북 김천시 어모면 산업단지로 213</t>
    <phoneticPr fontId="2" type="noConversion"/>
  </si>
  <si>
    <t>DONGJIN CONFIDENT(DJCF-014)/0140S</t>
    <phoneticPr fontId="2" type="noConversion"/>
  </si>
  <si>
    <t>ONEU2308895</t>
    <phoneticPr fontId="2" type="noConversion"/>
  </si>
  <si>
    <t>KRAV11732</t>
    <phoneticPr fontId="2" type="noConversion"/>
  </si>
  <si>
    <t>부산99사9560 / 조영진 기사님 / 010-3556-1555</t>
    <phoneticPr fontId="2" type="noConversion"/>
  </si>
  <si>
    <t>SELFG4985700</t>
    <phoneticPr fontId="2" type="noConversion"/>
  </si>
  <si>
    <t>2,150KG</t>
    <phoneticPr fontId="2" type="noConversion"/>
  </si>
  <si>
    <t>대구 서구 와룡로 73길 40,C동(중리동)</t>
    <phoneticPr fontId="2" type="noConversion"/>
  </si>
  <si>
    <t>SKHU6436910</t>
    <phoneticPr fontId="2" type="noConversion"/>
  </si>
  <si>
    <t>HASLC01251202589</t>
    <phoneticPr fontId="2" type="noConversion"/>
  </si>
  <si>
    <t>SKHU6316896</t>
    <phoneticPr fontId="2" type="noConversion"/>
  </si>
  <si>
    <t>HAL213554</t>
    <phoneticPr fontId="2" type="noConversion"/>
  </si>
  <si>
    <t>1공장 // QINGDAO</t>
    <phoneticPr fontId="2" type="noConversion"/>
  </si>
  <si>
    <t>심텍</t>
    <phoneticPr fontId="2" type="noConversion"/>
  </si>
  <si>
    <t>경남 양산시 상북면</t>
    <phoneticPr fontId="2" type="noConversion"/>
  </si>
  <si>
    <t>HOCHIMINH VOYAGER(HMVY-12)210S</t>
    <phoneticPr fontId="2" type="noConversion"/>
  </si>
  <si>
    <t>TRLU7596012</t>
    <phoneticPr fontId="2" type="noConversion"/>
  </si>
  <si>
    <t>SKR413097</t>
    <phoneticPr fontId="2" type="noConversion"/>
  </si>
  <si>
    <t>부산99바9849 / 정주환 기사님 / 010-8307-6789</t>
    <phoneticPr fontId="2" type="noConversion"/>
  </si>
  <si>
    <t xml:space="preserve">SNKO010251109233 </t>
    <phoneticPr fontId="2" type="noConversion"/>
  </si>
  <si>
    <t>DG</t>
    <phoneticPr fontId="2" type="noConversion"/>
  </si>
  <si>
    <t>TEMU5085285</t>
    <phoneticPr fontId="2" type="noConversion"/>
  </si>
  <si>
    <t xml:space="preserve">SKR507561 </t>
    <phoneticPr fontId="2" type="noConversion"/>
  </si>
  <si>
    <t>울산80아1804 /  박해식 기사님 / 010-5018-7191</t>
    <phoneticPr fontId="2" type="noConversion"/>
  </si>
  <si>
    <t>HLHU8556590</t>
    <phoneticPr fontId="2" type="noConversion"/>
  </si>
  <si>
    <t xml:space="preserve">HAL213570 </t>
    <phoneticPr fontId="2" type="noConversion"/>
  </si>
  <si>
    <t xml:space="preserve">부산99사7858 / 010-5157-8684 / 조성래기사 </t>
    <phoneticPr fontId="2" type="noConversion"/>
  </si>
  <si>
    <t xml:space="preserve">HASLK01250909922 </t>
  </si>
  <si>
    <t>HALU2421170</t>
    <phoneticPr fontId="2" type="noConversion"/>
  </si>
  <si>
    <t xml:space="preserve">HAL213595 </t>
    <phoneticPr fontId="2" type="noConversion"/>
  </si>
  <si>
    <t>부산94아1015 / 010-8550-7476 / 이영근기</t>
    <phoneticPr fontId="2" type="noConversion"/>
  </si>
  <si>
    <t>제이에스</t>
    <phoneticPr fontId="2" type="noConversion"/>
  </si>
  <si>
    <t>인천 서구 백석동 212-253</t>
    <phoneticPr fontId="2" type="noConversion"/>
  </si>
  <si>
    <t xml:space="preserve">GASUS HOPE(DPHP-20) / 2524W </t>
    <phoneticPr fontId="2" type="noConversion"/>
  </si>
  <si>
    <t>TYLU9180991</t>
    <phoneticPr fontId="2" type="noConversion"/>
  </si>
  <si>
    <t>TYS677157</t>
    <phoneticPr fontId="2" type="noConversion"/>
  </si>
  <si>
    <t>인천98바5024 / 백신영 기사님 / 010-9041-7924</t>
    <phoneticPr fontId="2" type="noConversion"/>
  </si>
  <si>
    <t>TY25120354</t>
    <phoneticPr fontId="2" type="noConversion"/>
  </si>
  <si>
    <t>티에이치로지스 김명신 055-384-0922</t>
    <phoneticPr fontId="2" type="noConversion"/>
  </si>
  <si>
    <t>다이아테크</t>
  </si>
  <si>
    <t>디앤케이물류CFS-경기광주</t>
  </si>
  <si>
    <t>디앤케이물류CFS</t>
    <phoneticPr fontId="2" type="noConversion"/>
  </si>
  <si>
    <t>DF</t>
  </si>
  <si>
    <t>경기광주</t>
    <phoneticPr fontId="2" type="noConversion"/>
  </si>
  <si>
    <t>MF</t>
  </si>
  <si>
    <t>SINOKOR</t>
    <phoneticPr fontId="2" type="noConversion"/>
  </si>
  <si>
    <t>SNKO</t>
    <phoneticPr fontId="2" type="noConversion"/>
  </si>
  <si>
    <t>11톤차량 1</t>
    <phoneticPr fontId="2" type="noConversion"/>
  </si>
  <si>
    <t>(북항-경기광주)</t>
    <phoneticPr fontId="2" type="noConversion"/>
  </si>
  <si>
    <t>경남81사2426 / 010-2853-0488 / 김주석기사</t>
  </si>
  <si>
    <t>SNKO02N251100484</t>
    <phoneticPr fontId="2" type="noConversion"/>
  </si>
  <si>
    <t xml:space="preserve">  ** 수입(북항) - 12/12 (금) 오후 적출/상차  ~  12/13 (토) 아침 08시반 도착(북항-경기광주)</t>
    <phoneticPr fontId="2" type="noConversion"/>
  </si>
  <si>
    <t>픽업 12/12</t>
    <phoneticPr fontId="2" type="noConversion"/>
  </si>
  <si>
    <t>하차 12/13</t>
    <phoneticPr fontId="2" type="noConversion"/>
  </si>
  <si>
    <t xml:space="preserve">  ** 수입(북항) - 12/12 (금) 오후 적출/상차  ~  12/13 (토) 아침 08시반 도착</t>
  </si>
  <si>
    <t>5톤차량</t>
    <phoneticPr fontId="2" type="noConversion"/>
  </si>
  <si>
    <t>11톤 추가</t>
    <phoneticPr fontId="2" type="noConversion"/>
  </si>
  <si>
    <t>TRHU6235969</t>
    <phoneticPr fontId="2" type="noConversion"/>
  </si>
  <si>
    <t>HAL203989</t>
    <phoneticPr fontId="2" type="noConversion"/>
  </si>
  <si>
    <t>경북98아6056 / 강찬오 기사님 / 010-3550-5287</t>
    <phoneticPr fontId="2" type="noConversion"/>
  </si>
  <si>
    <t>HLHU8427443</t>
    <phoneticPr fontId="2" type="noConversion"/>
  </si>
  <si>
    <t xml:space="preserve">부산98바5778 / 김복태 기사님 /  010-9494-4471 </t>
    <phoneticPr fontId="2" type="noConversion"/>
  </si>
  <si>
    <t>SAWASDEE VEGA(SWVG-44)/2545W</t>
  </si>
  <si>
    <t>SKHU6317824</t>
    <phoneticPr fontId="2" type="noConversion"/>
  </si>
  <si>
    <t>HAL203830</t>
    <phoneticPr fontId="2" type="noConversion"/>
  </si>
  <si>
    <t xml:space="preserve">부산99사5592 / 김인종 기사님 /  010-3404-4881 </t>
    <phoneticPr fontId="2" type="noConversion"/>
  </si>
  <si>
    <t>HASLK02251101600</t>
  </si>
  <si>
    <t>SKHU6307305</t>
    <phoneticPr fontId="2" type="noConversion"/>
  </si>
  <si>
    <t>HAL203844</t>
    <phoneticPr fontId="2" type="noConversion"/>
  </si>
  <si>
    <t xml:space="preserve">부산99사3894 / 옥재성 기사님 /  010-2988-7831 </t>
    <phoneticPr fontId="2" type="noConversion"/>
  </si>
  <si>
    <t>경남 양신시 충렬로143</t>
    <phoneticPr fontId="2" type="noConversion"/>
  </si>
  <si>
    <t>SKHU8706574</t>
    <phoneticPr fontId="2" type="noConversion"/>
  </si>
  <si>
    <t>HAL185421</t>
    <phoneticPr fontId="2" type="noConversion"/>
  </si>
  <si>
    <t>부산99사5592 / 김인종 기사님 /  010-3404-4881</t>
    <phoneticPr fontId="2" type="noConversion"/>
  </si>
  <si>
    <t>2공장</t>
    <phoneticPr fontId="2" type="noConversion"/>
  </si>
  <si>
    <t>SKHU6374676</t>
    <phoneticPr fontId="2" type="noConversion"/>
  </si>
  <si>
    <t>107981</t>
    <phoneticPr fontId="2" type="noConversion"/>
  </si>
  <si>
    <t>부산99바7377 / 김양현 기사님 /  010-8224-1828</t>
    <phoneticPr fontId="2" type="noConversion"/>
  </si>
  <si>
    <t>SKHU8715508</t>
    <phoneticPr fontId="2" type="noConversion"/>
  </si>
  <si>
    <t>HAL185424</t>
    <phoneticPr fontId="2" type="noConversion"/>
  </si>
  <si>
    <t>98나3313 / 심규진 기사님 /  010-2335-8564</t>
    <phoneticPr fontId="2" type="noConversion"/>
  </si>
  <si>
    <t>:SKHU6404174</t>
    <phoneticPr fontId="2" type="noConversion"/>
  </si>
  <si>
    <t>HAL303993</t>
    <phoneticPr fontId="2" type="noConversion"/>
  </si>
  <si>
    <t xml:space="preserve">경북98아6056 / 강찬오 기사님 /  010-3550-5287 </t>
    <phoneticPr fontId="2" type="noConversion"/>
  </si>
  <si>
    <t>:FSCU8278255</t>
    <phoneticPr fontId="2" type="noConversion"/>
  </si>
  <si>
    <t>HAL203798</t>
    <phoneticPr fontId="2" type="noConversion"/>
  </si>
  <si>
    <t xml:space="preserve">부산99바7377 / 김양현 기사님 /  010-8224-1828 </t>
    <phoneticPr fontId="2" type="noConversion"/>
  </si>
  <si>
    <t>경북 경주시 외동읍 석계리 2083-3</t>
    <phoneticPr fontId="2" type="noConversion"/>
  </si>
  <si>
    <t>UETU5161191</t>
    <phoneticPr fontId="2" type="noConversion"/>
  </si>
  <si>
    <t>충북98바1550 / 010-4112-7233 / 최세진기사님.</t>
    <phoneticPr fontId="2" type="noConversion"/>
  </si>
  <si>
    <t>COAU7263970240</t>
    <phoneticPr fontId="2" type="noConversion"/>
  </si>
  <si>
    <t>보관료COAU7263970240</t>
    <phoneticPr fontId="2" type="noConversion"/>
  </si>
  <si>
    <t>반납보관</t>
    <phoneticPr fontId="2" type="noConversion"/>
  </si>
  <si>
    <t>고려양행</t>
    <phoneticPr fontId="2" type="noConversion"/>
  </si>
  <si>
    <t>서울시 노원구 공릉로 131(공릉 1동), 호정건물 앞</t>
    <phoneticPr fontId="2" type="noConversion"/>
  </si>
  <si>
    <t>SITC ZHEJIANG(STZJ-003)/2528S</t>
    <phoneticPr fontId="2" type="noConversion"/>
  </si>
  <si>
    <t>TLLU3252131</t>
    <phoneticPr fontId="2" type="noConversion"/>
  </si>
  <si>
    <t>SITR226553</t>
    <phoneticPr fontId="2" type="noConversion"/>
  </si>
  <si>
    <t>인천85아8016 / 이동율 기사님 / 010-8620-1637</t>
    <phoneticPr fontId="2" type="noConversion"/>
  </si>
  <si>
    <t>SITINSV052522</t>
    <phoneticPr fontId="2" type="noConversion"/>
  </si>
  <si>
    <t>원쓰리 차량으로 배차 // T.W 2,100KG</t>
    <phoneticPr fontId="2" type="noConversion"/>
  </si>
  <si>
    <t>대구 동구 율암로 86</t>
    <phoneticPr fontId="2" type="noConversion"/>
  </si>
  <si>
    <t>인터7부두</t>
    <phoneticPr fontId="2" type="noConversion"/>
  </si>
  <si>
    <t>SUZU4025810</t>
    <phoneticPr fontId="2" type="noConversion"/>
  </si>
  <si>
    <t>부산99사9641 / 이봉출 기사님 / 010-3591-3725</t>
    <phoneticPr fontId="2" type="noConversion"/>
  </si>
  <si>
    <t>DOLBYS2548E201</t>
    <phoneticPr fontId="2" type="noConversion"/>
  </si>
  <si>
    <t>인천 서구 원당대로 395-99(오류동)</t>
    <phoneticPr fontId="2" type="noConversion"/>
  </si>
  <si>
    <t>TCNU3033282</t>
    <phoneticPr fontId="2" type="noConversion"/>
  </si>
  <si>
    <t>인천98바2070 / 조원호 기사님 / 010-5337-2817</t>
    <phoneticPr fontId="2" type="noConversion"/>
  </si>
  <si>
    <t>WE2525NIN422</t>
    <phoneticPr fontId="2" type="noConversion"/>
  </si>
  <si>
    <t>TCKU7271200</t>
    <phoneticPr fontId="2" type="noConversion"/>
  </si>
  <si>
    <t>인천99아5922 / 김연태 기사님 / 010-5318-7616</t>
    <phoneticPr fontId="2" type="noConversion"/>
  </si>
  <si>
    <t>IBN AL ABBAR / 330S</t>
    <phoneticPr fontId="2" type="noConversion"/>
  </si>
  <si>
    <t>YMMU7408476</t>
    <phoneticPr fontId="2" type="noConversion"/>
  </si>
  <si>
    <t>YMAU539439</t>
    <phoneticPr fontId="2" type="noConversion"/>
  </si>
  <si>
    <t>전남98사7504 / 정영학 기사님 / 010-3163-1222</t>
    <phoneticPr fontId="2" type="noConversion"/>
  </si>
  <si>
    <t>I360892506</t>
    <phoneticPr fontId="2" type="noConversion"/>
  </si>
  <si>
    <t>TS INCHEON / 25043S</t>
    <phoneticPr fontId="2" type="noConversion"/>
  </si>
  <si>
    <t>TEMU8968302</t>
    <phoneticPr fontId="2" type="noConversion"/>
  </si>
  <si>
    <t>TSX4202830</t>
    <phoneticPr fontId="2" type="noConversion"/>
  </si>
  <si>
    <t>TS25126171</t>
    <phoneticPr fontId="2" type="noConversion"/>
  </si>
  <si>
    <t>TS라인 // 지정상차</t>
    <phoneticPr fontId="2" type="noConversion"/>
  </si>
  <si>
    <t>경기도 고양시 일산동구 성석동 56-2</t>
    <phoneticPr fontId="2" type="noConversion"/>
  </si>
  <si>
    <t>ESL BUSAN(EEBN-08) / 02551W</t>
    <phoneticPr fontId="2" type="noConversion"/>
  </si>
  <si>
    <t>SEGU6156582</t>
    <phoneticPr fontId="2" type="noConversion"/>
  </si>
  <si>
    <t>KSC585764</t>
    <phoneticPr fontId="2" type="noConversion"/>
  </si>
  <si>
    <t>경기99바1121 / 오양묵 기사님 / 010-3235-5529</t>
    <phoneticPr fontId="2" type="noConversion"/>
  </si>
  <si>
    <t>KR04276219</t>
    <phoneticPr fontId="2" type="noConversion"/>
  </si>
  <si>
    <t>작업시간 길지 않음</t>
    <phoneticPr fontId="2" type="noConversion"/>
  </si>
  <si>
    <t>대기료KR04276219</t>
    <phoneticPr fontId="2" type="noConversion"/>
  </si>
  <si>
    <t>회차료KR04276219</t>
    <phoneticPr fontId="2" type="noConversion"/>
  </si>
  <si>
    <t>경기도 포천시 가산면 우금리 628번지</t>
    <phoneticPr fontId="2" type="noConversion"/>
  </si>
  <si>
    <t>NSSU7134171</t>
    <phoneticPr fontId="2" type="noConversion"/>
  </si>
  <si>
    <t>NSSLATXG25K00659</t>
    <phoneticPr fontId="2" type="noConversion"/>
  </si>
  <si>
    <t>1창고</t>
    <phoneticPr fontId="2" type="noConversion"/>
  </si>
  <si>
    <t>NSSU7051246</t>
    <phoneticPr fontId="2" type="noConversion"/>
  </si>
  <si>
    <t>경기98사5557 / 김성관 기사님 / 010-4761-0823</t>
    <phoneticPr fontId="2" type="noConversion"/>
  </si>
  <si>
    <t>NSSLATXG25K00660</t>
    <phoneticPr fontId="2" type="noConversion"/>
  </si>
  <si>
    <t>경기도 안산시 단원구 해봉로 352(신길동) 반월공단</t>
    <phoneticPr fontId="2" type="noConversion"/>
  </si>
  <si>
    <t>HYUNDAI COURAGE(HHCR0003) / 0121W</t>
    <phoneticPr fontId="2" type="noConversion"/>
  </si>
  <si>
    <t>FCIU5146071</t>
    <phoneticPr fontId="2" type="noConversion"/>
  </si>
  <si>
    <t>25H0340525</t>
    <phoneticPr fontId="2" type="noConversion"/>
  </si>
  <si>
    <t>경기99바1160 / 박범구 기사님 / 010-5245-6584</t>
    <phoneticPr fontId="2" type="noConversion"/>
  </si>
  <si>
    <t>SELA23379905</t>
    <phoneticPr fontId="2" type="noConversion"/>
  </si>
  <si>
    <t>2,180 KG / 계근</t>
    <phoneticPr fontId="2" type="noConversion"/>
  </si>
  <si>
    <t>계근SELA23379905</t>
    <phoneticPr fontId="2" type="noConversion"/>
  </si>
  <si>
    <t>TEMU1765108</t>
    <phoneticPr fontId="2" type="noConversion"/>
  </si>
  <si>
    <t>25H0340524</t>
    <phoneticPr fontId="2" type="noConversion"/>
  </si>
  <si>
    <t>경기99바1104 / 윤형석 기사님 / 010-3712-4290</t>
    <phoneticPr fontId="2" type="noConversion"/>
  </si>
  <si>
    <t>2.100 KG/ 계근</t>
    <phoneticPr fontId="2" type="noConversion"/>
  </si>
  <si>
    <t>경기도 김포시 월곶면 갈산리 171-54</t>
    <phoneticPr fontId="2" type="noConversion"/>
  </si>
  <si>
    <t>SKHU8904688</t>
    <phoneticPr fontId="2" type="noConversion"/>
  </si>
  <si>
    <t>HAL123225</t>
    <phoneticPr fontId="2" type="noConversion"/>
  </si>
  <si>
    <t>HASLK01251202700</t>
    <phoneticPr fontId="2" type="noConversion"/>
  </si>
  <si>
    <t>BIG 부품건</t>
    <phoneticPr fontId="2" type="noConversion"/>
  </si>
  <si>
    <t>활기찬</t>
    <phoneticPr fontId="2" type="noConversion"/>
  </si>
  <si>
    <t>경기 화성시 안녕남로 87-19</t>
    <phoneticPr fontId="2" type="noConversion"/>
  </si>
  <si>
    <t>40FR</t>
    <phoneticPr fontId="2" type="noConversion"/>
  </si>
  <si>
    <t>SITU0410002</t>
    <phoneticPr fontId="2" type="noConversion"/>
  </si>
  <si>
    <t>경기99바7670 / 박경홍 기사님 / 010-3563-9726</t>
    <phoneticPr fontId="2" type="noConversion"/>
  </si>
  <si>
    <t>SITTASPT568067</t>
    <phoneticPr fontId="2" type="noConversion"/>
  </si>
  <si>
    <t>7800(L)*4200(W)*3800(H) MM</t>
    <phoneticPr fontId="2" type="noConversion"/>
  </si>
  <si>
    <t>동화로</t>
    <phoneticPr fontId="2" type="noConversion"/>
  </si>
  <si>
    <t>15일 오후상차</t>
    <phoneticPr fontId="2" type="noConversion"/>
  </si>
  <si>
    <t>16일오전착일</t>
    <phoneticPr fontId="2" type="noConversion"/>
  </si>
  <si>
    <t>TLLU1493720</t>
    <phoneticPr fontId="2" type="noConversion"/>
  </si>
  <si>
    <t>인천99아9874 / 박인서 기사님  / 010-3789-1531</t>
    <phoneticPr fontId="2" type="noConversion"/>
  </si>
  <si>
    <t>부산 강서구 녹산산단 153로 79 (송정동) / 한국로텍</t>
    <phoneticPr fontId="2" type="noConversion"/>
  </si>
  <si>
    <t>mae</t>
    <phoneticPr fontId="2" type="noConversion"/>
  </si>
  <si>
    <t>25톤</t>
    <phoneticPr fontId="2" type="noConversion"/>
  </si>
  <si>
    <t>부산94아5689  / 이종모 기사님 /  010-3576-8351</t>
    <phoneticPr fontId="2" type="noConversion"/>
  </si>
  <si>
    <t>MAEU261855244</t>
    <phoneticPr fontId="2" type="noConversion"/>
  </si>
  <si>
    <t>경남81아9773 / 이창건 기사님 / 010-9616-3363</t>
    <phoneticPr fontId="2" type="noConversion"/>
  </si>
  <si>
    <t>MAEU262055018</t>
    <phoneticPr fontId="2" type="noConversion"/>
  </si>
  <si>
    <t>경북 경산시 진량읍 공단 4로 5길 19</t>
    <phoneticPr fontId="2" type="noConversion"/>
  </si>
  <si>
    <t>ZIM MOUNT DENALI(ZZIF-005) / 11/E</t>
    <phoneticPr fontId="2" type="noConversion"/>
  </si>
  <si>
    <t>ZCSU672768</t>
    <phoneticPr fontId="2" type="noConversion"/>
  </si>
  <si>
    <t>A4251215891</t>
    <phoneticPr fontId="2" type="noConversion"/>
  </si>
  <si>
    <t>ZIMUSEL71194410</t>
    <phoneticPr fontId="2" type="noConversion"/>
  </si>
  <si>
    <t>SEL5M0664500 과 교체</t>
    <phoneticPr fontId="2" type="noConversion"/>
  </si>
  <si>
    <t>코빗</t>
    <phoneticPr fontId="2" type="noConversion"/>
  </si>
  <si>
    <t>전라북도 남원시 시묘길 43-45</t>
    <phoneticPr fontId="2" type="noConversion"/>
  </si>
  <si>
    <t xml:space="preserve">SAWASDEE BALTIC(SWBT-08) / 2511W </t>
    <phoneticPr fontId="2" type="noConversion"/>
  </si>
  <si>
    <t>SKHU9516579</t>
    <phoneticPr fontId="2" type="noConversion"/>
  </si>
  <si>
    <t>HAL225860</t>
    <phoneticPr fontId="2" type="noConversion"/>
  </si>
  <si>
    <t xml:space="preserve">전북98사6647 / 황병우 기사님 / 010-4141-7806 </t>
    <phoneticPr fontId="2" type="noConversion"/>
  </si>
  <si>
    <t xml:space="preserve">HASLK01251200669 </t>
    <phoneticPr fontId="2" type="noConversion"/>
  </si>
  <si>
    <t>광양건</t>
    <phoneticPr fontId="2" type="noConversion"/>
  </si>
  <si>
    <t>경남 양산시 충렬로 143 - 경남 양산시 유산공단 2길 14</t>
    <phoneticPr fontId="2" type="noConversion"/>
  </si>
  <si>
    <t>SKHU6335200</t>
    <phoneticPr fontId="2" type="noConversion"/>
  </si>
  <si>
    <t xml:space="preserve">HAL203782 </t>
    <phoneticPr fontId="2" type="noConversion"/>
  </si>
  <si>
    <t>2공장-1공장 세컨</t>
    <phoneticPr fontId="2" type="noConversion"/>
  </si>
  <si>
    <t>SKHU9423460</t>
    <phoneticPr fontId="2" type="noConversion"/>
  </si>
  <si>
    <t>HAL210736</t>
    <phoneticPr fontId="2" type="noConversion"/>
  </si>
  <si>
    <t>경북98아6056 / 강찬오 기사님 /  010-3550-5287</t>
    <phoneticPr fontId="2" type="noConversion"/>
  </si>
  <si>
    <t>SKHU6465380</t>
    <phoneticPr fontId="2" type="noConversion"/>
  </si>
  <si>
    <t>HAL210560</t>
    <phoneticPr fontId="2" type="noConversion"/>
  </si>
  <si>
    <t>1공장 // T.W 3,700 KG</t>
    <phoneticPr fontId="2" type="noConversion"/>
  </si>
  <si>
    <t>경남 양산시 충렬로 143</t>
    <phoneticPr fontId="2" type="noConversion"/>
  </si>
  <si>
    <t>SKHU6302090</t>
    <phoneticPr fontId="2" type="noConversion"/>
  </si>
  <si>
    <t>HAL210709</t>
    <phoneticPr fontId="2" type="noConversion"/>
  </si>
  <si>
    <t>충남 아산시 둔포면 아산밸리중앙로 154-30</t>
    <phoneticPr fontId="2" type="noConversion"/>
  </si>
  <si>
    <t>11톤윙바디</t>
    <phoneticPr fontId="2" type="noConversion"/>
  </si>
  <si>
    <t>19PKG</t>
    <phoneticPr fontId="2" type="noConversion"/>
  </si>
  <si>
    <t>경기85바1189 / 임홍무 기사님 /  010-9104-6741</t>
    <phoneticPr fontId="2" type="noConversion"/>
  </si>
  <si>
    <t>MAEU262814020</t>
    <phoneticPr fontId="2" type="noConversion"/>
  </si>
  <si>
    <t>PLT SIZE : 1.2*0.8*1M(이단적재 불가능)</t>
    <phoneticPr fontId="2" type="noConversion"/>
  </si>
  <si>
    <t>오후적출</t>
    <phoneticPr fontId="2" type="noConversion"/>
  </si>
  <si>
    <t>15일상차</t>
    <phoneticPr fontId="2" type="noConversion"/>
  </si>
  <si>
    <t>16일하차</t>
    <phoneticPr fontId="2" type="noConversion"/>
  </si>
  <si>
    <t>승일기계</t>
    <phoneticPr fontId="2" type="noConversion"/>
  </si>
  <si>
    <t>경기도 파주시 광탄면 보광로 150</t>
    <phoneticPr fontId="2" type="noConversion"/>
  </si>
  <si>
    <t>NINGBO TRADER(NBTD-15)/2544W</t>
    <phoneticPr fontId="2" type="noConversion"/>
  </si>
  <si>
    <t>SKHU9908121</t>
    <phoneticPr fontId="2" type="noConversion"/>
  </si>
  <si>
    <t>SKR227081</t>
    <phoneticPr fontId="2" type="noConversion"/>
  </si>
  <si>
    <t>SNKO010251111602</t>
    <phoneticPr fontId="2" type="noConversion"/>
  </si>
  <si>
    <t>계근</t>
    <phoneticPr fontId="2" type="noConversion"/>
  </si>
  <si>
    <t>HALU5698092</t>
    <phoneticPr fontId="2" type="noConversion"/>
  </si>
  <si>
    <t>SKR227084</t>
    <phoneticPr fontId="2" type="noConversion"/>
  </si>
  <si>
    <t>대전99바3424 / 김옹윤 기사님 / 010-9284-1551</t>
    <phoneticPr fontId="2" type="noConversion"/>
  </si>
  <si>
    <t>계근SNKO010251111602</t>
    <phoneticPr fontId="2" type="noConversion"/>
  </si>
  <si>
    <t>T.W 3,890 KG</t>
    <phoneticPr fontId="2" type="noConversion"/>
  </si>
  <si>
    <t>HLHU8487015</t>
    <phoneticPr fontId="2" type="noConversion"/>
  </si>
  <si>
    <t>경남99사1517 / 정병해 기사님 / 010-2207-7885</t>
    <phoneticPr fontId="2" type="noConversion"/>
  </si>
  <si>
    <t>ABB</t>
    <phoneticPr fontId="2" type="noConversion"/>
  </si>
  <si>
    <t>충남 천안시 서북구 3공단 4로 49 / 아씨브라운보베리</t>
    <phoneticPr fontId="2" type="noConversion"/>
  </si>
  <si>
    <t>천안</t>
    <phoneticPr fontId="2" type="noConversion"/>
  </si>
  <si>
    <t>SITC TOYOHASHI</t>
    <phoneticPr fontId="2" type="noConversion"/>
  </si>
  <si>
    <t>강원86바1144 / 양승호 기사님 /  010-3865-3898</t>
    <phoneticPr fontId="2" type="noConversion"/>
  </si>
  <si>
    <t>SITPUSH060003</t>
    <phoneticPr fontId="2" type="noConversion"/>
  </si>
  <si>
    <t>2'W/C // 3,100*750*710 // 2,740KG / 합짐*1대  // 충남 천안-감만BPT/2GT/</t>
    <phoneticPr fontId="2" type="noConversion"/>
  </si>
  <si>
    <t>리더스코스메틱</t>
    <phoneticPr fontId="2" type="noConversion"/>
  </si>
  <si>
    <t>경기도 안성시 미양면 제4산단1로 34</t>
    <phoneticPr fontId="2" type="noConversion"/>
  </si>
  <si>
    <t>안성</t>
    <phoneticPr fontId="2" type="noConversion"/>
  </si>
  <si>
    <t>경기93아1778 / 010-8635-5596 / 심진보기사</t>
    <phoneticPr fontId="2" type="noConversion"/>
  </si>
  <si>
    <t>M360205205</t>
    <phoneticPr fontId="2" type="noConversion"/>
  </si>
  <si>
    <t>4'PLTS  /  1,100 X 1,100 X 1,150 (2) + 1,100 X 1,100 X 1,350 (2)  /  1,359 KGS   /  합짐 X 1 대</t>
    <phoneticPr fontId="2" type="noConversion"/>
  </si>
  <si>
    <t>비엔케이</t>
    <phoneticPr fontId="2" type="noConversion"/>
  </si>
  <si>
    <t>경기도 이천시 호법면 이섭대천로 826-148 / 유림물류</t>
    <phoneticPr fontId="2" type="noConversion"/>
  </si>
  <si>
    <t>이천</t>
    <phoneticPr fontId="2" type="noConversion"/>
  </si>
  <si>
    <t>합짐2</t>
    <phoneticPr fontId="2" type="noConversion"/>
  </si>
  <si>
    <t>대구83아2903 / 010-6444-2903 / 김용준기사</t>
    <phoneticPr fontId="2" type="noConversion"/>
  </si>
  <si>
    <t>1'PLT  /  1,200 X 800 X 1,530  /  313 KGS   /  합짐 X 1 대</t>
    <phoneticPr fontId="2" type="noConversion"/>
  </si>
  <si>
    <t>경기도 포천시 가산면 우금리 271-4 1동</t>
    <phoneticPr fontId="2" type="noConversion"/>
  </si>
  <si>
    <t>TIIU5961345</t>
    <phoneticPr fontId="2" type="noConversion"/>
  </si>
  <si>
    <t>강원98바2219 / 장춘환 기사님 / 010-7432-0524</t>
    <phoneticPr fontId="2" type="noConversion"/>
  </si>
  <si>
    <t>DJSCTXG250010116</t>
    <phoneticPr fontId="2" type="noConversion"/>
  </si>
  <si>
    <t>4창고</t>
    <phoneticPr fontId="2" type="noConversion"/>
  </si>
  <si>
    <t>FCIU7083901</t>
    <phoneticPr fontId="2" type="noConversion"/>
  </si>
  <si>
    <t>인천98사4018 / 윤영완기사님 / 0110-5374-0097</t>
    <phoneticPr fontId="2" type="noConversion"/>
  </si>
  <si>
    <t>DJSCTXG250010117</t>
    <phoneticPr fontId="2" type="noConversion"/>
  </si>
  <si>
    <t>SITU9154534</t>
    <phoneticPr fontId="2" type="noConversion"/>
  </si>
  <si>
    <t>kbct</t>
    <phoneticPr fontId="2" type="noConversion"/>
  </si>
  <si>
    <t>SURABAYA VOYAGER(SBVG-) / 9014N</t>
    <phoneticPr fontId="2" type="noConversion"/>
  </si>
  <si>
    <t>SKHU9633003</t>
    <phoneticPr fontId="2" type="noConversion"/>
  </si>
  <si>
    <t>HAL087944</t>
    <phoneticPr fontId="2" type="noConversion"/>
  </si>
  <si>
    <t>경기98자1028 // 010-9280-4083 // 천원수 기사님</t>
    <phoneticPr fontId="2" type="noConversion"/>
  </si>
  <si>
    <t>HASLK01251204798</t>
    <phoneticPr fontId="2" type="noConversion"/>
  </si>
  <si>
    <t>계근필, 셔틀철송 .//</t>
    <phoneticPr fontId="2" type="noConversion"/>
  </si>
  <si>
    <t>대기HASLK01251204798</t>
    <phoneticPr fontId="2" type="noConversion"/>
  </si>
  <si>
    <t>하이코</t>
    <phoneticPr fontId="2" type="noConversion"/>
  </si>
  <si>
    <t>경남 김해시 유하로 59번길 5-1</t>
    <phoneticPr fontId="2" type="noConversion"/>
  </si>
  <si>
    <t>SUNWIN(CKSW-65)2550E</t>
    <phoneticPr fontId="2" type="noConversion"/>
  </si>
  <si>
    <t>CAIU6326608</t>
    <phoneticPr fontId="2" type="noConversion"/>
  </si>
  <si>
    <t>CKL421154</t>
    <phoneticPr fontId="2" type="noConversion"/>
  </si>
  <si>
    <t>부산91아7003  / 박구태 기사님 /  010-7774-3897</t>
    <phoneticPr fontId="2" type="noConversion"/>
  </si>
  <si>
    <t>PU2530272</t>
    <phoneticPr fontId="2" type="noConversion"/>
  </si>
  <si>
    <t>REN JIAN 15(RJ15-008) / 551S</t>
    <phoneticPr fontId="2" type="noConversion"/>
  </si>
  <si>
    <t>TTNU1078188</t>
    <phoneticPr fontId="2" type="noConversion"/>
  </si>
  <si>
    <t>KR1037746</t>
    <phoneticPr fontId="2" type="noConversion"/>
  </si>
  <si>
    <t>262858239</t>
    <phoneticPr fontId="2" type="noConversion"/>
  </si>
  <si>
    <t xml:space="preserve"> 브라질WIP /계근필, 셔틀철송 /</t>
    <phoneticPr fontId="2" type="noConversion"/>
  </si>
  <si>
    <t>TCNU3959611</t>
    <phoneticPr fontId="2" type="noConversion"/>
  </si>
  <si>
    <t>인천99아8737 / 김경주기사님 / 010-7455-3430</t>
    <phoneticPr fontId="2" type="noConversion"/>
  </si>
  <si>
    <t>고성씨앤에이치</t>
    <phoneticPr fontId="2" type="noConversion"/>
  </si>
  <si>
    <t>경기도 화성시 우정읍 쌍봉로 360-10</t>
    <phoneticPr fontId="2" type="noConversion"/>
  </si>
  <si>
    <t>PCLU2196263</t>
    <phoneticPr fontId="2" type="noConversion"/>
  </si>
  <si>
    <t>인천98바2529 / 황금성 기사님 / 010-5541-3705</t>
    <phoneticPr fontId="2" type="noConversion"/>
  </si>
  <si>
    <t>PCLU2543BR8306</t>
    <phoneticPr fontId="2" type="noConversion"/>
  </si>
  <si>
    <t>HT HUIZHOU(JHHZ-09)2511N</t>
    <phoneticPr fontId="2" type="noConversion"/>
  </si>
  <si>
    <t>DYLU5146463</t>
    <phoneticPr fontId="2" type="noConversion"/>
  </si>
  <si>
    <t>DYL816686</t>
    <phoneticPr fontId="2" type="noConversion"/>
  </si>
  <si>
    <t>경기99바1148  / 김진환 기사님 / 010-3234-0881</t>
    <phoneticPr fontId="2" type="noConversion"/>
  </si>
  <si>
    <t>KSLU2502434</t>
    <phoneticPr fontId="2" type="noConversion"/>
  </si>
  <si>
    <t>REN 25 오일 건 / 계근필 / 고중량 // T.W 3,700 KGS // 중량 24,440KG</t>
    <phoneticPr fontId="2" type="noConversion"/>
  </si>
  <si>
    <t>중량KSLU2502434</t>
    <phoneticPr fontId="2" type="noConversion"/>
  </si>
  <si>
    <t>인천 서구 도담 5로 69</t>
    <phoneticPr fontId="2" type="noConversion"/>
  </si>
  <si>
    <t>DONGJIN FIDES(DJFD-87) / 0661S</t>
    <phoneticPr fontId="2" type="noConversion"/>
  </si>
  <si>
    <t>PHRU2606760</t>
    <phoneticPr fontId="2" type="noConversion"/>
  </si>
  <si>
    <t>DJSC73076</t>
    <phoneticPr fontId="2" type="noConversion"/>
  </si>
  <si>
    <t>경기99바1118 / 양병관 기사님 / 010-9102-5244</t>
    <phoneticPr fontId="2" type="noConversion"/>
  </si>
  <si>
    <t>DJSCPUS250024769</t>
    <phoneticPr fontId="2" type="noConversion"/>
  </si>
  <si>
    <t>T.W 2,200KGS</t>
    <phoneticPr fontId="2" type="noConversion"/>
  </si>
  <si>
    <t>POS SHANGHAI(SPSO-47)/1286W</t>
    <phoneticPr fontId="2" type="noConversion"/>
  </si>
  <si>
    <t>PHRU8604580</t>
    <phoneticPr fontId="2" type="noConversion"/>
  </si>
  <si>
    <t>DJSC78304</t>
    <phoneticPr fontId="2" type="noConversion"/>
  </si>
  <si>
    <t>경남99바5224 / 조길래 기사님 / 010-2827-9695</t>
    <phoneticPr fontId="2" type="noConversion"/>
  </si>
  <si>
    <t>DJSCPUS250025415</t>
    <phoneticPr fontId="2" type="noConversion"/>
  </si>
  <si>
    <t>DJLU5017172</t>
    <phoneticPr fontId="2" type="noConversion"/>
  </si>
  <si>
    <t>C78342</t>
    <phoneticPr fontId="2" type="noConversion"/>
  </si>
  <si>
    <t>부산98바8909 / 김건민 기사님 / 010-3333-6788</t>
    <phoneticPr fontId="2" type="noConversion"/>
  </si>
  <si>
    <t>HEUNG-A JANICE(HAJN-46) / 2546W</t>
    <phoneticPr fontId="2" type="noConversion"/>
  </si>
  <si>
    <t>HALU2430887</t>
    <phoneticPr fontId="2" type="noConversion"/>
  </si>
  <si>
    <t>SKR087404</t>
    <phoneticPr fontId="2" type="noConversion"/>
  </si>
  <si>
    <t>울산81사4162 / 윤태준 기사님 / 010-5688-2287</t>
    <phoneticPr fontId="2" type="noConversion"/>
  </si>
  <si>
    <t>HASLK02251200944</t>
    <phoneticPr fontId="2" type="noConversion"/>
  </si>
  <si>
    <t>DJLU2187149</t>
    <phoneticPr fontId="2" type="noConversion"/>
  </si>
  <si>
    <t>DJSC78373</t>
    <phoneticPr fontId="2" type="noConversion"/>
  </si>
  <si>
    <t>부산95아7686 / 문제균 기사님 / 010-6505-3718</t>
    <phoneticPr fontId="2" type="noConversion"/>
  </si>
  <si>
    <t>FCIU5135842</t>
    <phoneticPr fontId="2" type="noConversion"/>
  </si>
  <si>
    <t>부산99바9547 / 박균호 기사님 / 010-2200-7707</t>
    <phoneticPr fontId="2" type="noConversion"/>
  </si>
  <si>
    <t>PCSLSPL608251210</t>
    <phoneticPr fontId="2" type="noConversion"/>
  </si>
  <si>
    <t>TGHU6783220</t>
    <phoneticPr fontId="2" type="noConversion"/>
  </si>
  <si>
    <t>예일해운항공</t>
    <phoneticPr fontId="2" type="noConversion"/>
  </si>
  <si>
    <t>류테크</t>
    <phoneticPr fontId="2" type="noConversion"/>
  </si>
  <si>
    <t>대구 달서구 대천동 688</t>
    <phoneticPr fontId="2" type="noConversion"/>
  </si>
  <si>
    <t>TGBU6375416</t>
    <phoneticPr fontId="2" type="noConversion"/>
  </si>
  <si>
    <t>울산99바1767 / 010-3867-9941 / 박종수기사님.</t>
    <phoneticPr fontId="2" type="noConversion"/>
  </si>
  <si>
    <t>PCLU1351EN5141</t>
    <phoneticPr fontId="2" type="noConversion"/>
  </si>
  <si>
    <t>동양식품기계</t>
    <phoneticPr fontId="2" type="noConversion"/>
  </si>
  <si>
    <t>경기도 김포시 양촌읍 황금로 257번길 3</t>
    <phoneticPr fontId="2" type="noConversion"/>
  </si>
  <si>
    <t>WHLU5518842</t>
    <phoneticPr fontId="2" type="noConversion"/>
  </si>
  <si>
    <t>부산98사7027 / 주형주 기사님  /  010-8778-3579</t>
    <phoneticPr fontId="2" type="noConversion"/>
  </si>
  <si>
    <t>131FX00876</t>
    <phoneticPr fontId="2" type="noConversion"/>
  </si>
  <si>
    <t>WHSU6307182</t>
    <phoneticPr fontId="2" type="noConversion"/>
  </si>
  <si>
    <t>부산98사2964 / 강형석 기사님 /   010-7647-9968</t>
    <phoneticPr fontId="2" type="noConversion"/>
  </si>
  <si>
    <t>WHSU6687190</t>
    <phoneticPr fontId="2" type="noConversion"/>
  </si>
  <si>
    <t>경남99사8374  / 허정석 기사님 / 010-2265-4541</t>
    <phoneticPr fontId="2" type="noConversion"/>
  </si>
  <si>
    <t>보관131FX00876</t>
    <phoneticPr fontId="2" type="noConversion"/>
  </si>
  <si>
    <t>캔슬131FX00876</t>
    <phoneticPr fontId="2" type="noConversion"/>
  </si>
  <si>
    <t>인천광역시 연수구 송도동 297-16 / 영진공사 제 2아암보세창고</t>
    <phoneticPr fontId="2" type="noConversion"/>
  </si>
  <si>
    <t>인천85아4549 / 최희수 기사님 /  010-7572-1292</t>
    <phoneticPr fontId="2" type="noConversion"/>
  </si>
  <si>
    <t>TDCNTJ-C1-2512-1</t>
    <phoneticPr fontId="2" type="noConversion"/>
  </si>
  <si>
    <t>1PLT / 세컨픽업</t>
    <phoneticPr fontId="2" type="noConversion"/>
  </si>
  <si>
    <t>TDCNTJ-C1-2512-4</t>
    <phoneticPr fontId="2" type="noConversion"/>
  </si>
  <si>
    <t>인천 서구 원당대로 395-99(오류동)</t>
  </si>
  <si>
    <t>TCNU2326500</t>
    <phoneticPr fontId="2" type="noConversion"/>
  </si>
  <si>
    <t>서울98사5128  / 최현묵 기사님 / 010-2776-4669</t>
    <phoneticPr fontId="2" type="noConversion"/>
  </si>
  <si>
    <t>TCNU2688407</t>
    <phoneticPr fontId="2" type="noConversion"/>
  </si>
  <si>
    <t>김군환이사님 // KHY2512035B</t>
    <phoneticPr fontId="2" type="noConversion"/>
  </si>
  <si>
    <t>중량WE2525NIN422</t>
    <phoneticPr fontId="2" type="noConversion"/>
  </si>
  <si>
    <t>수호상사</t>
    <phoneticPr fontId="2" type="noConversion"/>
  </si>
  <si>
    <t>경기도 광주시 곤지암읍 가마을길 161</t>
    <phoneticPr fontId="2" type="noConversion"/>
  </si>
  <si>
    <t>FFAU7205915</t>
    <phoneticPr fontId="2" type="noConversion"/>
  </si>
  <si>
    <t>부산98사2274 / 이보윤 기사님 / 010-3307-4237</t>
    <phoneticPr fontId="2" type="noConversion"/>
  </si>
  <si>
    <t>SMLMSZP5K6134100</t>
    <phoneticPr fontId="2" type="noConversion"/>
  </si>
  <si>
    <t>세원</t>
    <phoneticPr fontId="2" type="noConversion"/>
  </si>
  <si>
    <t>경남 함안군 칠원읍 용산 6길 127 / 백운엔지니어링</t>
    <phoneticPr fontId="2" type="noConversion"/>
  </si>
  <si>
    <t>함안</t>
    <phoneticPr fontId="2" type="noConversion"/>
  </si>
  <si>
    <t>L/B1</t>
    <phoneticPr fontId="2" type="noConversion"/>
  </si>
  <si>
    <t>부산98사3000 / 010-9776-0772 / 이상진기사</t>
    <phoneticPr fontId="2" type="noConversion"/>
  </si>
  <si>
    <t>ZIMUSEL71195119</t>
    <phoneticPr fontId="2" type="noConversion"/>
  </si>
  <si>
    <t>7500(L)*2800(W)*3100(H) // 6,700 KGS * 2CON</t>
    <phoneticPr fontId="2" type="noConversion"/>
  </si>
  <si>
    <t>오전픽업</t>
    <phoneticPr fontId="2" type="noConversion"/>
  </si>
  <si>
    <t>14시하차</t>
    <phoneticPr fontId="2" type="noConversion"/>
  </si>
  <si>
    <t>L/B2</t>
    <phoneticPr fontId="2" type="noConversion"/>
  </si>
  <si>
    <t>부산99사7032 / 010-3272-1030 / 박후상기사</t>
    <phoneticPr fontId="2" type="noConversion"/>
  </si>
  <si>
    <t>T/R</t>
    <phoneticPr fontId="2" type="noConversion"/>
  </si>
  <si>
    <t>경남99바2909 / 010-3889-3213 / 김백만기사</t>
    <phoneticPr fontId="2" type="noConversion"/>
  </si>
  <si>
    <t>다모아</t>
    <phoneticPr fontId="2" type="noConversion"/>
  </si>
  <si>
    <t>경남 양산시 백동 2길 9</t>
    <phoneticPr fontId="2" type="noConversion"/>
  </si>
  <si>
    <t>SITC XIN / 2602S</t>
    <phoneticPr fontId="2" type="noConversion"/>
  </si>
  <si>
    <t>TRHU8783690</t>
    <phoneticPr fontId="2" type="noConversion"/>
  </si>
  <si>
    <t>SITR626289</t>
    <phoneticPr fontId="2" type="noConversion"/>
  </si>
  <si>
    <t xml:space="preserve">부산99사3953 / 이광호 기사님 / 010-3552-6907 </t>
    <phoneticPr fontId="2" type="noConversion"/>
  </si>
  <si>
    <t>SITPUCB060243</t>
    <phoneticPr fontId="2" type="noConversion"/>
  </si>
  <si>
    <t>다모아 15번 // 14번이랑 교체(SITPUCB059509)  // T.W 3,700 KG</t>
    <phoneticPr fontId="2" type="noConversion"/>
  </si>
  <si>
    <t>인천광역시 서구 로봇랜드로 249번길 132</t>
    <phoneticPr fontId="2" type="noConversion"/>
  </si>
  <si>
    <t>X-PRESS PHOENIX(XPPH-008) / 25049W</t>
    <phoneticPr fontId="2" type="noConversion"/>
  </si>
  <si>
    <t>BMOU2693837</t>
    <phoneticPr fontId="2" type="noConversion"/>
  </si>
  <si>
    <t>RDSA7332</t>
    <phoneticPr fontId="2" type="noConversion"/>
  </si>
  <si>
    <t>부산98바5398 / 이태인 기사님 / 010-7727-7600</t>
    <phoneticPr fontId="2" type="noConversion"/>
  </si>
  <si>
    <t>RSAPUSNSA241400</t>
    <phoneticPr fontId="2" type="noConversion"/>
  </si>
  <si>
    <t>PCLU5110221</t>
    <phoneticPr fontId="2" type="noConversion"/>
  </si>
  <si>
    <t>부산98사1875 / 김종은 기사님 / 010-6528-5824</t>
    <phoneticPr fontId="2" type="noConversion"/>
  </si>
  <si>
    <t>신화산업</t>
    <phoneticPr fontId="2" type="noConversion"/>
  </si>
  <si>
    <t>대구 달서구 달구벌대로 250길 58</t>
    <phoneticPr fontId="2" type="noConversion"/>
  </si>
  <si>
    <t>HMM HANUL(HOHL-006) / GS22539D</t>
    <phoneticPr fontId="2" type="noConversion"/>
  </si>
  <si>
    <t>TCNU4216354</t>
    <phoneticPr fontId="2" type="noConversion"/>
  </si>
  <si>
    <t>YMAV502323</t>
    <phoneticPr fontId="2" type="noConversion"/>
  </si>
  <si>
    <t>R360714006</t>
    <phoneticPr fontId="2" type="noConversion"/>
  </si>
  <si>
    <t>ABT.. 24TON // AEJEA(JEBEL ALI)   // T.W 3,900 KGS</t>
    <phoneticPr fontId="2" type="noConversion"/>
  </si>
  <si>
    <t>오후</t>
    <phoneticPr fontId="2" type="noConversion"/>
  </si>
  <si>
    <t>보관R360714006</t>
    <phoneticPr fontId="2" type="noConversion"/>
  </si>
  <si>
    <t>보관건  / 장비사용료 :  6만원 , 셔틀료 :  5만원 , 보관료 :  2만원 / DAY 당 &gt; 청구</t>
    <phoneticPr fontId="2" type="noConversion"/>
  </si>
  <si>
    <t>12/30반입 예정</t>
    <phoneticPr fontId="2" type="noConversion"/>
  </si>
  <si>
    <t>CKSU4011094</t>
    <phoneticPr fontId="2" type="noConversion"/>
  </si>
  <si>
    <t>CKCOFUG0007163</t>
    <phoneticPr fontId="2" type="noConversion"/>
  </si>
  <si>
    <t>와이에스엘에이전시</t>
    <phoneticPr fontId="2" type="noConversion"/>
  </si>
  <si>
    <t>한국탄산화학</t>
    <phoneticPr fontId="2" type="noConversion"/>
  </si>
  <si>
    <t>울산광역시 울주군 온산읍 학남리 834-11/제일산업</t>
    <phoneticPr fontId="2" type="noConversion"/>
  </si>
  <si>
    <t>FTAU1614071</t>
    <phoneticPr fontId="2" type="noConversion"/>
  </si>
  <si>
    <t>경남80사5842 / 정은식 기사님 / 010-3933-3355</t>
    <phoneticPr fontId="2" type="noConversion"/>
  </si>
  <si>
    <t>DJSCOSA250001627</t>
    <phoneticPr fontId="2" type="noConversion"/>
  </si>
  <si>
    <t>전라남도 장성군 남면 나노산단로 55</t>
    <phoneticPr fontId="2" type="noConversion"/>
  </si>
  <si>
    <t>HLHU8105787</t>
    <phoneticPr fontId="2" type="noConversion"/>
  </si>
  <si>
    <t>HAL210312</t>
    <phoneticPr fontId="2" type="noConversion"/>
  </si>
  <si>
    <t>HASLK02251201048</t>
    <phoneticPr fontId="2" type="noConversion"/>
  </si>
  <si>
    <t>T.W 3,700 KGS</t>
    <phoneticPr fontId="2" type="noConversion"/>
  </si>
  <si>
    <t xml:space="preserve">STAR EXPRESS ( NSEP-15) / 2516W </t>
    <phoneticPr fontId="2" type="noConversion"/>
  </si>
  <si>
    <t>KMTU9446959</t>
    <phoneticPr fontId="2" type="noConversion"/>
  </si>
  <si>
    <t>KSC579534</t>
    <phoneticPr fontId="2" type="noConversion"/>
  </si>
  <si>
    <t>경기99바9786 / 이경모 / 010-2312-4235</t>
    <phoneticPr fontId="2" type="noConversion"/>
  </si>
  <si>
    <t>KR04272081</t>
    <phoneticPr fontId="2" type="noConversion"/>
  </si>
  <si>
    <t>TCNU2179396</t>
    <phoneticPr fontId="2" type="noConversion"/>
  </si>
  <si>
    <t>경기99아2101 / 남석호 기사님 / 010-2542-7183</t>
    <phoneticPr fontId="2" type="noConversion"/>
  </si>
  <si>
    <t>HYUNDAI COURAGE(HHCR-003) / 0121W</t>
    <phoneticPr fontId="2" type="noConversion"/>
  </si>
  <si>
    <t>BMOU5207564</t>
    <phoneticPr fontId="2" type="noConversion"/>
  </si>
  <si>
    <t>25H0340674</t>
    <phoneticPr fontId="2" type="noConversion"/>
  </si>
  <si>
    <t>SELA23379906</t>
    <phoneticPr fontId="2" type="noConversion"/>
  </si>
  <si>
    <t>계근 // T.W 3.860 KGS</t>
    <phoneticPr fontId="2" type="noConversion"/>
  </si>
  <si>
    <t>계근SELA23379906</t>
    <phoneticPr fontId="2" type="noConversion"/>
  </si>
  <si>
    <t>HMMU2191518</t>
    <phoneticPr fontId="2" type="noConversion"/>
  </si>
  <si>
    <t>25H0340665</t>
    <phoneticPr fontId="2" type="noConversion"/>
  </si>
  <si>
    <t>SELA23379912</t>
    <phoneticPr fontId="2" type="noConversion"/>
  </si>
  <si>
    <t>계근 // T.W 2,100 KGS</t>
    <phoneticPr fontId="2" type="noConversion"/>
  </si>
  <si>
    <t>계근SELA23379912</t>
    <phoneticPr fontId="2" type="noConversion"/>
  </si>
  <si>
    <t>충청북도 음성군 음성읍 신용로 56-20번지 // 1공장</t>
    <phoneticPr fontId="2" type="noConversion"/>
  </si>
  <si>
    <t>8톤</t>
    <phoneticPr fontId="2" type="noConversion"/>
  </si>
  <si>
    <t>경남80사3612 / 이덕열 기사님 / 010-4445-5558</t>
    <phoneticPr fontId="2" type="noConversion"/>
  </si>
  <si>
    <t>005FX31291</t>
    <phoneticPr fontId="2" type="noConversion"/>
  </si>
  <si>
    <t>1,300 * 1,100 * 1,700 [8파레트/7톤]
1,100 * 1,100 * 400 [2파레트/1톤]</t>
    <phoneticPr fontId="2" type="noConversion"/>
  </si>
  <si>
    <t>12/18 픽업</t>
    <phoneticPr fontId="2" type="noConversion"/>
  </si>
  <si>
    <t>12/19 하차</t>
    <phoneticPr fontId="2" type="noConversion"/>
  </si>
  <si>
    <t>사이트솔루션</t>
    <phoneticPr fontId="2" type="noConversion"/>
  </si>
  <si>
    <t>경북 경주시 외동읍 문구로 63-5 / 조은수출포장</t>
    <phoneticPr fontId="2" type="noConversion"/>
  </si>
  <si>
    <t>SKY VICTORIA (CKSV-11) / 2540W</t>
    <phoneticPr fontId="2" type="noConversion"/>
  </si>
  <si>
    <t>TEMU7692800</t>
    <phoneticPr fontId="2" type="noConversion"/>
  </si>
  <si>
    <t>KSC199189</t>
    <phoneticPr fontId="2" type="noConversion"/>
  </si>
  <si>
    <t>KR04272719</t>
    <phoneticPr fontId="2" type="noConversion"/>
  </si>
  <si>
    <t>FCIU7114031</t>
    <phoneticPr fontId="2" type="noConversion"/>
  </si>
  <si>
    <t>KSC588031</t>
    <phoneticPr fontId="2" type="noConversion"/>
  </si>
  <si>
    <t>메디앙스</t>
    <phoneticPr fontId="2" type="noConversion"/>
  </si>
  <si>
    <t>충남 예산군 응봉면 충서로 250</t>
    <phoneticPr fontId="2" type="noConversion"/>
  </si>
  <si>
    <t>ISARA BHUM(ISBM-36) / 2545W</t>
    <phoneticPr fontId="2" type="noConversion"/>
  </si>
  <si>
    <t>SKHU9912902</t>
    <phoneticPr fontId="2" type="noConversion"/>
  </si>
  <si>
    <t>HAL124953</t>
    <phoneticPr fontId="2" type="noConversion"/>
  </si>
  <si>
    <t>HASLK01251203991</t>
    <phoneticPr fontId="2" type="noConversion"/>
  </si>
  <si>
    <t>탑스인터내셔널</t>
    <phoneticPr fontId="2" type="noConversion"/>
  </si>
  <si>
    <t>예담케미칼</t>
    <phoneticPr fontId="2" type="noConversion"/>
  </si>
  <si>
    <t>경북 문경시 영순면 무림길 108-5 / 씨앤오테크</t>
    <phoneticPr fontId="2" type="noConversion"/>
  </si>
  <si>
    <t>TEMU5726959</t>
    <phoneticPr fontId="2" type="noConversion"/>
  </si>
  <si>
    <t>712510924386</t>
    <phoneticPr fontId="2" type="noConversion"/>
  </si>
  <si>
    <t>DG // 하불은 할증 X</t>
    <phoneticPr fontId="2" type="noConversion"/>
  </si>
  <si>
    <t>충남 예산군 응봉면 산단1길 66 / 삼보오토</t>
    <phoneticPr fontId="2" type="noConversion"/>
  </si>
  <si>
    <t>SNL</t>
    <phoneticPr fontId="2" type="noConversion"/>
  </si>
  <si>
    <t>TS COLOMBO(CMBB-005) / 2510E</t>
    <phoneticPr fontId="2" type="noConversion"/>
  </si>
  <si>
    <t>TGBU5297200</t>
    <phoneticPr fontId="2" type="noConversion"/>
  </si>
  <si>
    <t>SNL498875</t>
    <phoneticPr fontId="2" type="noConversion"/>
  </si>
  <si>
    <t>SNW251211015</t>
    <phoneticPr fontId="2" type="noConversion"/>
  </si>
  <si>
    <t>피앤씨코리아</t>
    <phoneticPr fontId="2" type="noConversion"/>
  </si>
  <si>
    <t>경기도 화성시 서신면 화성로 68-44</t>
    <phoneticPr fontId="2" type="noConversion"/>
  </si>
  <si>
    <t>인천80사1474 / 장태영 기사님 / 010-9155-8583</t>
    <phoneticPr fontId="2" type="noConversion"/>
  </si>
  <si>
    <t>SEL5M2130200</t>
    <phoneticPr fontId="2" type="noConversion"/>
  </si>
  <si>
    <t>1140 x 1140 x 1500, 10pallets, 19.5 cbm, 9751.6KG // 상차지 : 경기 화성 서신면
하차지 : 부산 신항 CFS</t>
    <phoneticPr fontId="2" type="noConversion"/>
  </si>
  <si>
    <t>디티씨</t>
    <phoneticPr fontId="2" type="noConversion"/>
  </si>
  <si>
    <t>HMM GARNET(HOGN-004) / 0008E</t>
    <phoneticPr fontId="2" type="noConversion"/>
  </si>
  <si>
    <t>CAIU4440329</t>
    <phoneticPr fontId="2" type="noConversion"/>
  </si>
  <si>
    <t>25H0340706</t>
    <phoneticPr fontId="2" type="noConversion"/>
  </si>
  <si>
    <t>SELM08025702</t>
    <phoneticPr fontId="2" type="noConversion"/>
  </si>
  <si>
    <t>아이엠전자</t>
    <phoneticPr fontId="2" type="noConversion"/>
  </si>
  <si>
    <t>광주 북구 용강마을길 93 오성프레즌트</t>
    <phoneticPr fontId="2" type="noConversion"/>
  </si>
  <si>
    <t>CBLU1114585</t>
    <phoneticPr fontId="2" type="noConversion"/>
  </si>
  <si>
    <t>경기98바2957 / 박세원 기사님 / 010-4717-1557</t>
    <phoneticPr fontId="2" type="noConversion"/>
  </si>
  <si>
    <t>DDCLOPE3485018</t>
    <phoneticPr fontId="2" type="noConversion"/>
  </si>
  <si>
    <t>경기도 포천시 가산면 마정로 96</t>
    <phoneticPr fontId="2" type="noConversion"/>
  </si>
  <si>
    <t>KOCU4943884</t>
    <phoneticPr fontId="2" type="noConversion"/>
  </si>
  <si>
    <t>경기99아4591 / 배장선 기사님 / 010-5227-3733</t>
    <phoneticPr fontId="2" type="noConversion"/>
  </si>
  <si>
    <t>HDMUBOMA19652200</t>
    <phoneticPr fontId="2" type="noConversion"/>
  </si>
  <si>
    <t>TEMU8533090</t>
    <phoneticPr fontId="2" type="noConversion"/>
  </si>
  <si>
    <t>CKCOFUG0007167</t>
    <phoneticPr fontId="2" type="noConversion"/>
  </si>
  <si>
    <t>SITC JIADE(STJD-003) / 2532S</t>
    <phoneticPr fontId="2" type="noConversion"/>
  </si>
  <si>
    <t>FFAU7129754</t>
    <phoneticPr fontId="2" type="noConversion"/>
  </si>
  <si>
    <t>SITR622157</t>
    <phoneticPr fontId="2" type="noConversion"/>
  </si>
  <si>
    <t>SITPUCB060218</t>
    <phoneticPr fontId="2" type="noConversion"/>
  </si>
  <si>
    <t>교체입고 건 // SITPUCB059489 / TRHU8783350 / SITR614802 회수 // T.W 3,700 KG</t>
    <phoneticPr fontId="2" type="noConversion"/>
  </si>
  <si>
    <t>조율</t>
    <phoneticPr fontId="2" type="noConversion"/>
  </si>
  <si>
    <t>트랙시</t>
    <phoneticPr fontId="2" type="noConversion"/>
  </si>
  <si>
    <t>경기도 김포시 양촌읍 대포산단 1로 34, 1층</t>
    <phoneticPr fontId="2" type="noConversion"/>
  </si>
  <si>
    <t>POS QINGDAO(SPCQ-24) / 1058S</t>
    <phoneticPr fontId="2" type="noConversion"/>
  </si>
  <si>
    <t>SEGU6575980</t>
    <phoneticPr fontId="2" type="noConversion"/>
  </si>
  <si>
    <t>KSC360067</t>
    <phoneticPr fontId="2" type="noConversion"/>
  </si>
  <si>
    <t>인천99사1560 / 한지호 기사님 / 010-411-9483</t>
    <phoneticPr fontId="2" type="noConversion"/>
  </si>
  <si>
    <t>KR04279216</t>
  </si>
  <si>
    <t>TXGU5049188</t>
    <phoneticPr fontId="2" type="noConversion"/>
  </si>
  <si>
    <t>KSC360064</t>
    <phoneticPr fontId="2" type="noConversion"/>
  </si>
  <si>
    <t>경기99사8799 / 신성호 기사님 / 010-8756-9341</t>
    <phoneticPr fontId="2" type="noConversion"/>
  </si>
  <si>
    <t>경남 김해시 진례면 서부로 436번길 37-28</t>
    <phoneticPr fontId="2" type="noConversion"/>
  </si>
  <si>
    <t>경남90자8530 / 허진양 기사님 /  010-3781-3719</t>
    <phoneticPr fontId="2" type="noConversion"/>
  </si>
  <si>
    <t>YDCNYC-L1-2512-4</t>
    <phoneticPr fontId="2" type="noConversion"/>
  </si>
  <si>
    <t>TOPK -&gt;GNG 신항CFS // BKG. BLYG2512371-01</t>
    <phoneticPr fontId="2" type="noConversion"/>
  </si>
  <si>
    <t>DJLU5231013</t>
    <phoneticPr fontId="2" type="noConversion"/>
  </si>
  <si>
    <t>C77352</t>
    <phoneticPr fontId="2" type="noConversion"/>
  </si>
  <si>
    <t>KRC</t>
    <phoneticPr fontId="2" type="noConversion"/>
  </si>
  <si>
    <t>TRANSIT MILLIONKA(KRTM-012) / 251428N</t>
    <phoneticPr fontId="2" type="noConversion"/>
  </si>
  <si>
    <t>TRZU1170750</t>
    <phoneticPr fontId="2" type="noConversion"/>
  </si>
  <si>
    <t>270744</t>
    <phoneticPr fontId="2" type="noConversion"/>
  </si>
  <si>
    <t>TSTBS2336760</t>
    <phoneticPr fontId="2" type="noConversion"/>
  </si>
  <si>
    <t>K92오일 건 / ABT. 23 TON // 부산 라운드</t>
    <phoneticPr fontId="2" type="noConversion"/>
  </si>
  <si>
    <t>보관TSTBS2336760</t>
    <phoneticPr fontId="2" type="noConversion"/>
  </si>
  <si>
    <t>1일보관 // 상하차료+셔틀비만 청구</t>
    <phoneticPr fontId="2" type="noConversion"/>
  </si>
  <si>
    <t>19일 반입</t>
    <phoneticPr fontId="2" type="noConversion"/>
  </si>
  <si>
    <t>SAWASDEE SHANGHAI(SWSH-09) / 2519W</t>
    <phoneticPr fontId="2" type="noConversion"/>
  </si>
  <si>
    <t>HSLU2405140</t>
    <phoneticPr fontId="2" type="noConversion"/>
  </si>
  <si>
    <t>HSL019019</t>
    <phoneticPr fontId="2" type="noConversion"/>
  </si>
  <si>
    <t>경남82아4607 / 정철훈 기사님 / 010-8703-0051</t>
    <phoneticPr fontId="2" type="noConversion"/>
  </si>
  <si>
    <t>TDCNTJ-L1-2512-5</t>
    <phoneticPr fontId="2" type="noConversion"/>
  </si>
  <si>
    <t>BKG. HSLI010251200694</t>
    <phoneticPr fontId="2" type="noConversion"/>
  </si>
  <si>
    <t>경남 김해 칠산로 128-1 롯데 김해물류센터</t>
    <phoneticPr fontId="2" type="noConversion"/>
  </si>
  <si>
    <t>TCNU5961109</t>
    <phoneticPr fontId="2" type="noConversion"/>
  </si>
  <si>
    <t>ONEYTAOFN2517500</t>
    <phoneticPr fontId="2" type="noConversion"/>
  </si>
  <si>
    <t>ONEU1876571</t>
    <phoneticPr fontId="2" type="noConversion"/>
  </si>
  <si>
    <t>부산99사6264 / 신준우 기사님 / 010-4517-1281</t>
    <phoneticPr fontId="2" type="noConversion"/>
  </si>
  <si>
    <t>경기도 고양시 일산동구 성석동 56-1번지</t>
    <phoneticPr fontId="2" type="noConversion"/>
  </si>
  <si>
    <t>nsl</t>
    <phoneticPr fontId="2" type="noConversion"/>
  </si>
  <si>
    <t>STAR CHASER / 2515W</t>
    <phoneticPr fontId="2" type="noConversion"/>
  </si>
  <si>
    <t>ZCSU8676882</t>
    <phoneticPr fontId="2" type="noConversion"/>
  </si>
  <si>
    <t>KSB934981</t>
    <phoneticPr fontId="2" type="noConversion"/>
  </si>
  <si>
    <t>PUS25L02228</t>
    <phoneticPr fontId="2" type="noConversion"/>
  </si>
  <si>
    <t>SOC 픽업 // 부산라운드  // T.W 3,900 KGS</t>
    <phoneticPr fontId="2" type="noConversion"/>
  </si>
  <si>
    <t>어스플레이랜드</t>
    <phoneticPr fontId="2" type="noConversion"/>
  </si>
  <si>
    <t>경기도 이천시 모가면 소사리 198-13㈜ 에버헬스케어</t>
    <phoneticPr fontId="2" type="noConversion"/>
  </si>
  <si>
    <t>TRHU4872401</t>
    <phoneticPr fontId="2" type="noConversion"/>
  </si>
  <si>
    <t>경북98아7810 / 홍성우 기사님 / 010-2835-6422</t>
    <phoneticPr fontId="2" type="noConversion"/>
  </si>
  <si>
    <t>MAEU262278422</t>
    <phoneticPr fontId="2" type="noConversion"/>
  </si>
  <si>
    <t>17일 만기상차</t>
    <phoneticPr fontId="2" type="noConversion"/>
  </si>
  <si>
    <t>한울로직스</t>
    <phoneticPr fontId="2" type="noConversion"/>
  </si>
  <si>
    <t>반납비MAEU262278422</t>
    <phoneticPr fontId="2" type="noConversion"/>
  </si>
  <si>
    <t>예스지투엠</t>
    <phoneticPr fontId="2" type="noConversion"/>
  </si>
  <si>
    <t>부산 기장군 정관읍 용수단길 2길 34</t>
    <phoneticPr fontId="2" type="noConversion"/>
  </si>
  <si>
    <t>MOL CHARISMA(OMCW-007) / 0234E</t>
    <phoneticPr fontId="2" type="noConversion"/>
  </si>
  <si>
    <t>KOCU4598730</t>
    <phoneticPr fontId="2" type="noConversion"/>
  </si>
  <si>
    <t>25H0277346</t>
    <phoneticPr fontId="2" type="noConversion"/>
  </si>
  <si>
    <t>부산99바7377 / 김양현 기사님 / 010-8224-1828</t>
    <phoneticPr fontId="2" type="noConversion"/>
  </si>
  <si>
    <t>SSELM32859900</t>
    <phoneticPr fontId="2" type="noConversion"/>
  </si>
  <si>
    <t>계근필</t>
    <phoneticPr fontId="2" type="noConversion"/>
  </si>
  <si>
    <t>계근SSELM32859900</t>
    <phoneticPr fontId="2" type="noConversion"/>
  </si>
  <si>
    <t xml:space="preserve">경북 경산시 진량읍 공단4로 5길 19   </t>
    <phoneticPr fontId="2" type="noConversion"/>
  </si>
  <si>
    <t>HMM EMERALD(HOEM-08) / 0011E</t>
    <phoneticPr fontId="2" type="noConversion"/>
  </si>
  <si>
    <t>SMCU1063220</t>
    <phoneticPr fontId="2" type="noConversion"/>
  </si>
  <si>
    <t>SM886808</t>
    <phoneticPr fontId="2" type="noConversion"/>
  </si>
  <si>
    <t>SEL5L4221400</t>
    <phoneticPr fontId="2" type="noConversion"/>
  </si>
  <si>
    <t>12/15 입고한 ZIMUSEL71194410 / ZCSU672768 / A4251215891 해당 컨테이너와 교체 입고  // T.W 3,730 KGS</t>
    <phoneticPr fontId="2" type="noConversion"/>
  </si>
  <si>
    <t>오.에스.티</t>
    <phoneticPr fontId="2" type="noConversion"/>
  </si>
  <si>
    <t>니카코라이</t>
    <phoneticPr fontId="2" type="noConversion"/>
  </si>
  <si>
    <t>대구 광역시 달서구 월암동 1-75 보우창고</t>
    <phoneticPr fontId="2" type="noConversion"/>
  </si>
  <si>
    <t>HONGKONG VOYAGER(HKVY-37) / 2543W</t>
    <phoneticPr fontId="2" type="noConversion"/>
  </si>
  <si>
    <t xml:space="preserve"> SKHU9200831</t>
    <phoneticPr fontId="2" type="noConversion"/>
  </si>
  <si>
    <t>SKR418378</t>
    <phoneticPr fontId="2" type="noConversion"/>
  </si>
  <si>
    <t>SNKO010251203982</t>
    <phoneticPr fontId="2" type="noConversion"/>
  </si>
  <si>
    <t>경기 양주시 화합로 1723-13</t>
    <phoneticPr fontId="2" type="noConversion"/>
  </si>
  <si>
    <t>ict</t>
    <phoneticPr fontId="2" type="noConversion"/>
  </si>
  <si>
    <t>CAAU9894110</t>
    <phoneticPr fontId="2" type="noConversion"/>
  </si>
  <si>
    <t>QM2515NIN427</t>
    <phoneticPr fontId="2" type="noConversion"/>
  </si>
  <si>
    <t>경남 김해시 장유로 89번길 5</t>
    <phoneticPr fontId="2" type="noConversion"/>
  </si>
  <si>
    <t>EAXU6253465</t>
    <phoneticPr fontId="2" type="noConversion"/>
  </si>
  <si>
    <t>부산99바8206 / 박봉호 기사님 / 010-2899-7116</t>
    <phoneticPr fontId="2" type="noConversion"/>
  </si>
  <si>
    <t>EASPH2550SB8011</t>
    <phoneticPr fontId="2" type="noConversion"/>
  </si>
  <si>
    <t>MS TECH</t>
    <phoneticPr fontId="2" type="noConversion"/>
  </si>
  <si>
    <t>김포 대곶면 대벽리 690-27</t>
    <phoneticPr fontId="2" type="noConversion"/>
  </si>
  <si>
    <t>PEGASUS HOPE(DPHP-21) / 2525W</t>
    <phoneticPr fontId="2" type="noConversion"/>
  </si>
  <si>
    <t>TRHU5698341</t>
    <phoneticPr fontId="2" type="noConversion"/>
  </si>
  <si>
    <t>KSC633548</t>
    <phoneticPr fontId="2" type="noConversion"/>
  </si>
  <si>
    <t>KR04281909</t>
    <phoneticPr fontId="2" type="noConversion"/>
  </si>
  <si>
    <t>경북 경산시 진량읍 당곡 2길 90</t>
    <phoneticPr fontId="2" type="noConversion"/>
  </si>
  <si>
    <t>KMTC JEBEL ALI(KKJA-004) / 2507W</t>
    <phoneticPr fontId="2" type="noConversion"/>
  </si>
  <si>
    <t>CAIU6302139</t>
    <phoneticPr fontId="2" type="noConversion"/>
  </si>
  <si>
    <t>RDSA6949</t>
    <phoneticPr fontId="2" type="noConversion"/>
  </si>
  <si>
    <t>부산98사8813 / 조갑제 기사님 / 010-3843-6910</t>
    <phoneticPr fontId="2" type="noConversion"/>
  </si>
  <si>
    <t>RSAPUSMAA917800</t>
    <phoneticPr fontId="2" type="noConversion"/>
  </si>
  <si>
    <t>T.W 2,150 KG</t>
    <phoneticPr fontId="2" type="noConversion"/>
  </si>
  <si>
    <t>충남서산시 성연면 성왕산길 101, 대원 3층 코오롱글로텍 서산창고</t>
    <phoneticPr fontId="2" type="noConversion"/>
  </si>
  <si>
    <t>NSSU7160756</t>
    <phoneticPr fontId="2" type="noConversion"/>
  </si>
  <si>
    <t>NSSLSNBSC2500453</t>
    <phoneticPr fontId="2" type="noConversion"/>
  </si>
  <si>
    <t>경과보관료대납NSSLSNBSC2500453</t>
    <phoneticPr fontId="2" type="noConversion"/>
  </si>
  <si>
    <t>SEGU2519587</t>
    <phoneticPr fontId="2" type="noConversion"/>
  </si>
  <si>
    <t>KMTCFQG0211938</t>
    <phoneticPr fontId="2" type="noConversion"/>
  </si>
  <si>
    <t>THN 대구</t>
    <phoneticPr fontId="2" type="noConversion"/>
  </si>
  <si>
    <t>대구시 달서구 성서로 71길 43 = 갈산동</t>
    <phoneticPr fontId="2" type="noConversion"/>
  </si>
  <si>
    <t>SKLU2071160</t>
    <phoneticPr fontId="2" type="noConversion"/>
  </si>
  <si>
    <t>HASLJ01251101192</t>
    <phoneticPr fontId="2" type="noConversion"/>
  </si>
  <si>
    <t xml:space="preserve">진일엠브이씨 </t>
    <phoneticPr fontId="2" type="noConversion"/>
  </si>
  <si>
    <t>울산 북구 달천동 205-3 / 울산 국제 프로토 산업</t>
    <phoneticPr fontId="2" type="noConversion"/>
  </si>
  <si>
    <t>울산</t>
    <phoneticPr fontId="2" type="noConversion"/>
  </si>
  <si>
    <t>3.5톤</t>
    <phoneticPr fontId="2" type="noConversion"/>
  </si>
  <si>
    <t>부산96아1321 / 김정철 기사님. /  010-5761-4040</t>
    <phoneticPr fontId="2" type="noConversion"/>
  </si>
  <si>
    <t>ONEYDELF49307600</t>
    <phoneticPr fontId="2" type="noConversion"/>
  </si>
  <si>
    <t>현대농업</t>
  </si>
  <si>
    <t>인천 동구 만석동</t>
    <phoneticPr fontId="2" type="noConversion"/>
  </si>
  <si>
    <t>snct</t>
    <phoneticPr fontId="2" type="noConversion"/>
  </si>
  <si>
    <t>YA LU JIANG( YLJG-96) / 893W</t>
    <phoneticPr fontId="2" type="noConversion"/>
  </si>
  <si>
    <t>WFHU1414961</t>
    <phoneticPr fontId="2" type="noConversion"/>
  </si>
  <si>
    <t>DWS2435316</t>
    <phoneticPr fontId="2" type="noConversion"/>
  </si>
  <si>
    <t>경기99아5231 / 김정구 기사님 / 010-3775-0512</t>
    <phoneticPr fontId="2" type="noConversion"/>
  </si>
  <si>
    <t>DWSID251218004</t>
    <phoneticPr fontId="2" type="noConversion"/>
  </si>
  <si>
    <t>밥테일 + 보세반송</t>
    <phoneticPr fontId="2" type="noConversion"/>
  </si>
  <si>
    <t>DWSU3000698</t>
    <phoneticPr fontId="2" type="noConversion"/>
  </si>
  <si>
    <t>DWS2435429</t>
    <phoneticPr fontId="2" type="noConversion"/>
  </si>
  <si>
    <t>보세DWSID251218004</t>
    <phoneticPr fontId="2" type="noConversion"/>
  </si>
  <si>
    <t>보세DWSID251218004</t>
  </si>
  <si>
    <t>뷰웍스</t>
    <phoneticPr fontId="2" type="noConversion"/>
  </si>
  <si>
    <t>경기 화성시 정남면 정남산단2길 25-7 화성정남일반산업단지1-2B / 뷰웍스 정남공장</t>
    <phoneticPr fontId="2" type="noConversion"/>
  </si>
  <si>
    <t>KMTC OSAKA(KKAK-49) / 2519S</t>
    <phoneticPr fontId="2" type="noConversion"/>
  </si>
  <si>
    <t>DRYU2144519</t>
    <phoneticPr fontId="2" type="noConversion"/>
  </si>
  <si>
    <t>KSA013652</t>
    <phoneticPr fontId="2" type="noConversion"/>
  </si>
  <si>
    <t>경기91바9113 / 이승민 기사님 / 010-9923-4207</t>
    <phoneticPr fontId="2" type="noConversion"/>
  </si>
  <si>
    <t>KR04274767</t>
    <phoneticPr fontId="2" type="noConversion"/>
  </si>
  <si>
    <t>SOC밴 // T.W 2,200 KGS</t>
    <phoneticPr fontId="2" type="noConversion"/>
  </si>
  <si>
    <t>우선</t>
    <phoneticPr fontId="2" type="noConversion"/>
  </si>
  <si>
    <t>CFS작업KR04274767</t>
    <phoneticPr fontId="2" type="noConversion"/>
  </si>
  <si>
    <t>인천 서구 원당대로 359-99</t>
    <phoneticPr fontId="2" type="noConversion"/>
  </si>
  <si>
    <t>NSSU7102111</t>
    <phoneticPr fontId="2" type="noConversion"/>
  </si>
  <si>
    <t>NSSLAXMN25J00244</t>
    <phoneticPr fontId="2" type="noConversion"/>
  </si>
  <si>
    <t>NSSLAXMN25J00244 - KHY2510095B ./// 김군환이사님</t>
    <phoneticPr fontId="2" type="noConversion"/>
  </si>
  <si>
    <t>에코매스</t>
    <phoneticPr fontId="2" type="noConversion"/>
  </si>
  <si>
    <t>인천 서구 도담로 99 / 에코매스 1공장</t>
    <phoneticPr fontId="2" type="noConversion"/>
  </si>
  <si>
    <t>ANL</t>
    <phoneticPr fontId="2" type="noConversion"/>
  </si>
  <si>
    <t>ALS JUNO(ANJU-001) / 0AKLLS1NL</t>
    <phoneticPr fontId="2" type="noConversion"/>
  </si>
  <si>
    <t>TEMU5237768</t>
    <phoneticPr fontId="2" type="noConversion"/>
  </si>
  <si>
    <t>R8899246</t>
    <phoneticPr fontId="2" type="noConversion"/>
  </si>
  <si>
    <t>AEM0211556</t>
    <phoneticPr fontId="2" type="noConversion"/>
  </si>
  <si>
    <t>T.W 2,200KG</t>
    <phoneticPr fontId="2" type="noConversion"/>
  </si>
  <si>
    <t>경기 김포시 월곶면 갈산리 171-54</t>
    <phoneticPr fontId="2" type="noConversion"/>
  </si>
  <si>
    <t>MSC ARINA(MSRN-002) / 0551W</t>
    <phoneticPr fontId="2" type="noConversion"/>
  </si>
  <si>
    <t>KKTU7810080</t>
    <phoneticPr fontId="2" type="noConversion"/>
  </si>
  <si>
    <t>KRAW52634</t>
    <phoneticPr fontId="2" type="noConversion"/>
  </si>
  <si>
    <t>PUSF11991800</t>
    <phoneticPr fontId="2" type="noConversion"/>
  </si>
  <si>
    <t>이스라엘 PGF건 // 계근 // 철송</t>
    <phoneticPr fontId="2" type="noConversion"/>
  </si>
  <si>
    <t>PRESIDENT GRANT(APGR-015) / 0DBMYW1MA</t>
    <phoneticPr fontId="2" type="noConversion"/>
  </si>
  <si>
    <t>ECMU7558244</t>
    <phoneticPr fontId="2" type="noConversion"/>
  </si>
  <si>
    <t>R8741261</t>
    <phoneticPr fontId="2" type="noConversion"/>
  </si>
  <si>
    <t>SEL2006640</t>
    <phoneticPr fontId="2" type="noConversion"/>
  </si>
  <si>
    <t>사우다 AKK건 / 인천픽업  //  T.W 3,700 KG</t>
    <phoneticPr fontId="2" type="noConversion"/>
  </si>
  <si>
    <t>인천픽업SEL2006640</t>
    <phoneticPr fontId="2" type="noConversion"/>
  </si>
  <si>
    <t>사우다 AKK건 / 인천픽업</t>
    <phoneticPr fontId="2" type="noConversion"/>
  </si>
  <si>
    <t>TEMU8597480</t>
    <phoneticPr fontId="2" type="noConversion"/>
  </si>
  <si>
    <t>YMJAI228514574</t>
    <phoneticPr fontId="2" type="noConversion"/>
  </si>
  <si>
    <t>ONEU1995122</t>
    <phoneticPr fontId="2" type="noConversion"/>
  </si>
  <si>
    <t>경과보관료대납ONEYTAOFN2517500</t>
    <phoneticPr fontId="2" type="noConversion"/>
  </si>
  <si>
    <t>경과보관료 대나</t>
    <phoneticPr fontId="2" type="noConversion"/>
  </si>
  <si>
    <t>한국폴리아세탈</t>
    <phoneticPr fontId="2" type="noConversion"/>
  </si>
  <si>
    <t>경기 광주시 도착면 다람로 36번길 93-8</t>
    <phoneticPr fontId="2" type="noConversion"/>
  </si>
  <si>
    <t>25톤윙바디</t>
    <phoneticPr fontId="2" type="noConversion"/>
  </si>
  <si>
    <t>820KG * 30 BAG</t>
    <phoneticPr fontId="2" type="noConversion"/>
  </si>
  <si>
    <t>경북81아7287 / 김광현 기사님 / 010-4712-4439</t>
    <phoneticPr fontId="2" type="noConversion"/>
  </si>
  <si>
    <t>SNKO03N251200022</t>
    <phoneticPr fontId="2" type="noConversion"/>
  </si>
  <si>
    <t>100*100*110~120 CM정도</t>
    <phoneticPr fontId="2" type="noConversion"/>
  </si>
  <si>
    <t>경기도 평택시 포승읍 하만호길 209</t>
    <phoneticPr fontId="2" type="noConversion"/>
  </si>
  <si>
    <t>SAWASDEE DENEB(SWDN-14) / 2514S</t>
    <phoneticPr fontId="2" type="noConversion"/>
  </si>
  <si>
    <t>SEKU1370132</t>
    <phoneticPr fontId="2" type="noConversion"/>
  </si>
  <si>
    <t>NSL531549</t>
    <phoneticPr fontId="2" type="noConversion"/>
  </si>
  <si>
    <t>3'COIL, 20,030 KGS</t>
    <phoneticPr fontId="2" type="noConversion"/>
  </si>
  <si>
    <t>PTK25K00022</t>
    <phoneticPr fontId="2" type="noConversion"/>
  </si>
  <si>
    <t>쇼링비1</t>
    <phoneticPr fontId="2" type="noConversion"/>
  </si>
  <si>
    <t>SEKU1370132, NSL531549</t>
    <phoneticPr fontId="2" type="noConversion"/>
  </si>
  <si>
    <t>장비대1</t>
    <phoneticPr fontId="2" type="noConversion"/>
  </si>
  <si>
    <t xml:space="preserve">6,790 장비대 ㅇㅇ </t>
    <phoneticPr fontId="2" type="noConversion"/>
  </si>
  <si>
    <t>대신에스앤비(자더러)</t>
    <phoneticPr fontId="2" type="noConversion"/>
  </si>
  <si>
    <t>경남 함안군 군북면 함안 산단 3길 24</t>
    <phoneticPr fontId="2" type="noConversion"/>
  </si>
  <si>
    <t>TCNU4163892</t>
    <phoneticPr fontId="2" type="noConversion"/>
  </si>
  <si>
    <t>부산99사6817 / 안승배 기사님 / 010-8513-7252</t>
    <phoneticPr fontId="2" type="noConversion"/>
  </si>
  <si>
    <t>PCSLSBL604251127</t>
    <phoneticPr fontId="2" type="noConversion"/>
  </si>
  <si>
    <t>HYUNDAI SHANGHAI(HHSH-002) / 0153S</t>
    <phoneticPr fontId="2" type="noConversion"/>
  </si>
  <si>
    <t>GCXU2132539</t>
    <phoneticPr fontId="2" type="noConversion"/>
  </si>
  <si>
    <t>25H0348570</t>
    <phoneticPr fontId="2" type="noConversion"/>
  </si>
  <si>
    <t>경남82사3073 / 정연택 기사님 / 010-8543-4009</t>
    <phoneticPr fontId="2" type="noConversion"/>
  </si>
  <si>
    <t>PUSO81063400</t>
    <phoneticPr fontId="2" type="noConversion"/>
  </si>
  <si>
    <t>경기 평택시 청북면 고렴길 49-28</t>
    <phoneticPr fontId="2" type="noConversion"/>
  </si>
  <si>
    <t>TRHU8224979</t>
    <phoneticPr fontId="2" type="noConversion"/>
  </si>
  <si>
    <t>경기99사8809 / 신수민 기사님 / 010-2458-6316</t>
    <phoneticPr fontId="2" type="noConversion"/>
  </si>
  <si>
    <t>ONEYLEHF38426900</t>
    <phoneticPr fontId="2" type="noConversion"/>
  </si>
  <si>
    <t xml:space="preserve">여명벽지 </t>
    <phoneticPr fontId="2" type="noConversion"/>
  </si>
  <si>
    <t>NSSU7045264</t>
    <phoneticPr fontId="2" type="noConversion"/>
  </si>
  <si>
    <t>인천99아5953 / 이동선 기사님 / 010-5364-4994</t>
    <phoneticPr fontId="2" type="noConversion"/>
  </si>
  <si>
    <t>NSSLATXG25L00060</t>
    <phoneticPr fontId="2" type="noConversion"/>
  </si>
  <si>
    <t>JCS</t>
    <phoneticPr fontId="2" type="noConversion"/>
  </si>
  <si>
    <t>DFSU7641930</t>
    <phoneticPr fontId="2" type="noConversion"/>
  </si>
  <si>
    <t>JCSCFE733E131</t>
    <phoneticPr fontId="2" type="noConversion"/>
  </si>
  <si>
    <t>티에이치로지스 
김명신 055-384-0922</t>
    <phoneticPr fontId="2" type="noConversion"/>
  </si>
  <si>
    <t>해영국제운송</t>
    <phoneticPr fontId="2" type="noConversion"/>
  </si>
  <si>
    <t>충북 진천군 덕산읍신척 1길 96-16</t>
    <phoneticPr fontId="2" type="noConversion"/>
  </si>
  <si>
    <t>충북진천</t>
    <phoneticPr fontId="2" type="noConversion"/>
  </si>
  <si>
    <t>L/B</t>
    <phoneticPr fontId="2" type="noConversion"/>
  </si>
  <si>
    <t>부산99사8781  / 남동훈 기사님 / 010-4546-5506</t>
    <phoneticPr fontId="2" type="noConversion"/>
  </si>
  <si>
    <t>3,150*1,900*3,400 / 8톤, 2,050*1,900*3,750 / 1.5톤</t>
    <phoneticPr fontId="2" type="noConversion"/>
  </si>
  <si>
    <t>22일 17시</t>
    <phoneticPr fontId="2" type="noConversion"/>
  </si>
  <si>
    <t>23일 아침하차</t>
    <phoneticPr fontId="2" type="noConversion"/>
  </si>
  <si>
    <t>ZHONG CHUAN HAI YUN / HKK1104N</t>
    <phoneticPr fontId="2" type="noConversion"/>
  </si>
  <si>
    <t>FESU5300067</t>
    <phoneticPr fontId="2" type="noConversion"/>
  </si>
  <si>
    <t>F269792</t>
    <phoneticPr fontId="2" type="noConversion"/>
  </si>
  <si>
    <t>경남99바4920 / 김용환 기사님 / 010-2370-3370</t>
    <phoneticPr fontId="2" type="noConversion"/>
  </si>
  <si>
    <t>FE251210Z08</t>
    <phoneticPr fontId="2" type="noConversion"/>
  </si>
  <si>
    <t>인천 픽업건  //고중량건(24톤) // STAO 44 오일 건</t>
    <phoneticPr fontId="2" type="noConversion"/>
  </si>
  <si>
    <t>중량FE251210Z08</t>
    <phoneticPr fontId="2" type="noConversion"/>
  </si>
  <si>
    <t>인천FE251210Z08</t>
    <phoneticPr fontId="2" type="noConversion"/>
  </si>
  <si>
    <t>CULU5803090</t>
    <phoneticPr fontId="2" type="noConversion"/>
  </si>
  <si>
    <t>대전99바7456 / 유희현 기사님 / 010-3706-2709</t>
    <phoneticPr fontId="2" type="noConversion"/>
  </si>
  <si>
    <t>CULVXMN2501949</t>
    <phoneticPr fontId="2" type="noConversion"/>
  </si>
  <si>
    <t>cul 벤라인</t>
    <phoneticPr fontId="2" type="noConversion"/>
  </si>
  <si>
    <t>DYLU5145765</t>
    <phoneticPr fontId="2" type="noConversion"/>
  </si>
  <si>
    <t>부산98사1940 / 박영진 기사님 / 010-3583-6479</t>
    <phoneticPr fontId="2" type="noConversion"/>
  </si>
  <si>
    <t>GRASMERE MAERSK(MGAS-011) / 552S</t>
    <phoneticPr fontId="2" type="noConversion"/>
  </si>
  <si>
    <t>MRSU7169658</t>
    <phoneticPr fontId="2" type="noConversion"/>
  </si>
  <si>
    <t>KR1039255</t>
    <phoneticPr fontId="2" type="noConversion"/>
  </si>
  <si>
    <t>263303699</t>
    <phoneticPr fontId="2" type="noConversion"/>
  </si>
  <si>
    <t>ZEN 부품  // T.W 3,720 KG</t>
    <phoneticPr fontId="2" type="noConversion"/>
  </si>
  <si>
    <t>케이앤비글로벌</t>
    <phoneticPr fontId="2" type="noConversion"/>
  </si>
  <si>
    <t>부산 사하구 장림동 1090-1 / 유한그린 물류센터</t>
    <phoneticPr fontId="2" type="noConversion"/>
  </si>
  <si>
    <t>PHRU8192292</t>
    <phoneticPr fontId="2" type="noConversion"/>
  </si>
  <si>
    <t>DOLBYS2548E203</t>
    <phoneticPr fontId="2" type="noConversion"/>
  </si>
  <si>
    <t>더블유에스조인해운</t>
    <phoneticPr fontId="2" type="noConversion"/>
  </si>
  <si>
    <t>CCLU7451190</t>
    <phoneticPr fontId="2" type="noConversion"/>
  </si>
  <si>
    <t>COAU7264855850</t>
    <phoneticPr fontId="2" type="noConversion"/>
  </si>
  <si>
    <t>EAXU6108723</t>
    <phoneticPr fontId="2" type="noConversion"/>
  </si>
  <si>
    <t>DFSU7305387</t>
    <phoneticPr fontId="2" type="noConversion"/>
  </si>
  <si>
    <t>충북98바5208 / 정현근 기사님 / 010-5256-5863</t>
    <phoneticPr fontId="2" type="noConversion"/>
  </si>
  <si>
    <t>JCSCFE733E132</t>
    <phoneticPr fontId="2" type="noConversion"/>
  </si>
  <si>
    <t>DFSU7305089</t>
  </si>
  <si>
    <t>JCSCFE733E133</t>
    <phoneticPr fontId="2" type="noConversion"/>
  </si>
  <si>
    <t>경기도 포천시 가산면 금현리 318-1</t>
    <phoneticPr fontId="2" type="noConversion"/>
  </si>
  <si>
    <t>PHRU8700599</t>
    <phoneticPr fontId="2" type="noConversion"/>
  </si>
  <si>
    <t>DJSCRXG250010119</t>
    <phoneticPr fontId="2" type="noConversion"/>
  </si>
  <si>
    <t>3창고</t>
    <phoneticPr fontId="2" type="noConversion"/>
  </si>
  <si>
    <t>FCIU8814868</t>
    <phoneticPr fontId="2" type="noConversion"/>
  </si>
  <si>
    <t>JCSCFE733E134</t>
    <phoneticPr fontId="2" type="noConversion"/>
  </si>
  <si>
    <t>NSSU0116176</t>
    <phoneticPr fontId="2" type="noConversion"/>
  </si>
  <si>
    <t>NSL531528</t>
    <phoneticPr fontId="2" type="noConversion"/>
  </si>
  <si>
    <t>9'BOX , 21,752KGS</t>
    <phoneticPr fontId="2" type="noConversion"/>
  </si>
  <si>
    <t>TEMU5737845</t>
    <phoneticPr fontId="2" type="noConversion"/>
  </si>
  <si>
    <t>NSL531525</t>
    <phoneticPr fontId="2" type="noConversion"/>
  </si>
  <si>
    <t>9'BOX , 21,633 KGS</t>
    <phoneticPr fontId="2" type="noConversion"/>
  </si>
  <si>
    <t>TEMU5737845, NSL531525</t>
    <phoneticPr fontId="2" type="noConversion"/>
  </si>
  <si>
    <t>2,465 / 2,411 장비대 X</t>
    <phoneticPr fontId="2" type="noConversion"/>
  </si>
  <si>
    <t>TCNU1550080</t>
    <phoneticPr fontId="2" type="noConversion"/>
  </si>
  <si>
    <t>충북98바7253 / 정용찬 기사님 / 010-9447-1436</t>
    <phoneticPr fontId="2" type="noConversion"/>
  </si>
  <si>
    <t>EASPH2551SB5032</t>
    <phoneticPr fontId="2" type="noConversion"/>
  </si>
  <si>
    <t>중량20%, 하불 4월운수</t>
    <phoneticPr fontId="2" type="noConversion"/>
  </si>
  <si>
    <t>MRKU2886843</t>
    <phoneticPr fontId="2" type="noConversion"/>
  </si>
  <si>
    <t>부산98사1063 / 이규산 기사님 / 010-3870-5033</t>
    <phoneticPr fontId="2" type="noConversion"/>
  </si>
  <si>
    <t>MAEU262429990</t>
    <phoneticPr fontId="2" type="noConversion"/>
  </si>
  <si>
    <t>중량MAEU262429990</t>
    <phoneticPr fontId="2" type="noConversion"/>
  </si>
  <si>
    <t xml:space="preserve">중량할증 30퍼 / 25,880 KGS </t>
    <phoneticPr fontId="2" type="noConversion"/>
  </si>
  <si>
    <t>계근MAEU262429990</t>
    <phoneticPr fontId="2" type="noConversion"/>
  </si>
  <si>
    <t>CAAU5370584</t>
    <phoneticPr fontId="2" type="noConversion"/>
  </si>
  <si>
    <t>NSSLADLC25L00113</t>
    <phoneticPr fontId="2" type="noConversion"/>
  </si>
  <si>
    <t>경기도 양주시 화합로 1723-13</t>
    <phoneticPr fontId="2" type="noConversion"/>
  </si>
  <si>
    <t>TCNU4523730</t>
    <phoneticPr fontId="2" type="noConversion"/>
  </si>
  <si>
    <t>경기99아4084 / 박윤복 기사님 / 010-7137-8929</t>
    <phoneticPr fontId="2" type="noConversion"/>
  </si>
  <si>
    <t>YA2517NIN432</t>
    <phoneticPr fontId="2" type="noConversion"/>
  </si>
  <si>
    <t>YA2517NIN432 - KHY2512077D</t>
    <phoneticPr fontId="2" type="noConversion"/>
  </si>
  <si>
    <t>SAWASDEE VEGA(SWVG-45) / 2546W</t>
    <phoneticPr fontId="2" type="noConversion"/>
  </si>
  <si>
    <t>BMOU5196114</t>
    <phoneticPr fontId="2" type="noConversion"/>
  </si>
  <si>
    <t>HAL196608</t>
    <phoneticPr fontId="2" type="noConversion"/>
  </si>
  <si>
    <t>부산99바9737 / 이재호 기사님 / 010-3007-8897</t>
    <phoneticPr fontId="2" type="noConversion"/>
  </si>
  <si>
    <t>HASLK02251101604</t>
    <phoneticPr fontId="2" type="noConversion"/>
  </si>
  <si>
    <t>SEKU5221754</t>
    <phoneticPr fontId="2" type="noConversion"/>
  </si>
  <si>
    <t>부산99바8258 / 강래한 기사님 / 010-3832-4341</t>
    <phoneticPr fontId="2" type="noConversion"/>
  </si>
  <si>
    <t>KMTCSHKA284134</t>
    <phoneticPr fontId="2" type="noConversion"/>
  </si>
  <si>
    <t>SITU2509925</t>
    <phoneticPr fontId="2" type="noConversion"/>
  </si>
  <si>
    <t>부산99사5923 / 박신호 기사님 / 010-3861-7423</t>
    <phoneticPr fontId="2" type="noConversion"/>
  </si>
  <si>
    <t>YH553KFZBS3832</t>
    <phoneticPr fontId="2" type="noConversion"/>
  </si>
  <si>
    <t>경기 포천시 가산면 감암리 7-5</t>
    <phoneticPr fontId="2" type="noConversion"/>
  </si>
  <si>
    <t>SUZU4027011</t>
    <phoneticPr fontId="2" type="noConversion"/>
  </si>
  <si>
    <t>TMXGICHD7330061</t>
    <phoneticPr fontId="2" type="noConversion"/>
  </si>
  <si>
    <t>아시안뷰티</t>
    <phoneticPr fontId="2" type="noConversion"/>
  </si>
  <si>
    <t>경기도 안성시 원곡면 성은리 188-19</t>
    <phoneticPr fontId="2" type="noConversion"/>
  </si>
  <si>
    <t>1'PLT : 1,100*1,100*420 / 85 KGS</t>
    <phoneticPr fontId="2" type="noConversion"/>
  </si>
  <si>
    <t>대구83아2903 / 김용준 기사님 / 010-6444-2903</t>
    <phoneticPr fontId="2" type="noConversion"/>
  </si>
  <si>
    <t>EBKG15277884</t>
    <phoneticPr fontId="2" type="noConversion"/>
  </si>
  <si>
    <t xml:space="preserve">안성원곡면 - 신항 BIDC DFS
1'PLT : 1,100*1,100*420 / 85 KGS / 합짐 1대
상차지 : 경기도 안성시 원곡면 성은리 188-19 / 강경호님 ( 010-4555-4469
하차지 : 부산 강서구 신항로 96-72 / 동원BIDC(03078005) / 석동훈 과장님 / 051-974-7222
포트 :  바르셀로나 </t>
    <phoneticPr fontId="2" type="noConversion"/>
  </si>
  <si>
    <t>비아이피</t>
    <phoneticPr fontId="2" type="noConversion"/>
  </si>
  <si>
    <t>경남 고성군 회화면 배둔공단길 67</t>
    <phoneticPr fontId="2" type="noConversion"/>
  </si>
  <si>
    <t>TCKU7360648</t>
    <phoneticPr fontId="2" type="noConversion"/>
  </si>
  <si>
    <t>SITR625591</t>
    <phoneticPr fontId="2" type="noConversion"/>
  </si>
  <si>
    <t>부산99바9832 / 여인헌 기사님 / 010-9968-9356</t>
    <phoneticPr fontId="2" type="noConversion"/>
  </si>
  <si>
    <t>SITPUDA060554</t>
    <phoneticPr fontId="2" type="noConversion"/>
  </si>
  <si>
    <t>TCKU7374209</t>
    <phoneticPr fontId="2" type="noConversion"/>
  </si>
  <si>
    <t>SITR625724</t>
    <phoneticPr fontId="2" type="noConversion"/>
  </si>
  <si>
    <t>부산98바5727 / 강기석 기사님 / 010-3579-8417</t>
    <phoneticPr fontId="2" type="noConversion"/>
  </si>
  <si>
    <t>GAOU6822470</t>
    <phoneticPr fontId="2" type="noConversion"/>
  </si>
  <si>
    <t>SITR625775</t>
    <phoneticPr fontId="2" type="noConversion"/>
  </si>
  <si>
    <t>부산98사2747 / 왕동수 기사님 / 010-7672-3261</t>
    <phoneticPr fontId="2" type="noConversion"/>
  </si>
  <si>
    <t>CUL</t>
    <phoneticPr fontId="2" type="noConversion"/>
  </si>
  <si>
    <t>CULU6272173</t>
    <phoneticPr fontId="2" type="noConversion"/>
  </si>
  <si>
    <t>CULVXMN2501830 - XMLINC2501830</t>
    <phoneticPr fontId="2" type="noConversion"/>
  </si>
  <si>
    <t>TCKU6654930</t>
    <phoneticPr fontId="2" type="noConversion"/>
  </si>
  <si>
    <t>NSSLSNBSC2500466</t>
    <phoneticPr fontId="2" type="noConversion"/>
  </si>
  <si>
    <t>선반출</t>
    <phoneticPr fontId="2" type="noConversion"/>
  </si>
  <si>
    <t>경과보관료NSSLSNBSC2500466</t>
    <phoneticPr fontId="2" type="noConversion"/>
  </si>
  <si>
    <t>경과보관료 대납 (23일 반출)</t>
    <phoneticPr fontId="2" type="noConversion"/>
  </si>
  <si>
    <t>울산광역시 북구 중산산업 1길 6(중산공장)</t>
    <phoneticPr fontId="2" type="noConversion"/>
  </si>
  <si>
    <t>BMOU6229450</t>
    <phoneticPr fontId="2" type="noConversion"/>
  </si>
  <si>
    <t>KMTCMNL0368867</t>
    <phoneticPr fontId="2" type="noConversion"/>
  </si>
  <si>
    <t>TCKU7156629</t>
    <phoneticPr fontId="2" type="noConversion"/>
  </si>
  <si>
    <t>WE2525NIN301</t>
    <phoneticPr fontId="2" type="noConversion"/>
  </si>
  <si>
    <t xml:space="preserve"> </t>
    <phoneticPr fontId="2" type="noConversion"/>
  </si>
  <si>
    <t>세양석대</t>
    <phoneticPr fontId="2" type="noConversion"/>
  </si>
  <si>
    <t>SURABAYA VOYAGER(SBVG-01) / 9014N</t>
    <phoneticPr fontId="2" type="noConversion"/>
  </si>
  <si>
    <t xml:space="preserve">CAAU8244933 </t>
    <phoneticPr fontId="2" type="noConversion"/>
  </si>
  <si>
    <t>409688</t>
    <phoneticPr fontId="2" type="noConversion"/>
  </si>
  <si>
    <t>HASLK01251204435</t>
    <phoneticPr fontId="2" type="noConversion"/>
  </si>
  <si>
    <t>TIMO건 // SOC 밴 픽업(GO-SKCA20251224-1)</t>
    <phoneticPr fontId="2" type="noConversion"/>
  </si>
  <si>
    <t>선픽업HASLK01251204435</t>
    <phoneticPr fontId="2" type="noConversion"/>
  </si>
  <si>
    <t>TIMO건</t>
    <phoneticPr fontId="2" type="noConversion"/>
  </si>
  <si>
    <t>보관HASLK01251204435</t>
    <phoneticPr fontId="2" type="noConversion"/>
  </si>
  <si>
    <t>12/24 보관</t>
    <phoneticPr fontId="2" type="noConversion"/>
  </si>
  <si>
    <t>12/31 반입예정</t>
    <phoneticPr fontId="2" type="noConversion"/>
  </si>
  <si>
    <t>STARSHIP AQUILA(NSSO-015) / 2515S</t>
    <phoneticPr fontId="2" type="noConversion"/>
  </si>
  <si>
    <t>TXGU6061830</t>
    <phoneticPr fontId="2" type="noConversion"/>
  </si>
  <si>
    <t>CKL428911</t>
    <phoneticPr fontId="2" type="noConversion"/>
  </si>
  <si>
    <t>IN2512523</t>
    <phoneticPr fontId="2" type="noConversion"/>
  </si>
  <si>
    <t>FTAU1861512</t>
    <phoneticPr fontId="2" type="noConversion"/>
  </si>
  <si>
    <t>CKL428925</t>
    <phoneticPr fontId="2" type="noConversion"/>
  </si>
  <si>
    <t>인천81사9626 / 한경희 기사님 / 010-8256-5172</t>
    <phoneticPr fontId="2" type="noConversion"/>
  </si>
  <si>
    <t>경기 김포시 양촌읍 황금 6로 8</t>
    <phoneticPr fontId="2" type="noConversion"/>
  </si>
  <si>
    <t>DFC</t>
    <phoneticPr fontId="2" type="noConversion"/>
  </si>
  <si>
    <t>ORIENTAL PEARL VIII(DFCL-105) / 3490W</t>
    <phoneticPr fontId="2" type="noConversion"/>
  </si>
  <si>
    <t>DDFU4500282</t>
    <phoneticPr fontId="2" type="noConversion"/>
  </si>
  <si>
    <t>DIFC312780</t>
    <phoneticPr fontId="2" type="noConversion"/>
  </si>
  <si>
    <t>DF251217002</t>
    <phoneticPr fontId="2" type="noConversion"/>
  </si>
  <si>
    <t>계근DF251217002</t>
    <phoneticPr fontId="2" type="noConversion"/>
  </si>
  <si>
    <t>AN DONG 68(DWAD-27) / 142W</t>
    <phoneticPr fontId="2" type="noConversion"/>
  </si>
  <si>
    <t>WFHU5205846</t>
    <phoneticPr fontId="2" type="noConversion"/>
  </si>
  <si>
    <t>DWS2433031</t>
    <phoneticPr fontId="2" type="noConversion"/>
  </si>
  <si>
    <t>인천99바5907 / 신상범 기사님 / 010-2777-4896</t>
    <phoneticPr fontId="2" type="noConversion"/>
  </si>
  <si>
    <t>DDSIG251217003</t>
    <phoneticPr fontId="2" type="noConversion"/>
  </si>
  <si>
    <t>계근DDSIG251217003</t>
    <phoneticPr fontId="2" type="noConversion"/>
  </si>
  <si>
    <t>GANTA BHUM(GTBM-004) / 064E</t>
    <phoneticPr fontId="2" type="noConversion"/>
  </si>
  <si>
    <t>SNBU8338420</t>
    <phoneticPr fontId="2" type="noConversion"/>
  </si>
  <si>
    <t>KSB231999</t>
    <phoneticPr fontId="2" type="noConversion"/>
  </si>
  <si>
    <t>부산98사1776 / 전진락 기사님 / 010-8500-3808</t>
    <phoneticPr fontId="2" type="noConversion"/>
  </si>
  <si>
    <t>SNW251211016</t>
    <phoneticPr fontId="2" type="noConversion"/>
  </si>
  <si>
    <t>KOSTAT</t>
    <phoneticPr fontId="2" type="noConversion"/>
  </si>
  <si>
    <t>경기 김포시 하성면 월하로 571-36</t>
    <phoneticPr fontId="2" type="noConversion"/>
  </si>
  <si>
    <t>PEGASUS HOPE(DPHP-22) / 2526W</t>
    <phoneticPr fontId="2" type="noConversion"/>
  </si>
  <si>
    <t>SEGU6526814</t>
    <phoneticPr fontId="2" type="noConversion"/>
  </si>
  <si>
    <t>KSC356667</t>
    <phoneticPr fontId="2" type="noConversion"/>
  </si>
  <si>
    <t>KR04274889</t>
    <phoneticPr fontId="2" type="noConversion"/>
  </si>
  <si>
    <t>NSSU7049423</t>
    <phoneticPr fontId="2" type="noConversion"/>
  </si>
  <si>
    <t>대전99바3424 / 김응윤 기사님 / 010-9284-1551</t>
    <phoneticPr fontId="2" type="noConversion"/>
  </si>
  <si>
    <t>NSSLATXG25L00063</t>
    <phoneticPr fontId="2" type="noConversion"/>
  </si>
  <si>
    <t>대기료NSSLATXG25L00063</t>
    <phoneticPr fontId="2" type="noConversion"/>
  </si>
  <si>
    <t>DJLU5015225</t>
    <phoneticPr fontId="2" type="noConversion"/>
  </si>
  <si>
    <t>DJSCTXG250010120</t>
    <phoneticPr fontId="2" type="noConversion"/>
  </si>
  <si>
    <t>FCIU8816412</t>
    <phoneticPr fontId="2" type="noConversion"/>
  </si>
  <si>
    <t>JCSCFE733E135</t>
    <phoneticPr fontId="2" type="noConversion"/>
  </si>
  <si>
    <t>PHRU8191700</t>
    <phoneticPr fontId="2" type="noConversion"/>
  </si>
  <si>
    <t>인천99아6567 / 김수종 기사님 / 010-5398-4821</t>
    <phoneticPr fontId="2" type="noConversion"/>
  </si>
  <si>
    <t>TMXGICHD7330117</t>
    <phoneticPr fontId="2" type="noConversion"/>
  </si>
  <si>
    <t>4창고 // TJM 두우</t>
    <phoneticPr fontId="2" type="noConversion"/>
  </si>
  <si>
    <t>NSSU7081940</t>
    <phoneticPr fontId="2" type="noConversion"/>
  </si>
  <si>
    <t>부산99바5217 / 윤병정 기사님 / 010-3041-3516</t>
    <phoneticPr fontId="2" type="noConversion"/>
  </si>
  <si>
    <t>NSSLATXG25L00234</t>
    <phoneticPr fontId="2" type="noConversion"/>
  </si>
  <si>
    <t>SUNNY ACACIA(KSAC-01) / 2528S</t>
    <phoneticPr fontId="2" type="noConversion"/>
  </si>
  <si>
    <t>FFAU1021280</t>
    <phoneticPr fontId="2" type="noConversion"/>
  </si>
  <si>
    <t>KSC580724</t>
    <phoneticPr fontId="2" type="noConversion"/>
  </si>
  <si>
    <t>KR04277622</t>
    <phoneticPr fontId="2" type="noConversion"/>
  </si>
  <si>
    <t>SEGU4796127</t>
    <phoneticPr fontId="2" type="noConversion"/>
  </si>
  <si>
    <t>KSC580621</t>
    <phoneticPr fontId="2" type="noConversion"/>
  </si>
  <si>
    <t>CMAU3075651</t>
    <phoneticPr fontId="2" type="noConversion"/>
  </si>
  <si>
    <t xml:space="preserve">R8783884 </t>
    <phoneticPr fontId="2" type="noConversion"/>
  </si>
  <si>
    <t>SEL2007264</t>
    <phoneticPr fontId="2" type="noConversion"/>
  </si>
  <si>
    <t>UAE SEO건 // 인천픽업 // T.W 2,100 KGS</t>
    <phoneticPr fontId="2" type="noConversion"/>
  </si>
  <si>
    <t>인천픽업SEL2007264</t>
    <phoneticPr fontId="2" type="noConversion"/>
  </si>
  <si>
    <t>UAE SEO건</t>
    <phoneticPr fontId="2" type="noConversion"/>
  </si>
  <si>
    <t>카고솔루션서비스</t>
    <phoneticPr fontId="2" type="noConversion"/>
  </si>
  <si>
    <t>노벨스톤</t>
    <phoneticPr fontId="2" type="noConversion"/>
  </si>
  <si>
    <t>경기도 화성시 장안면 장안공단로 215-23</t>
    <phoneticPr fontId="2" type="noConversion"/>
  </si>
  <si>
    <t>VICTORY STAR(CKVS-66) / 2535E</t>
    <phoneticPr fontId="2" type="noConversion"/>
  </si>
  <si>
    <t>PCLU2222871</t>
    <phoneticPr fontId="2" type="noConversion"/>
  </si>
  <si>
    <t>929237</t>
    <phoneticPr fontId="2" type="noConversion"/>
  </si>
  <si>
    <t>경기99바1114 / 박종배 기사님 / 010-3234-1564</t>
    <phoneticPr fontId="2" type="noConversion"/>
  </si>
  <si>
    <t>PUS03598646</t>
    <phoneticPr fontId="2" type="noConversion"/>
  </si>
  <si>
    <t>BSIU9497533</t>
    <phoneticPr fontId="2" type="noConversion"/>
  </si>
  <si>
    <t>SITR625685</t>
    <phoneticPr fontId="2" type="noConversion"/>
  </si>
  <si>
    <t>FFAU7422525</t>
    <phoneticPr fontId="2" type="noConversion"/>
  </si>
  <si>
    <t>SITR624236</t>
    <phoneticPr fontId="2" type="noConversion"/>
  </si>
  <si>
    <t>울산99바1767 / 010-3867-9941 / 박종수기사</t>
  </si>
  <si>
    <t>동방 익</t>
  </si>
  <si>
    <t>SITU9223975</t>
    <phoneticPr fontId="2" type="noConversion"/>
  </si>
  <si>
    <t>SITA399701</t>
    <phoneticPr fontId="2" type="noConversion"/>
  </si>
  <si>
    <t>백승</t>
  </si>
  <si>
    <t>SELU4391007</t>
    <phoneticPr fontId="2" type="noConversion"/>
  </si>
  <si>
    <t>SITE393029</t>
    <phoneticPr fontId="2" type="noConversion"/>
  </si>
  <si>
    <t>부산98사1875 / 010-6528-5824 / 김종은기사</t>
    <phoneticPr fontId="2" type="noConversion"/>
  </si>
  <si>
    <t>충남 서산시 성연면 성왕산길 101, 대원 3층 코오롱 글로텍 서산창고</t>
    <phoneticPr fontId="2" type="noConversion"/>
  </si>
  <si>
    <t>NSSU7153382</t>
    <phoneticPr fontId="2" type="noConversion"/>
  </si>
  <si>
    <t>부산99사5434 / 이홍주 기사님 / 010-5331-2712</t>
    <phoneticPr fontId="2" type="noConversion"/>
  </si>
  <si>
    <t>NSSLSNBSC2500470</t>
    <phoneticPr fontId="2" type="noConversion"/>
  </si>
  <si>
    <t>경과보관료 대납</t>
    <phoneticPr fontId="2" type="noConversion"/>
  </si>
  <si>
    <t>경과보관료NSSLSNBSC2500470</t>
    <phoneticPr fontId="2" type="noConversion"/>
  </si>
  <si>
    <t>에이앤비글로벌로지스
한수빈</t>
    <phoneticPr fontId="2" type="noConversion"/>
  </si>
  <si>
    <t>BEAU4737966</t>
    <phoneticPr fontId="2" type="noConversion"/>
  </si>
  <si>
    <t>FCIU7227418</t>
    <phoneticPr fontId="2" type="noConversion"/>
  </si>
  <si>
    <t>FFAU1092621</t>
    <phoneticPr fontId="2" type="noConversion"/>
  </si>
  <si>
    <t>SEGU5539648</t>
    <phoneticPr fontId="2" type="noConversion"/>
  </si>
  <si>
    <t>SEKU5219248</t>
    <phoneticPr fontId="2" type="noConversion"/>
  </si>
  <si>
    <t>부산99사3953 / 이광호 기사님 / 010-3552-6907</t>
    <phoneticPr fontId="2" type="noConversion"/>
  </si>
  <si>
    <t>소다산</t>
    <phoneticPr fontId="2" type="noConversion"/>
  </si>
  <si>
    <t>경기도 용인시 기흥구 언동로 39</t>
    <phoneticPr fontId="2" type="noConversion"/>
  </si>
  <si>
    <t>KOCU5070692</t>
    <phoneticPr fontId="2" type="noConversion"/>
  </si>
  <si>
    <t>부산98사1002 / 박평희 기사님 / 010-9408-5633</t>
    <phoneticPr fontId="2" type="noConversion"/>
  </si>
  <si>
    <t>HDMUHAMA20894200</t>
    <phoneticPr fontId="2" type="noConversion"/>
  </si>
  <si>
    <t>보세</t>
    <phoneticPr fontId="2" type="noConversion"/>
  </si>
  <si>
    <t>보세HDMUHAMA20894200</t>
    <phoneticPr fontId="2" type="noConversion"/>
  </si>
  <si>
    <t>반납비HDMUHAMA20894200</t>
    <phoneticPr fontId="2" type="noConversion"/>
  </si>
  <si>
    <t>대산공업</t>
    <phoneticPr fontId="2" type="noConversion"/>
  </si>
  <si>
    <t>경기도 화성시 남양읍 화성로 973</t>
    <phoneticPr fontId="2" type="noConversion"/>
  </si>
  <si>
    <t>xxxx</t>
    <phoneticPr fontId="2" type="noConversion"/>
  </si>
  <si>
    <t>대구81아7526 / 조현우 기사님 /  010-4114-2094</t>
    <phoneticPr fontId="2" type="noConversion"/>
  </si>
  <si>
    <t>COAU7264507650</t>
    <phoneticPr fontId="2" type="noConversion"/>
  </si>
  <si>
    <t>DIR 6.5XHS</t>
    <phoneticPr fontId="2" type="noConversion"/>
  </si>
  <si>
    <t>25톤2</t>
    <phoneticPr fontId="2" type="noConversion"/>
  </si>
  <si>
    <t>부산96아2155 / 최희규 기사님 /  010-3863-9360</t>
    <phoneticPr fontId="2" type="noConversion"/>
  </si>
  <si>
    <t>부산95아3303 / 송장수 기사님 / 010-2877-2427</t>
    <phoneticPr fontId="2" type="noConversion"/>
  </si>
  <si>
    <t>라우화학</t>
    <phoneticPr fontId="2" type="noConversion"/>
  </si>
  <si>
    <t>경기 광주 중앙로 286(송정도570-2</t>
    <phoneticPr fontId="2" type="noConversion"/>
  </si>
  <si>
    <t>pan</t>
    <phoneticPr fontId="2" type="noConversion"/>
  </si>
  <si>
    <t>STAR VOYAGER</t>
    <phoneticPr fontId="2" type="noConversion"/>
  </si>
  <si>
    <t>CAIU6385489</t>
    <phoneticPr fontId="2" type="noConversion"/>
  </si>
  <si>
    <t>경남99바4929 / 강효진 기사님 / 010-3559-1460</t>
    <phoneticPr fontId="2" type="noConversion"/>
  </si>
  <si>
    <t>HNGOPUS25120006</t>
    <phoneticPr fontId="2" type="noConversion"/>
  </si>
  <si>
    <t>세방</t>
    <phoneticPr fontId="2" type="noConversion"/>
  </si>
  <si>
    <t>직반출</t>
    <phoneticPr fontId="2" type="noConversion"/>
  </si>
  <si>
    <t>2'PLT / 636 KG</t>
    <phoneticPr fontId="2" type="noConversion"/>
  </si>
  <si>
    <t>YDCNYC-L1-2512-5</t>
    <phoneticPr fontId="2" type="noConversion"/>
  </si>
  <si>
    <t>BKG : BLYG2512376-01</t>
    <phoneticPr fontId="2" type="noConversion"/>
  </si>
  <si>
    <t>경남99바8605 / 류승우 기사님 / 010-9335-5207</t>
    <phoneticPr fontId="2" type="noConversion"/>
  </si>
  <si>
    <t>12/19 입고 후 회수</t>
    <phoneticPr fontId="2" type="noConversion"/>
  </si>
  <si>
    <t>오리온</t>
    <phoneticPr fontId="2" type="noConversion"/>
  </si>
  <si>
    <t>경남 양산시 하북면 양산대로 1957-3</t>
    <phoneticPr fontId="2" type="noConversion"/>
  </si>
  <si>
    <t>SUNNY ACACIA(KSAC-03) 2528S</t>
    <phoneticPr fontId="2" type="noConversion"/>
  </si>
  <si>
    <t>GAOU7185210</t>
    <phoneticPr fontId="2" type="noConversion"/>
  </si>
  <si>
    <t>CKL684691</t>
    <phoneticPr fontId="2" type="noConversion"/>
  </si>
  <si>
    <t>부산99사4382 / 이동진 기사님 / 010-9354-4234</t>
    <phoneticPr fontId="2" type="noConversion"/>
  </si>
  <si>
    <t>PU2531683</t>
    <phoneticPr fontId="2" type="noConversion"/>
  </si>
  <si>
    <t xml:space="preserve">경기 광주시 중앙로 286 </t>
    <phoneticPr fontId="2" type="noConversion"/>
  </si>
  <si>
    <t>경기 94사6279 / 주홍민 기사님 / 010-8511-5258</t>
    <phoneticPr fontId="2" type="noConversion"/>
  </si>
  <si>
    <t>BTOE210346</t>
    <phoneticPr fontId="2" type="noConversion"/>
  </si>
  <si>
    <t>적출</t>
    <phoneticPr fontId="2" type="noConversion"/>
  </si>
  <si>
    <t>오전</t>
    <phoneticPr fontId="2" type="noConversion"/>
  </si>
  <si>
    <t>니프코</t>
    <phoneticPr fontId="2" type="noConversion"/>
  </si>
  <si>
    <t>부산광역시 강서구 녹산산단407로31</t>
    <phoneticPr fontId="2" type="noConversion"/>
  </si>
  <si>
    <t>INTERASIA HORIZON(IHZN-008) / W052</t>
    <phoneticPr fontId="2" type="noConversion"/>
  </si>
  <si>
    <t>CAIU9446546</t>
    <phoneticPr fontId="2" type="noConversion"/>
  </si>
  <si>
    <t>RDSA8496</t>
    <phoneticPr fontId="2" type="noConversion"/>
  </si>
  <si>
    <t>RSAPUSMAA807601</t>
    <phoneticPr fontId="2" type="noConversion"/>
  </si>
  <si>
    <t>계근RSAPUSMAA807601</t>
    <phoneticPr fontId="2" type="noConversion"/>
  </si>
  <si>
    <t>인천81바8603 / 이창걸 기사님 / 010-4160-5388</t>
    <phoneticPr fontId="2" type="noConversion"/>
  </si>
  <si>
    <t>RSAPUSMAA807604</t>
    <phoneticPr fontId="2" type="noConversion"/>
  </si>
  <si>
    <t>음성1공장-신항BIDC</t>
    <phoneticPr fontId="2" type="noConversion"/>
  </si>
  <si>
    <t>12/25 상차</t>
    <phoneticPr fontId="2" type="noConversion"/>
  </si>
  <si>
    <t>12/26일 입고</t>
    <phoneticPr fontId="2" type="noConversion"/>
  </si>
  <si>
    <t>휴일할증 RSAPUSMAA807604</t>
    <phoneticPr fontId="2" type="noConversion"/>
  </si>
  <si>
    <t>경기 김포시 월곶면 갈산리 518-31</t>
    <phoneticPr fontId="2" type="noConversion"/>
  </si>
  <si>
    <t>VSS</t>
    <phoneticPr fontId="2" type="noConversion"/>
  </si>
  <si>
    <t>YUAN XIANG FEN JIN(APYF-005) / 26402N &gt; HMM HANUL(HOHL-001) / 0022w</t>
    <phoneticPr fontId="2" type="noConversion"/>
  </si>
  <si>
    <t>CICU7056230</t>
    <phoneticPr fontId="2" type="noConversion"/>
  </si>
  <si>
    <t>274514</t>
    <phoneticPr fontId="2" type="noConversion"/>
  </si>
  <si>
    <t>SGWRESP25013941</t>
    <phoneticPr fontId="2" type="noConversion"/>
  </si>
  <si>
    <t>부킹시트도 같이 전달하기 // 위에서 계근</t>
    <phoneticPr fontId="2" type="noConversion"/>
  </si>
  <si>
    <t>선픽업료SGWRESP25013941</t>
    <phoneticPr fontId="2" type="noConversion"/>
  </si>
  <si>
    <t>VOLU4950726</t>
    <phoneticPr fontId="2" type="noConversion"/>
  </si>
  <si>
    <t>274547</t>
    <phoneticPr fontId="2" type="noConversion"/>
  </si>
  <si>
    <t>SPUSKRA25001894</t>
    <phoneticPr fontId="2" type="noConversion"/>
  </si>
  <si>
    <t>UAE LAS건 / 부산라운드</t>
    <phoneticPr fontId="2" type="noConversion"/>
  </si>
  <si>
    <t>보관료SPUSKRA25001894</t>
    <phoneticPr fontId="2" type="noConversion"/>
  </si>
  <si>
    <t>12/26 보관</t>
    <phoneticPr fontId="2" type="noConversion"/>
  </si>
  <si>
    <t>12/30 입고 예쩡</t>
    <phoneticPr fontId="2" type="noConversion"/>
  </si>
  <si>
    <t>천택무역</t>
    <phoneticPr fontId="2" type="noConversion"/>
  </si>
  <si>
    <t>경기도 화성시 향납읍 토성로 330-25(철도옆길끝집)</t>
    <phoneticPr fontId="2" type="noConversion"/>
  </si>
  <si>
    <t>SEGU6161017</t>
    <phoneticPr fontId="2" type="noConversion"/>
  </si>
  <si>
    <t>KSC635310</t>
    <phoneticPr fontId="2" type="noConversion"/>
  </si>
  <si>
    <t>KR04283220</t>
    <phoneticPr fontId="2" type="noConversion"/>
  </si>
  <si>
    <t>경기82바8878 / 황덕한 기사님 / 010-7410-7963</t>
    <phoneticPr fontId="2" type="noConversion"/>
  </si>
  <si>
    <t>SELFK3658500</t>
    <phoneticPr fontId="2" type="noConversion"/>
  </si>
  <si>
    <t>경북 경산-신항BIDC</t>
    <phoneticPr fontId="2" type="noConversion"/>
  </si>
  <si>
    <t>부산95아7472 / 김양기 기사님 /  010-8470-5214</t>
    <phoneticPr fontId="2" type="noConversion"/>
  </si>
  <si>
    <t>경기도 안성시 신소현동</t>
    <phoneticPr fontId="2" type="noConversion"/>
  </si>
  <si>
    <t>WECAN(KWCN-01) / 2547E</t>
    <phoneticPr fontId="2" type="noConversion"/>
  </si>
  <si>
    <t>KMTU7474993</t>
    <phoneticPr fontId="2" type="noConversion"/>
  </si>
  <si>
    <t>KSC630851</t>
    <phoneticPr fontId="2" type="noConversion"/>
  </si>
  <si>
    <t>KR04276401</t>
    <phoneticPr fontId="2" type="noConversion"/>
  </si>
  <si>
    <t xml:space="preserve">충남 천안시 동남구 성남면 세성로 67, 2동  </t>
    <phoneticPr fontId="2" type="noConversion"/>
  </si>
  <si>
    <t>AS PATRIA(KAPA-10) / 2512S</t>
    <phoneticPr fontId="2" type="noConversion"/>
  </si>
  <si>
    <t>KMTU7522896</t>
    <phoneticPr fontId="2" type="noConversion"/>
  </si>
  <si>
    <t>KSB139928</t>
    <phoneticPr fontId="2" type="noConversion"/>
  </si>
  <si>
    <t>KR04278628</t>
    <phoneticPr fontId="2" type="noConversion"/>
  </si>
  <si>
    <t>BMOU1316124</t>
    <phoneticPr fontId="2" type="noConversion"/>
  </si>
  <si>
    <t>KSB420466</t>
    <phoneticPr fontId="2" type="noConversion"/>
  </si>
  <si>
    <t xml:space="preserve">경북 고령군 다산면 상곡1길 21-4 </t>
  </si>
  <si>
    <t>SITC KEELUNG(STKL-001) / 2535S</t>
    <phoneticPr fontId="2" type="noConversion"/>
  </si>
  <si>
    <t>SITU9205499</t>
    <phoneticPr fontId="2" type="noConversion"/>
  </si>
  <si>
    <t>SITR624047</t>
    <phoneticPr fontId="2" type="noConversion"/>
  </si>
  <si>
    <t>SITPUCB060564</t>
    <phoneticPr fontId="2" type="noConversion"/>
  </si>
  <si>
    <t>SITPUCB060564(입고), SITPUCB060218(회수)  // T.W 3,700 KGS'</t>
    <phoneticPr fontId="2" type="noConversion"/>
  </si>
  <si>
    <t>경기도 파주시 고봉로 721-59</t>
    <phoneticPr fontId="2" type="noConversion"/>
  </si>
  <si>
    <t xml:space="preserve">SURABAYA VOYAGER(SBVG-01) / 9014N </t>
    <phoneticPr fontId="2" type="noConversion"/>
  </si>
  <si>
    <t>HLHU8207963</t>
    <phoneticPr fontId="2" type="noConversion"/>
  </si>
  <si>
    <t>SKR201805</t>
    <phoneticPr fontId="2" type="noConversion"/>
  </si>
  <si>
    <t>경기99바1148 / 김진환 기사님 / 010-3234-081</t>
    <phoneticPr fontId="2" type="noConversion"/>
  </si>
  <si>
    <t>SNKO010251209230</t>
    <phoneticPr fontId="2" type="noConversion"/>
  </si>
  <si>
    <t>경기도 파주시 고봉로 721-59 (에이치제이 하늘색 간판보고 좌측으로 들어오시면 됩니다) // COC건</t>
    <phoneticPr fontId="2" type="noConversion"/>
  </si>
  <si>
    <t>5톤 플러스</t>
    <phoneticPr fontId="2" type="noConversion"/>
  </si>
  <si>
    <t>대구80바1993 / 권종열 기사님 / 010-3766-9407</t>
    <phoneticPr fontId="2" type="noConversion"/>
  </si>
  <si>
    <t>ONEYDELF49784800</t>
    <phoneticPr fontId="2" type="noConversion"/>
  </si>
  <si>
    <t>TOPK</t>
  </si>
  <si>
    <t>김해시 진례면 서부로 436번길 37-28</t>
  </si>
  <si>
    <t>SAWASDEE SHANGHAI(SWSH-10) / 2520W</t>
    <phoneticPr fontId="2" type="noConversion"/>
  </si>
  <si>
    <t>HSLU2001657</t>
    <phoneticPr fontId="2" type="noConversion"/>
  </si>
  <si>
    <t>HSL019028</t>
    <phoneticPr fontId="2" type="noConversion"/>
  </si>
  <si>
    <t>경남82사9538 / 이명원 기사님 / 010-6698-6254</t>
    <phoneticPr fontId="2" type="noConversion"/>
  </si>
  <si>
    <t>TDCNTJ-L1-2512-6</t>
    <phoneticPr fontId="2" type="noConversion"/>
  </si>
  <si>
    <t>BOOKING : HSLI010251200945</t>
    <phoneticPr fontId="2" type="noConversion"/>
  </si>
  <si>
    <t>서해기술</t>
    <phoneticPr fontId="2" type="noConversion"/>
  </si>
  <si>
    <t>충북 청주시 흥덕구 옥산면 과학산업1로 140</t>
    <phoneticPr fontId="2" type="noConversion"/>
  </si>
  <si>
    <t>ISARA BHUM(ISBM-37) / 2546W</t>
    <phoneticPr fontId="2" type="noConversion"/>
  </si>
  <si>
    <t>TYLU9240745</t>
    <phoneticPr fontId="2" type="noConversion"/>
  </si>
  <si>
    <t>TYS675621</t>
  </si>
  <si>
    <t>TY25120681</t>
    <phoneticPr fontId="2" type="noConversion"/>
  </si>
  <si>
    <t>선사마감 12시</t>
    <phoneticPr fontId="2" type="noConversion"/>
  </si>
  <si>
    <t>TYLU9241588</t>
    <phoneticPr fontId="2" type="noConversion"/>
  </si>
  <si>
    <t>TYS675626</t>
    <phoneticPr fontId="2" type="noConversion"/>
  </si>
  <si>
    <t>경남99사5248  / 우창섭 기사님 / 010-4122-4545</t>
    <phoneticPr fontId="2" type="noConversion"/>
  </si>
  <si>
    <t>무등산업</t>
    <phoneticPr fontId="2" type="noConversion"/>
  </si>
  <si>
    <t>전남 장성군 황룡면 강변로 425</t>
    <phoneticPr fontId="2" type="noConversion"/>
  </si>
  <si>
    <t>TRHU6778333</t>
    <phoneticPr fontId="2" type="noConversion"/>
  </si>
  <si>
    <t>충북99바5318 / 김종혁 기사님 / 010-7759-7868</t>
    <phoneticPr fontId="2" type="noConversion"/>
  </si>
  <si>
    <t>EASEY2549DK012</t>
    <phoneticPr fontId="2" type="noConversion"/>
  </si>
  <si>
    <t>하불 모르겠음</t>
    <phoneticPr fontId="2" type="noConversion"/>
  </si>
  <si>
    <t>SEGU4838942</t>
    <phoneticPr fontId="2" type="noConversion"/>
  </si>
  <si>
    <t>광주99사6978 / 김두경 기사님 / 010-4832-2223</t>
    <phoneticPr fontId="2" type="noConversion"/>
  </si>
  <si>
    <t>TEMU8970995</t>
    <phoneticPr fontId="2" type="noConversion"/>
  </si>
  <si>
    <t>경기99바9076 / 조배열 기사님 / 010-6606-1906</t>
    <phoneticPr fontId="2" type="noConversion"/>
  </si>
  <si>
    <t>MSC IRINA(MSIR-001) / 0552W</t>
    <phoneticPr fontId="2" type="noConversion"/>
  </si>
  <si>
    <t>TCLU3740056</t>
    <phoneticPr fontId="2" type="noConversion"/>
  </si>
  <si>
    <t>KRAV82546</t>
    <phoneticPr fontId="2" type="noConversion"/>
  </si>
  <si>
    <t>경기99바1135 / 김동순 기사님 / 010-3726-2388</t>
    <phoneticPr fontId="2" type="noConversion"/>
  </si>
  <si>
    <t>SELFM4601300</t>
    <phoneticPr fontId="2" type="noConversion"/>
  </si>
  <si>
    <t>터키 SAO</t>
    <phoneticPr fontId="2" type="noConversion"/>
  </si>
  <si>
    <t>충남80아4077 / 최병제 기사님 /  010-9866-4325</t>
    <phoneticPr fontId="2" type="noConversion"/>
  </si>
  <si>
    <t xml:space="preserve">CZOEOD25120028 </t>
    <phoneticPr fontId="2" type="noConversion"/>
  </si>
  <si>
    <t>1.2*0.8*1M ( 이단적재 불가능 ) , 19PKG</t>
    <phoneticPr fontId="2" type="noConversion"/>
  </si>
  <si>
    <t>PAN</t>
    <phoneticPr fontId="2" type="noConversion"/>
  </si>
  <si>
    <t>DFSU7718082</t>
    <phoneticPr fontId="2" type="noConversion"/>
  </si>
  <si>
    <t>충북98바1686 / 김범준 기사님 / 010-5213-9801</t>
    <phoneticPr fontId="2" type="noConversion"/>
  </si>
  <si>
    <t>POBUTA0251281210</t>
    <phoneticPr fontId="2" type="noConversion"/>
  </si>
  <si>
    <t>선사반납비POBUTA0251281210</t>
    <phoneticPr fontId="2" type="noConversion"/>
  </si>
  <si>
    <t>인천반납POBUTA0251281210</t>
    <phoneticPr fontId="2" type="noConversion"/>
  </si>
  <si>
    <t>상윤</t>
    <phoneticPr fontId="2" type="noConversion"/>
  </si>
  <si>
    <t>경기 화성시 서신면 해운로 458번길70-23</t>
    <phoneticPr fontId="2" type="noConversion"/>
  </si>
  <si>
    <t>HEUNG-A BANGKOK(HHAB-13) / 2512S</t>
    <phoneticPr fontId="2" type="noConversion"/>
  </si>
  <si>
    <t>SKHU6451983</t>
    <phoneticPr fontId="2" type="noConversion"/>
  </si>
  <si>
    <t>HAL123118</t>
    <phoneticPr fontId="2" type="noConversion"/>
  </si>
  <si>
    <t>경남99바3815 / 하양호 기사님 / 010-4590-6119</t>
    <phoneticPr fontId="2" type="noConversion"/>
  </si>
  <si>
    <t>HASLK01251209081</t>
    <phoneticPr fontId="2" type="noConversion"/>
  </si>
  <si>
    <t>BMOU6064703</t>
    <phoneticPr fontId="2" type="noConversion"/>
  </si>
  <si>
    <t>HAL092937</t>
    <phoneticPr fontId="2" type="noConversion"/>
  </si>
  <si>
    <t>부산99사6149 / 박정필 기사님 / 010-8872-6149</t>
    <phoneticPr fontId="2" type="noConversion"/>
  </si>
  <si>
    <t>HASLK01251209081</t>
  </si>
  <si>
    <t>T.W 3,850 KGS</t>
    <phoneticPr fontId="2" type="noConversion"/>
  </si>
  <si>
    <t>SKHU6354134</t>
    <phoneticPr fontId="2" type="noConversion"/>
  </si>
  <si>
    <t>HAL094991</t>
    <phoneticPr fontId="2" type="noConversion"/>
  </si>
  <si>
    <t>경북99아3815 / 최민주 기사님 / 010-3817-6617</t>
    <phoneticPr fontId="2" type="noConversion"/>
  </si>
  <si>
    <t>DR.ALTHEA</t>
    <phoneticPr fontId="2" type="noConversion"/>
  </si>
  <si>
    <t>경기 이천시 마장면 청강가창로 309</t>
    <phoneticPr fontId="2" type="noConversion"/>
  </si>
  <si>
    <t>총 18plt, 1100 x 1100 X 높이 미정, 1단 적재 ONLY</t>
    <phoneticPr fontId="2" type="noConversion"/>
  </si>
  <si>
    <t>부산96아1495 / 김종배 기사님 / 010-6262-8287</t>
    <phoneticPr fontId="2" type="noConversion"/>
  </si>
  <si>
    <t>SELFM6605900</t>
    <phoneticPr fontId="2" type="noConversion"/>
  </si>
  <si>
    <t>이천- 동원 BIDC</t>
    <phoneticPr fontId="2" type="noConversion"/>
  </si>
  <si>
    <t>12/29 오후</t>
    <phoneticPr fontId="2" type="noConversion"/>
  </si>
  <si>
    <t>12/30하차</t>
    <phoneticPr fontId="2" type="noConversion"/>
  </si>
  <si>
    <t>경기94자5634 / 이진수 기사님 / 010-5956-5634</t>
    <phoneticPr fontId="2" type="noConversion"/>
  </si>
  <si>
    <t>경기도 시흥시 엠티브이북로 349(정왕동)</t>
    <phoneticPr fontId="2" type="noConversion"/>
  </si>
  <si>
    <t>SAWASDEE VEGA(SWVG-46) / 2547W</t>
    <phoneticPr fontId="2" type="noConversion"/>
  </si>
  <si>
    <t>HLHU8107481</t>
    <phoneticPr fontId="2" type="noConversion"/>
  </si>
  <si>
    <t>HAL123101</t>
    <phoneticPr fontId="2" type="noConversion"/>
  </si>
  <si>
    <t>경기99바1151 / 구상모 기사님 / 010-9511-7564</t>
    <phoneticPr fontId="2" type="noConversion"/>
  </si>
  <si>
    <t>HASLK02251101607</t>
    <phoneticPr fontId="2" type="noConversion"/>
  </si>
  <si>
    <t>시흥공장</t>
    <phoneticPr fontId="2" type="noConversion"/>
  </si>
  <si>
    <t>경기 화성시 장안면 포승장안로 1082-12</t>
    <phoneticPr fontId="2" type="noConversion"/>
  </si>
  <si>
    <t>OOCU7426452</t>
    <phoneticPr fontId="2" type="noConversion"/>
  </si>
  <si>
    <t>SSHAINC8YK374</t>
    <phoneticPr fontId="2" type="noConversion"/>
  </si>
  <si>
    <t>막스만</t>
    <phoneticPr fontId="2" type="noConversion"/>
  </si>
  <si>
    <t>신도피앤지</t>
    <phoneticPr fontId="2" type="noConversion"/>
  </si>
  <si>
    <t>경기도 김포시 승가로 120번지 신도피앤지</t>
    <phoneticPr fontId="2" type="noConversion"/>
  </si>
  <si>
    <t>WAN HAI 522(W522-001) / W036</t>
    <phoneticPr fontId="2" type="noConversion"/>
  </si>
  <si>
    <t>WHSU5728510</t>
    <phoneticPr fontId="2" type="noConversion"/>
  </si>
  <si>
    <t>WHA1211250</t>
    <phoneticPr fontId="2" type="noConversion"/>
  </si>
  <si>
    <t>경남99바6542 / 박화식 기사님 / 010-2739-5803</t>
    <phoneticPr fontId="2" type="noConversion"/>
  </si>
  <si>
    <t xml:space="preserve">005FX32580 </t>
    <phoneticPr fontId="2" type="noConversion"/>
  </si>
  <si>
    <t>REF NO . 4746964 // T.W 3,750 KGS</t>
    <phoneticPr fontId="2" type="noConversion"/>
  </si>
  <si>
    <t xml:space="preserve">인천픽업005FX32580 </t>
    <phoneticPr fontId="2" type="noConversion"/>
  </si>
  <si>
    <t>WHSU6671595</t>
    <phoneticPr fontId="2" type="noConversion"/>
  </si>
  <si>
    <t>WHA1211236</t>
    <phoneticPr fontId="2" type="noConversion"/>
  </si>
  <si>
    <t>부산98바3002 / 김원진 기사님 / 010-8565-8604</t>
    <phoneticPr fontId="2" type="noConversion"/>
  </si>
  <si>
    <t>REF NO . 4746964 //</t>
    <phoneticPr fontId="2" type="noConversion"/>
  </si>
  <si>
    <t>TH로지스</t>
    <phoneticPr fontId="2" type="noConversion"/>
  </si>
  <si>
    <t>퍼시스</t>
    <phoneticPr fontId="2" type="noConversion"/>
  </si>
  <si>
    <t>충주시 중앙탑면 가금논공길 46</t>
    <phoneticPr fontId="2" type="noConversion"/>
  </si>
  <si>
    <t>충주</t>
    <phoneticPr fontId="2" type="noConversion"/>
  </si>
  <si>
    <t>4600x3900x2750 / 17톤</t>
    <phoneticPr fontId="2" type="noConversion"/>
  </si>
  <si>
    <t>대전99바7248 / 박형철 기사님 / 010-9496-8141</t>
    <phoneticPr fontId="2" type="noConversion"/>
  </si>
  <si>
    <t>XX</t>
    <phoneticPr fontId="2" type="noConversion"/>
  </si>
  <si>
    <t>4600x3900x2750 / 17톤</t>
  </si>
  <si>
    <t>12/29상차</t>
    <phoneticPr fontId="2" type="noConversion"/>
  </si>
  <si>
    <t>ZHONG CHUAN HAI YUN(ZCHY-01) / HKK1105N</t>
    <phoneticPr fontId="2" type="noConversion"/>
  </si>
  <si>
    <t>FESU5321141</t>
    <phoneticPr fontId="2" type="noConversion"/>
  </si>
  <si>
    <t>F269789</t>
    <phoneticPr fontId="2" type="noConversion"/>
  </si>
  <si>
    <t>경기98아6295 / 김철하 기사님 / 010-5800-8631</t>
    <phoneticPr fontId="2" type="noConversion"/>
  </si>
  <si>
    <t>FE251210Z09</t>
    <phoneticPr fontId="2" type="noConversion"/>
  </si>
  <si>
    <t>STAO 45 오일</t>
    <phoneticPr fontId="2" type="noConversion"/>
  </si>
  <si>
    <t>인천픽업FE251210Z09</t>
    <phoneticPr fontId="2" type="noConversion"/>
  </si>
  <si>
    <t>보관FE251210Z09</t>
    <phoneticPr fontId="2" type="noConversion"/>
  </si>
  <si>
    <t>12/29보관</t>
    <phoneticPr fontId="2" type="noConversion"/>
  </si>
  <si>
    <t>1/3 반입예정</t>
    <phoneticPr fontId="2" type="noConversion"/>
  </si>
  <si>
    <t>FESU5167695</t>
    <phoneticPr fontId="2" type="noConversion"/>
  </si>
  <si>
    <t>F269773</t>
    <phoneticPr fontId="2" type="noConversion"/>
  </si>
  <si>
    <t>인천98아3006 / 임충식 기사님 / 010-3766-3555</t>
    <phoneticPr fontId="2" type="noConversion"/>
  </si>
  <si>
    <t>FE251215Z09</t>
    <phoneticPr fontId="2" type="noConversion"/>
  </si>
  <si>
    <t xml:space="preserve">DPL 부품 </t>
    <phoneticPr fontId="2" type="noConversion"/>
  </si>
  <si>
    <t>인천픽업FE251215Z09</t>
    <phoneticPr fontId="2" type="noConversion"/>
  </si>
  <si>
    <t>보관FE251215Z09</t>
    <phoneticPr fontId="2" type="noConversion"/>
  </si>
  <si>
    <t>경남 김해시 진영읍 서부로 396번길20</t>
    <phoneticPr fontId="2" type="noConversion"/>
  </si>
  <si>
    <t>대전89아3304 / 이창규 기사님 / 010-6570-9968</t>
    <phoneticPr fontId="2" type="noConversion"/>
  </si>
  <si>
    <t>TJCNJX-L1-2512-2</t>
    <phoneticPr fontId="2" type="noConversion"/>
  </si>
  <si>
    <t>상차지 : 2025.12.29 10시 // 신혁산업 / 경남 김해시 진영읍 서부로 396번길20 / 정재호 과장님 / 010-8564-4018
하차지 : 당일 // 디앤케이물류 / 부산 남구 신선로 294, 부산항 터미널 신선대 CFS 24번창고 1층 / 강이수 대리님 / 070-4887-0348
BOOKING : HSLI010251200649 / 20'GP
10'PLT . 1,770 KGS
1100*1100*1020</t>
    <phoneticPr fontId="2" type="noConversion"/>
  </si>
  <si>
    <t>HONOR BRIGHT(KHBH-14) / 2514E</t>
    <phoneticPr fontId="2" type="noConversion"/>
  </si>
  <si>
    <t>UETU5457481</t>
    <phoneticPr fontId="2" type="noConversion"/>
  </si>
  <si>
    <t>KSC625927</t>
    <phoneticPr fontId="2" type="noConversion"/>
  </si>
  <si>
    <t>부산99사5453 / 김운철 기사님 / 010-8949-6531</t>
    <phoneticPr fontId="2" type="noConversion"/>
  </si>
  <si>
    <t>KR04269933</t>
    <phoneticPr fontId="2" type="noConversion"/>
  </si>
  <si>
    <t>FFAU7437401</t>
    <phoneticPr fontId="2" type="noConversion"/>
  </si>
  <si>
    <t>인천98바2069 / 송승현 기사님 / 010-4097-1087</t>
    <phoneticPr fontId="2" type="noConversion"/>
  </si>
  <si>
    <t>DA2531NIN430</t>
    <phoneticPr fontId="2" type="noConversion"/>
  </si>
  <si>
    <t>DA2531NIN430 - KHY2512083G</t>
    <phoneticPr fontId="2" type="noConversion"/>
  </si>
  <si>
    <t>쇼카고</t>
    <phoneticPr fontId="2" type="noConversion"/>
  </si>
  <si>
    <t xml:space="preserve">경기도 화성시 향남읍 구문천리 933-8 </t>
    <phoneticPr fontId="2" type="noConversion"/>
  </si>
  <si>
    <t>HMM ROTTERDAM(HORO-001) / 0018W</t>
    <phoneticPr fontId="2" type="noConversion"/>
  </si>
  <si>
    <t>HMMU4146077</t>
    <phoneticPr fontId="2" type="noConversion"/>
  </si>
  <si>
    <t>25H0367297</t>
    <phoneticPr fontId="2" type="noConversion"/>
  </si>
  <si>
    <t xml:space="preserve">경기99바1121 / 오양묵 기사님 / 010-3235-5529 </t>
    <phoneticPr fontId="2" type="noConversion"/>
  </si>
  <si>
    <t>SELE20194100</t>
    <phoneticPr fontId="2" type="noConversion"/>
  </si>
  <si>
    <t>1CNTR당 4,000KGS  // T.W 3.700 KGS</t>
    <phoneticPr fontId="2" type="noConversion"/>
  </si>
  <si>
    <t>MAERSK CAP JERVIS(MJRV-001) / 601S</t>
    <phoneticPr fontId="2" type="noConversion"/>
  </si>
  <si>
    <t>MRKU5855086</t>
    <phoneticPr fontId="2" type="noConversion"/>
  </si>
  <si>
    <t>KR0686179</t>
    <phoneticPr fontId="2" type="noConversion"/>
  </si>
  <si>
    <t>263504733</t>
    <phoneticPr fontId="2" type="noConversion"/>
  </si>
  <si>
    <t>JUR 부품 // PNC-MAE // T.W 3,810 KGS</t>
    <phoneticPr fontId="2" type="noConversion"/>
  </si>
  <si>
    <t>아크메드라비</t>
    <phoneticPr fontId="2" type="noConversion"/>
  </si>
  <si>
    <t>경기 남양주시 진천읍 부평리 16</t>
    <phoneticPr fontId="2" type="noConversion"/>
  </si>
  <si>
    <t xml:space="preserve">YA LU JIANG(YLJG-001) / 895W </t>
    <phoneticPr fontId="2" type="noConversion"/>
  </si>
  <si>
    <t>서울86바5011 / 김영은 기사님 / 010-5321-0166</t>
    <phoneticPr fontId="2" type="noConversion"/>
  </si>
  <si>
    <t>DWSID251226001</t>
    <phoneticPr fontId="2" type="noConversion"/>
  </si>
  <si>
    <t>20' 운임확인</t>
    <phoneticPr fontId="2" type="noConversion"/>
  </si>
  <si>
    <t>시노트란스</t>
    <phoneticPr fontId="2" type="noConversion"/>
  </si>
  <si>
    <t>애솔</t>
    <phoneticPr fontId="2" type="noConversion"/>
  </si>
  <si>
    <t xml:space="preserve">충남 예산군 고덕면 예당산단 3길 3 </t>
  </si>
  <si>
    <t>WHSU0230463</t>
    <phoneticPr fontId="2" type="noConversion"/>
  </si>
  <si>
    <t>대전87아5979 / 이재구 기사님 / 010-8300-4330</t>
    <phoneticPr fontId="2" type="noConversion"/>
  </si>
  <si>
    <t>072F001035</t>
    <phoneticPr fontId="2" type="noConversion"/>
  </si>
  <si>
    <t>WHSU2023193</t>
    <phoneticPr fontId="2" type="noConversion"/>
  </si>
  <si>
    <t>서울90바3659 / 이창우 기사님 / 010-4754-3711</t>
    <phoneticPr fontId="2" type="noConversion"/>
  </si>
  <si>
    <t>072F001047</t>
    <phoneticPr fontId="2" type="noConversion"/>
  </si>
  <si>
    <t>TSSU5179629</t>
    <phoneticPr fontId="2" type="noConversion"/>
  </si>
  <si>
    <t>부산99바9832 / 여인현 기사님 / 010-9968-9356</t>
    <phoneticPr fontId="2" type="noConversion"/>
  </si>
  <si>
    <t>730510327365</t>
    <phoneticPr fontId="2" type="noConversion"/>
  </si>
  <si>
    <t>경남 김해시 칠산로 128-1 롯데김해물류센터</t>
    <phoneticPr fontId="2" type="noConversion"/>
  </si>
  <si>
    <t>ONEU0636323</t>
    <phoneticPr fontId="2" type="noConversion"/>
  </si>
  <si>
    <t>부산99사6264 / 신준우 기사님 /  010-4517-1281</t>
    <phoneticPr fontId="2" type="noConversion"/>
  </si>
  <si>
    <t>ONEYTAOFP7027800</t>
    <phoneticPr fontId="2" type="noConversion"/>
  </si>
  <si>
    <t>부산91바3140 / 김형근 기사님 / 010-2794-2461</t>
    <phoneticPr fontId="2" type="noConversion"/>
  </si>
  <si>
    <t>SNKO03N251200204</t>
  </si>
  <si>
    <t>유니크</t>
    <phoneticPr fontId="2" type="noConversion"/>
  </si>
  <si>
    <t>경남 김해시 진영읍 서부로 179번길 90(농공단지)</t>
    <phoneticPr fontId="2" type="noConversion"/>
  </si>
  <si>
    <t>1파렛</t>
    <phoneticPr fontId="2" type="noConversion"/>
  </si>
  <si>
    <t>1PLT / 300KG</t>
    <phoneticPr fontId="2" type="noConversion"/>
  </si>
  <si>
    <t>인천85아1952 / 최희철 기사님 / 010-5782-4288</t>
    <phoneticPr fontId="2" type="noConversion"/>
  </si>
  <si>
    <t>401</t>
    <phoneticPr fontId="2" type="noConversion"/>
  </si>
  <si>
    <t>김해 - 인천 영진공사 제 2 아암 보세창고</t>
    <phoneticPr fontId="2" type="noConversion"/>
  </si>
  <si>
    <t>새봄화분원예</t>
    <phoneticPr fontId="2" type="noConversion"/>
  </si>
  <si>
    <t>인터지스 7부두</t>
    <phoneticPr fontId="2" type="noConversion"/>
  </si>
  <si>
    <t>부산사상구</t>
    <phoneticPr fontId="2" type="noConversion"/>
  </si>
  <si>
    <t>CLHU2628913</t>
    <phoneticPr fontId="2" type="noConversion"/>
  </si>
  <si>
    <t>JMTL15107</t>
    <phoneticPr fontId="2" type="noConversion"/>
  </si>
  <si>
    <t>SJCY1212 / 반송셔틀</t>
    <phoneticPr fontId="2" type="noConversion"/>
  </si>
  <si>
    <t>DWSBD251224001</t>
    <phoneticPr fontId="2" type="noConversion"/>
  </si>
  <si>
    <t>반송건  // 하불 바로 정산</t>
    <phoneticPr fontId="2" type="noConversion"/>
  </si>
  <si>
    <t>국양로</t>
    <phoneticPr fontId="2" type="noConversion"/>
  </si>
  <si>
    <t>반송보세DWSBD251224001</t>
    <phoneticPr fontId="2" type="noConversion"/>
  </si>
  <si>
    <t>2PLT</t>
    <phoneticPr fontId="2" type="noConversion"/>
  </si>
  <si>
    <t>12/30상차</t>
    <phoneticPr fontId="2" type="noConversion"/>
  </si>
  <si>
    <t>당일착</t>
    <phoneticPr fontId="2" type="noConversion"/>
  </si>
  <si>
    <t>대동모터스리싸이클링</t>
    <phoneticPr fontId="2" type="noConversion"/>
  </si>
  <si>
    <t>경남 함안군 칠북면 경남댜로 2364</t>
    <phoneticPr fontId="2" type="noConversion"/>
  </si>
  <si>
    <t>HEUNG-A SARAH(HASR-02) / 2525S</t>
    <phoneticPr fontId="2" type="noConversion"/>
  </si>
  <si>
    <t>SNKO010251208813</t>
    <phoneticPr fontId="2" type="noConversion"/>
  </si>
  <si>
    <t>울산광역시 북구 중산산업 1길 6</t>
    <phoneticPr fontId="2" type="noConversion"/>
  </si>
  <si>
    <t>NSSU7086258</t>
    <phoneticPr fontId="2" type="noConversion"/>
  </si>
  <si>
    <t>NSSLSNBSC2500485</t>
    <phoneticPr fontId="2" type="noConversion"/>
  </si>
  <si>
    <t>SITU9084801</t>
    <phoneticPr fontId="2" type="noConversion"/>
  </si>
  <si>
    <t>인천98사5035/ 백낙선 기사님 / 010-3170-1804</t>
    <phoneticPr fontId="2" type="noConversion"/>
  </si>
  <si>
    <t>DA2531NIN430 - KHY2512083F</t>
    <phoneticPr fontId="2" type="noConversion"/>
  </si>
  <si>
    <t>부산 기장군 정관읍 용수공단 2길 34</t>
    <phoneticPr fontId="2" type="noConversion"/>
  </si>
  <si>
    <t>HMM PEARL(HOPL-001) / 0010E</t>
    <phoneticPr fontId="2" type="noConversion"/>
  </si>
  <si>
    <t>부산99바8569 / 주형석 기사님 /  010-3548-9733</t>
    <phoneticPr fontId="2" type="noConversion"/>
  </si>
  <si>
    <t>SELM50521600</t>
    <phoneticPr fontId="2" type="noConversion"/>
  </si>
  <si>
    <t>OAKLAND, CA</t>
    <phoneticPr fontId="2" type="noConversion"/>
  </si>
  <si>
    <t>HLC</t>
    <phoneticPr fontId="2" type="noConversion"/>
  </si>
  <si>
    <t xml:space="preserve">GUNDE MAERSK / 601E </t>
    <phoneticPr fontId="2" type="noConversion"/>
  </si>
  <si>
    <t>TRHU4718422</t>
    <phoneticPr fontId="2" type="noConversion"/>
  </si>
  <si>
    <t>HLC1041010</t>
    <phoneticPr fontId="2" type="noConversion"/>
  </si>
  <si>
    <t>39691906</t>
    <phoneticPr fontId="2" type="noConversion"/>
  </si>
  <si>
    <t xml:space="preserve"> APEO 오일  // 약24톤 고중량건 //  선사에서 모선항차 안 물려준다함. //</t>
    <phoneticPr fontId="2" type="noConversion"/>
  </si>
  <si>
    <t>중량39691906</t>
    <phoneticPr fontId="2" type="noConversion"/>
  </si>
  <si>
    <t>베스트부품&amp;글로벌라인</t>
    <phoneticPr fontId="2" type="noConversion"/>
  </si>
  <si>
    <t>경기 김포시 월곶면 갈산리 171-54</t>
  </si>
  <si>
    <t>SKHU9536343</t>
    <phoneticPr fontId="2" type="noConversion"/>
  </si>
  <si>
    <t>HAL123117</t>
    <phoneticPr fontId="2" type="noConversion"/>
  </si>
  <si>
    <t>경기99바1154 / 허재석 기사님 / 010-5253-3258</t>
    <phoneticPr fontId="2" type="noConversion"/>
  </si>
  <si>
    <t>HASLK01251209248</t>
    <phoneticPr fontId="2" type="noConversion"/>
  </si>
  <si>
    <t>세컨 // T.W 3,840 KGS</t>
    <phoneticPr fontId="2" type="noConversion"/>
  </si>
  <si>
    <t>경남 양산시 어실로 138 구)진흥기계</t>
    <phoneticPr fontId="2" type="noConversion"/>
  </si>
  <si>
    <t>HEUNG-A JANICE(HAJN-01) / 2548W</t>
    <phoneticPr fontId="2" type="noConversion"/>
  </si>
  <si>
    <t>GESU3840067</t>
    <phoneticPr fontId="2" type="noConversion"/>
  </si>
  <si>
    <t>HAL184894</t>
    <phoneticPr fontId="2" type="noConversion"/>
  </si>
  <si>
    <t>울산80아6771 / 정해수기사님 / 010-9121-2622</t>
    <phoneticPr fontId="2" type="noConversion"/>
  </si>
  <si>
    <t>HASLK02251201662</t>
    <phoneticPr fontId="2" type="noConversion"/>
  </si>
  <si>
    <t>어곡창고</t>
    <phoneticPr fontId="2" type="noConversion"/>
  </si>
  <si>
    <t>영원플러스</t>
    <phoneticPr fontId="2" type="noConversion"/>
  </si>
  <si>
    <t>대구 서구 평리로 21길 7</t>
    <phoneticPr fontId="2" type="noConversion"/>
  </si>
  <si>
    <t>YONG SHENG 158(DWYS-43) / 2551W</t>
    <phoneticPr fontId="2" type="noConversion"/>
  </si>
  <si>
    <t>TEMU1076238</t>
    <phoneticPr fontId="2" type="noConversion"/>
  </si>
  <si>
    <t>DWS2439849</t>
    <phoneticPr fontId="2" type="noConversion"/>
  </si>
  <si>
    <t>울산80아6682 / 배정식 기사님 / 010-5015-2261</t>
    <phoneticPr fontId="2" type="noConversion"/>
  </si>
  <si>
    <t>DWSBW251224002</t>
    <phoneticPr fontId="2" type="noConversion"/>
  </si>
  <si>
    <t>DWH 두우 // 2,060 KGS</t>
    <phoneticPr fontId="2" type="noConversion"/>
  </si>
  <si>
    <t>성창종합물류</t>
    <phoneticPr fontId="2" type="noConversion"/>
  </si>
  <si>
    <t>에이치엔비테크</t>
    <phoneticPr fontId="2" type="noConversion"/>
  </si>
  <si>
    <t>충북 음성군 금왕읍 멍심이길 217-25 / 퓨어앤텍</t>
    <phoneticPr fontId="2" type="noConversion"/>
  </si>
  <si>
    <t>SELU4324061</t>
    <phoneticPr fontId="2" type="noConversion"/>
  </si>
  <si>
    <t>SITGSHPUQ617123</t>
    <phoneticPr fontId="2" type="noConversion"/>
  </si>
  <si>
    <t>DYLU5158320</t>
    <phoneticPr fontId="2" type="noConversion"/>
  </si>
  <si>
    <t>PCSLNIL915251216</t>
    <phoneticPr fontId="2" type="noConversion"/>
  </si>
  <si>
    <t>BMOU6522848</t>
    <phoneticPr fontId="2" type="noConversion"/>
  </si>
  <si>
    <t>부산99사4521 / 최 웅 기사님 / 010-5688-5399</t>
    <phoneticPr fontId="2" type="noConversion"/>
  </si>
  <si>
    <t>CKCOSH2522082</t>
    <phoneticPr fontId="2" type="noConversion"/>
  </si>
  <si>
    <t xml:space="preserve"> 28차</t>
  </si>
  <si>
    <t>SITC MINGDE / 2602S</t>
    <phoneticPr fontId="2" type="noConversion"/>
  </si>
  <si>
    <t>SITU9200590</t>
    <phoneticPr fontId="2" type="noConversion"/>
  </si>
  <si>
    <t>SITR614510</t>
    <phoneticPr fontId="2" type="noConversion"/>
  </si>
  <si>
    <t>부산99사6222 / 박동현 기사님 / 010-5361-6222</t>
    <phoneticPr fontId="2" type="noConversion"/>
  </si>
  <si>
    <t>SITPUCB060741</t>
    <phoneticPr fontId="2" type="noConversion"/>
  </si>
  <si>
    <t>SITPUCB060243 / TRHU8783690 / SITR626289 // 입고:12/17(수) 오전 9시, 출고:12/30(화)</t>
    <phoneticPr fontId="2" type="noConversion"/>
  </si>
  <si>
    <t>UBIOPLUS</t>
    <phoneticPr fontId="2" type="noConversion"/>
  </si>
  <si>
    <t>경기 성남시 중원구 사기막골로 45번길 14</t>
    <phoneticPr fontId="2" type="noConversion"/>
  </si>
  <si>
    <t>성남</t>
    <phoneticPr fontId="2" type="noConversion"/>
  </si>
  <si>
    <t>콘솔</t>
    <phoneticPr fontId="2" type="noConversion"/>
  </si>
  <si>
    <t>SNKO010251210748</t>
    <phoneticPr fontId="2" type="noConversion"/>
  </si>
  <si>
    <t>화주 : UBIOPLUS
콘솔차량 배차(합짐)
상차지 : 경기 성남시 중원구 사기막골로 45번길 14 성남우림라이온스밸리 2차 A동 1802호
홍승민 / 010-3355-5375
하차지 : 부산시 남구 북항로 179 (감만동) 허치슨터미널 CFS 2층 장풍CFS
051-630-8436
10PLT</t>
    <phoneticPr fontId="2" type="noConversion"/>
  </si>
  <si>
    <t>12/31 하차</t>
    <phoneticPr fontId="2" type="noConversion"/>
  </si>
  <si>
    <t>HMMU6950192</t>
    <phoneticPr fontId="2" type="noConversion"/>
  </si>
  <si>
    <t>25H0367377</t>
    <phoneticPr fontId="2" type="noConversion"/>
  </si>
  <si>
    <t>SELM24944401</t>
    <phoneticPr fontId="2" type="noConversion"/>
  </si>
  <si>
    <t>NSSU7148473</t>
    <phoneticPr fontId="2" type="noConversion"/>
  </si>
  <si>
    <t>NSSLSNBSC2500487</t>
    <phoneticPr fontId="2" type="noConversion"/>
  </si>
  <si>
    <t>월드물류</t>
    <phoneticPr fontId="2" type="noConversion"/>
  </si>
  <si>
    <t>경기 고양시 일산동구 설문동 162 / 월드물류</t>
    <phoneticPr fontId="2" type="noConversion"/>
  </si>
  <si>
    <t>WAN HAI 510(W510-01) / W194</t>
    <phoneticPr fontId="2" type="noConversion"/>
  </si>
  <si>
    <t>RSAPUSMAA181502</t>
    <phoneticPr fontId="2" type="noConversion"/>
  </si>
  <si>
    <t>AN DONG 68(DWAD-01) / 114W</t>
    <phoneticPr fontId="2" type="noConversion"/>
  </si>
  <si>
    <t>DDSIG251224002</t>
    <phoneticPr fontId="2" type="noConversion"/>
  </si>
  <si>
    <t>계근DDSIG251224002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</si>
</sst>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h:mm;@"/>
    <numFmt numFmtId="177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111827"/>
      <name val="Segoe UI"/>
      <family val="2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color indexed="81"/>
      <name val="돋움"/>
      <family val="3"/>
      <charset val="129"/>
    </font>
    <font>
      <b/>
      <sz val="18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sz val="14"/>
      <color indexed="81"/>
      <name val="돋움"/>
      <family val="3"/>
      <charset val="129"/>
    </font>
    <font>
      <b/>
      <sz val="22"/>
      <color indexed="81"/>
      <name val="Tahoma"/>
      <family val="2"/>
    </font>
    <font>
      <b/>
      <sz val="22"/>
      <color indexed="81"/>
      <name val="돋움"/>
      <family val="3"/>
      <charset val="129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2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>
      <alignment vertical="center"/>
    </xf>
    <xf numFmtId="41" fontId="8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8" fillId="0" borderId="1" xfId="0" applyNumberFormat="1" applyFont="1" applyBorder="1">
      <alignment vertical="center"/>
    </xf>
    <xf numFmtId="0" fontId="12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>
      <alignment vertical="center"/>
    </xf>
    <xf numFmtId="41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176" fontId="8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3" fontId="8" fillId="0" borderId="1" xfId="0" applyNumberFormat="1" applyFont="1" applyBorder="1" applyAlignment="1">
      <alignment horizontal="left" vertical="center"/>
    </xf>
    <xf numFmtId="3" fontId="8" fillId="0" borderId="3" xfId="0" applyNumberFormat="1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>
      <alignment vertical="center"/>
    </xf>
    <xf numFmtId="41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176" fontId="9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left" vertical="center"/>
    </xf>
    <xf numFmtId="0" fontId="6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>
      <alignment vertical="center"/>
    </xf>
    <xf numFmtId="41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/>
    </xf>
    <xf numFmtId="176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8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>
      <alignment vertical="center"/>
    </xf>
    <xf numFmtId="41" fontId="8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176" fontId="8" fillId="5" borderId="1" xfId="0" applyNumberFormat="1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77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9" fontId="9" fillId="6" borderId="1" xfId="0" applyNumberFormat="1" applyFont="1" applyFill="1" applyBorder="1">
      <alignment vertical="center"/>
    </xf>
    <xf numFmtId="41" fontId="8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left" vertical="center"/>
    </xf>
    <xf numFmtId="176" fontId="8" fillId="6" borderId="1" xfId="0" applyNumberFormat="1" applyFont="1" applyFill="1" applyBorder="1" applyAlignment="1">
      <alignment horizontal="center" vertical="center"/>
    </xf>
    <xf numFmtId="177" fontId="8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177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49" fontId="9" fillId="7" borderId="1" xfId="0" applyNumberFormat="1" applyFont="1" applyFill="1" applyBorder="1">
      <alignment vertical="center"/>
    </xf>
    <xf numFmtId="41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left" vertical="center"/>
    </xf>
    <xf numFmtId="176" fontId="8" fillId="7" borderId="1" xfId="0" applyNumberFormat="1" applyFont="1" applyFill="1" applyBorder="1" applyAlignment="1">
      <alignment horizontal="center" vertical="center"/>
    </xf>
    <xf numFmtId="177" fontId="8" fillId="7" borderId="1" xfId="0" applyNumberFormat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9" fillId="7" borderId="0" xfId="0" applyFont="1" applyFill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41" fontId="9" fillId="6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left" vertical="center"/>
    </xf>
    <xf numFmtId="176" fontId="9" fillId="6" borderId="1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left" vertical="center"/>
    </xf>
    <xf numFmtId="0" fontId="6" fillId="6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44053;&#45796;&#50689;/NS/&#50868;&#49569;&#48176;&#52264;&#54788;&#54889;/2025.12&#50868;&#495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양식"/>
      <sheetName val="202512"/>
      <sheetName val="202601"/>
    </sheetNames>
    <sheetDataSet>
      <sheetData sheetId="0">
        <row r="1">
          <cell r="A1" t="str">
            <v>상하차지</v>
          </cell>
          <cell r="B1" t="str">
            <v>상하자치코드</v>
          </cell>
        </row>
        <row r="2">
          <cell r="A2" t="str">
            <v>허치슨감만</v>
          </cell>
          <cell r="B2" t="str">
            <v>Z9</v>
          </cell>
          <cell r="D2" t="str">
            <v>백승운수</v>
          </cell>
          <cell r="G2" t="str">
            <v>ANL</v>
          </cell>
          <cell r="H2" t="str">
            <v>ANLU</v>
          </cell>
        </row>
        <row r="3">
          <cell r="A3" t="str">
            <v>BCT</v>
          </cell>
          <cell r="B3" t="str">
            <v>BC</v>
          </cell>
          <cell r="D3" t="str">
            <v>(유)오식도물류</v>
          </cell>
          <cell r="G3" t="str">
            <v>APL</v>
          </cell>
          <cell r="H3" t="str">
            <v>APLU</v>
          </cell>
        </row>
        <row r="4">
          <cell r="A4" t="str">
            <v>BIDC</v>
          </cell>
          <cell r="B4" t="str">
            <v>BF</v>
          </cell>
          <cell r="D4" t="str">
            <v>(주) 제이디쉬핑라인</v>
          </cell>
          <cell r="G4" t="str">
            <v>APS</v>
          </cell>
          <cell r="H4" t="str">
            <v>APS</v>
          </cell>
        </row>
        <row r="5">
          <cell r="A5" t="str">
            <v>BIT</v>
          </cell>
          <cell r="B5" t="str">
            <v>BT</v>
          </cell>
          <cell r="D5" t="str">
            <v>(주)금길종합운수</v>
          </cell>
          <cell r="G5" t="str">
            <v>CKL</v>
          </cell>
          <cell r="H5" t="str">
            <v>CKCO</v>
          </cell>
        </row>
        <row r="6">
          <cell r="A6" t="str">
            <v>BNCT</v>
          </cell>
          <cell r="B6" t="str">
            <v>BB</v>
          </cell>
          <cell r="D6" t="str">
            <v>(주)다다물류</v>
          </cell>
          <cell r="G6" t="str">
            <v>CMA</v>
          </cell>
          <cell r="H6" t="str">
            <v>CMAL</v>
          </cell>
        </row>
        <row r="7">
          <cell r="A7" t="str">
            <v>DGT</v>
          </cell>
          <cell r="B7" t="str">
            <v>TG</v>
          </cell>
          <cell r="D7" t="str">
            <v>(주)대경지엘에스</v>
          </cell>
          <cell r="G7" t="str">
            <v>CMA</v>
          </cell>
          <cell r="H7" t="str">
            <v>CMA</v>
          </cell>
        </row>
        <row r="8">
          <cell r="A8" t="str">
            <v>DPCT</v>
          </cell>
          <cell r="B8" t="str">
            <v>DB</v>
          </cell>
          <cell r="D8" t="str">
            <v>(주)대명케이알</v>
          </cell>
          <cell r="G8" t="str">
            <v>CNC</v>
          </cell>
          <cell r="H8" t="str">
            <v>CNCL</v>
          </cell>
        </row>
        <row r="9">
          <cell r="A9" t="str">
            <v>E1</v>
          </cell>
          <cell r="B9" t="str">
            <v>E1</v>
          </cell>
          <cell r="D9" t="str">
            <v>(주)더블유비엘</v>
          </cell>
          <cell r="G9" t="str">
            <v>COH</v>
          </cell>
          <cell r="H9" t="str">
            <v>COHE</v>
          </cell>
        </row>
        <row r="10">
          <cell r="A10" t="str">
            <v>GW</v>
          </cell>
          <cell r="B10" t="str">
            <v>W9</v>
          </cell>
          <cell r="D10" t="str">
            <v>(주)도성물류</v>
          </cell>
          <cell r="G10" t="str">
            <v>COS</v>
          </cell>
          <cell r="H10" t="str">
            <v>COSU</v>
          </cell>
        </row>
        <row r="11">
          <cell r="A11" t="str">
            <v>ICT</v>
          </cell>
          <cell r="B11" t="str">
            <v>Y25</v>
          </cell>
          <cell r="D11" t="str">
            <v>(주)동방평택지사</v>
          </cell>
          <cell r="G11" t="str">
            <v>CSX</v>
          </cell>
          <cell r="H11" t="str">
            <v>CSX</v>
          </cell>
        </row>
        <row r="12">
          <cell r="A12" t="str">
            <v>KBCT</v>
          </cell>
          <cell r="B12" t="str">
            <v>P</v>
          </cell>
          <cell r="D12" t="str">
            <v>두레종합물류</v>
          </cell>
          <cell r="G12" t="str">
            <v>CUL</v>
          </cell>
          <cell r="H12" t="str">
            <v>CUL</v>
          </cell>
        </row>
        <row r="13">
          <cell r="A13" t="str">
            <v>KCTC부곡</v>
          </cell>
          <cell r="B13" t="str">
            <v>B13</v>
          </cell>
          <cell r="D13" t="str">
            <v>(주)디앤더블유로지스틱스</v>
          </cell>
          <cell r="G13" t="str">
            <v>DJS</v>
          </cell>
          <cell r="H13" t="str">
            <v>DJSC</v>
          </cell>
        </row>
        <row r="14">
          <cell r="A14" t="str">
            <v>KCTC우암</v>
          </cell>
          <cell r="B14" t="str">
            <v>B4</v>
          </cell>
          <cell r="D14" t="str">
            <v>(주)디에이엘로지스틱스</v>
          </cell>
          <cell r="G14" t="str">
            <v>DWS</v>
          </cell>
          <cell r="H14" t="str">
            <v>DOOW</v>
          </cell>
        </row>
        <row r="15">
          <cell r="A15" t="str">
            <v>KIT</v>
          </cell>
          <cell r="B15">
            <v>25</v>
          </cell>
          <cell r="D15" t="str">
            <v>(주)디케이물류</v>
          </cell>
          <cell r="G15" t="str">
            <v>DYS</v>
          </cell>
          <cell r="H15" t="str">
            <v>PCSL</v>
          </cell>
        </row>
        <row r="16">
          <cell r="A16" t="str">
            <v>KWCT</v>
          </cell>
          <cell r="B16">
            <v>25</v>
          </cell>
          <cell r="D16" t="str">
            <v>디티씨</v>
          </cell>
          <cell r="G16" t="str">
            <v>EAS</v>
          </cell>
          <cell r="H16" t="str">
            <v>EASL</v>
          </cell>
        </row>
        <row r="17">
          <cell r="A17" t="str">
            <v>MS디스트리파크</v>
          </cell>
          <cell r="B17" t="str">
            <v>MS</v>
          </cell>
          <cell r="D17" t="str">
            <v>(주)라온티피엘</v>
          </cell>
          <cell r="G17" t="str">
            <v>EMC</v>
          </cell>
          <cell r="H17" t="str">
            <v>EVER</v>
          </cell>
        </row>
        <row r="18">
          <cell r="A18" t="str">
            <v>PCTC</v>
          </cell>
          <cell r="B18" t="str">
            <v>PC</v>
          </cell>
          <cell r="D18" t="str">
            <v>(주)모아물류</v>
          </cell>
          <cell r="G18" t="str">
            <v>ESL</v>
          </cell>
          <cell r="H18" t="str">
            <v>ESLU</v>
          </cell>
        </row>
        <row r="19">
          <cell r="A19" t="str">
            <v>PNC</v>
          </cell>
          <cell r="B19" t="str">
            <v>PN</v>
          </cell>
          <cell r="D19" t="str">
            <v>(주)백마종합물류</v>
          </cell>
          <cell r="G19" t="str">
            <v>ETC</v>
          </cell>
          <cell r="H19" t="str">
            <v>ETC</v>
          </cell>
        </row>
        <row r="20">
          <cell r="A20" t="str">
            <v>PNIT</v>
          </cell>
          <cell r="B20" t="str">
            <v>KP</v>
          </cell>
          <cell r="D20" t="str">
            <v>(주)부강에너지</v>
          </cell>
          <cell r="G20" t="str">
            <v>FEO</v>
          </cell>
          <cell r="H20" t="str">
            <v>FESU</v>
          </cell>
        </row>
        <row r="21">
          <cell r="A21" t="str">
            <v>SNCT</v>
          </cell>
          <cell r="B21" t="str">
            <v>NN</v>
          </cell>
          <cell r="D21" t="str">
            <v>(주)비앤피주성</v>
          </cell>
          <cell r="G21" t="str">
            <v>GFS</v>
          </cell>
          <cell r="H21" t="str">
            <v>GFS</v>
          </cell>
        </row>
        <row r="22">
          <cell r="A22" t="str">
            <v>YSL부곡</v>
          </cell>
          <cell r="B22" t="str">
            <v>YL</v>
          </cell>
          <cell r="D22" t="str">
            <v>(주)비에스물류</v>
          </cell>
          <cell r="G22" t="str">
            <v>HAD</v>
          </cell>
          <cell r="H22" t="str">
            <v>HDS</v>
          </cell>
        </row>
        <row r="23">
          <cell r="A23" t="str">
            <v>강서미음</v>
          </cell>
          <cell r="B23" t="str">
            <v>ME</v>
          </cell>
          <cell r="D23" t="str">
            <v>(주)비투라인</v>
          </cell>
          <cell r="G23" t="str">
            <v>HAD</v>
          </cell>
          <cell r="H23" t="str">
            <v>HDS</v>
          </cell>
        </row>
        <row r="24">
          <cell r="A24" t="str">
            <v>강서화전</v>
          </cell>
          <cell r="B24" t="str">
            <v>ME</v>
          </cell>
          <cell r="D24" t="str">
            <v>(주)세광물류</v>
          </cell>
          <cell r="G24" t="str">
            <v>HAPAG</v>
          </cell>
          <cell r="H24" t="str">
            <v>HLCU</v>
          </cell>
        </row>
        <row r="25">
          <cell r="A25" t="str">
            <v>경기광주</v>
          </cell>
          <cell r="B25" t="str">
            <v>MF</v>
          </cell>
          <cell r="D25" t="str">
            <v>(주)세운물류</v>
          </cell>
          <cell r="G25" t="str">
            <v>HAS</v>
          </cell>
          <cell r="H25" t="str">
            <v>HASL</v>
          </cell>
        </row>
        <row r="26">
          <cell r="A26" t="str">
            <v>경기오산</v>
          </cell>
          <cell r="B26" t="str">
            <v>1I</v>
          </cell>
          <cell r="D26" t="str">
            <v>(주)시우로지스틱</v>
          </cell>
          <cell r="G26" t="str">
            <v>HEUNG-A</v>
          </cell>
          <cell r="H26" t="str">
            <v>HASL</v>
          </cell>
        </row>
        <row r="27">
          <cell r="A27" t="str">
            <v>경남창녕</v>
          </cell>
          <cell r="B27" t="str">
            <v>C0</v>
          </cell>
          <cell r="D27" t="str">
            <v>(주)씨오엘티엔에스</v>
          </cell>
          <cell r="G27" t="str">
            <v>HLC</v>
          </cell>
          <cell r="H27" t="str">
            <v>HLCU</v>
          </cell>
        </row>
        <row r="28">
          <cell r="A28" t="str">
            <v>경북구미</v>
          </cell>
          <cell r="B28" t="str">
            <v>1A</v>
          </cell>
          <cell r="D28" t="str">
            <v>(주)아미인터내셔널</v>
          </cell>
          <cell r="G28" t="str">
            <v>HMM</v>
          </cell>
          <cell r="H28" t="str">
            <v>HDMU</v>
          </cell>
        </row>
        <row r="29">
          <cell r="A29" t="str">
            <v>경북영주</v>
          </cell>
          <cell r="B29" t="str">
            <v>J2</v>
          </cell>
          <cell r="D29" t="str">
            <v>(주)아이에스에이상운</v>
          </cell>
          <cell r="G29" t="str">
            <v>HSD</v>
          </cell>
          <cell r="H29" t="str">
            <v>HSD</v>
          </cell>
        </row>
        <row r="30">
          <cell r="A30" t="str">
            <v>경산남천면</v>
          </cell>
          <cell r="B30" t="str">
            <v>SA</v>
          </cell>
          <cell r="D30" t="str">
            <v>(주)아트윈로지스틱스</v>
          </cell>
          <cell r="G30" t="str">
            <v>HSL</v>
          </cell>
          <cell r="H30" t="str">
            <v>HSLI</v>
          </cell>
        </row>
        <row r="31">
          <cell r="A31" t="str">
            <v>경주</v>
          </cell>
          <cell r="B31" t="str">
            <v>KU</v>
          </cell>
          <cell r="D31" t="str">
            <v>(주)에스에이로지스</v>
          </cell>
          <cell r="G31" t="str">
            <v>IAL</v>
          </cell>
          <cell r="H31" t="str">
            <v>IALU</v>
          </cell>
        </row>
        <row r="32">
          <cell r="A32" t="str">
            <v>경주외동읍</v>
          </cell>
          <cell r="B32" t="str">
            <v>KU</v>
          </cell>
          <cell r="D32" t="str">
            <v>(주)에스와이물류</v>
          </cell>
          <cell r="G32" t="str">
            <v>JCS</v>
          </cell>
          <cell r="H32" t="str">
            <v>JCSC</v>
          </cell>
        </row>
        <row r="33">
          <cell r="A33" t="str">
            <v>경주천북</v>
          </cell>
          <cell r="B33" t="str">
            <v>KU</v>
          </cell>
          <cell r="D33" t="str">
            <v>(주)에이원로직스</v>
          </cell>
          <cell r="G33" t="str">
            <v>KFC</v>
          </cell>
          <cell r="H33" t="str">
            <v>CM1</v>
          </cell>
        </row>
        <row r="34">
          <cell r="A34" t="str">
            <v>고양</v>
          </cell>
          <cell r="B34" t="str">
            <v>K#</v>
          </cell>
          <cell r="D34" t="str">
            <v>(주)에이지엘</v>
          </cell>
          <cell r="G34" t="str">
            <v>KMD</v>
          </cell>
          <cell r="H34" t="str">
            <v>KMTC</v>
          </cell>
        </row>
        <row r="35">
          <cell r="A35" t="str">
            <v>공주</v>
          </cell>
          <cell r="B35" t="str">
            <v>ZB</v>
          </cell>
          <cell r="D35" t="str">
            <v>(주)에이치에스해운</v>
          </cell>
          <cell r="G35" t="str">
            <v>MAE</v>
          </cell>
          <cell r="H35" t="str">
            <v>MAEU</v>
          </cell>
        </row>
        <row r="36">
          <cell r="A36" t="str">
            <v>광명</v>
          </cell>
          <cell r="B36" t="str">
            <v>Q0</v>
          </cell>
          <cell r="D36" t="str">
            <v>(주)엘에스종합물류</v>
          </cell>
          <cell r="G36" t="str">
            <v>MSC</v>
          </cell>
          <cell r="H36" t="str">
            <v>MSCU</v>
          </cell>
        </row>
        <row r="37">
          <cell r="A37" t="str">
            <v>광양</v>
          </cell>
          <cell r="B37" t="str">
            <v>KW</v>
          </cell>
          <cell r="D37" t="str">
            <v>(주)원써클로지스틱스</v>
          </cell>
          <cell r="G37" t="str">
            <v>NSL</v>
          </cell>
          <cell r="H37" t="str">
            <v>NSSL</v>
          </cell>
        </row>
        <row r="38">
          <cell r="A38" t="str">
            <v>광주</v>
          </cell>
          <cell r="B38" t="str">
            <v>QP</v>
          </cell>
          <cell r="D38" t="str">
            <v>(주)유니글로벌로지스틱스코리아</v>
          </cell>
          <cell r="G38" t="str">
            <v>ONE</v>
          </cell>
          <cell r="H38" t="str">
            <v>ONE</v>
          </cell>
        </row>
        <row r="39">
          <cell r="A39" t="str">
            <v>구미</v>
          </cell>
          <cell r="B39" t="str">
            <v>1A</v>
          </cell>
          <cell r="D39" t="str">
            <v>(주)유진로직스</v>
          </cell>
          <cell r="G39" t="str">
            <v>ONE-LINE</v>
          </cell>
          <cell r="H39" t="str">
            <v>ONE</v>
          </cell>
        </row>
        <row r="40">
          <cell r="A40" t="str">
            <v>군산</v>
          </cell>
          <cell r="B40" t="str">
            <v>QX</v>
          </cell>
          <cell r="D40" t="str">
            <v>(주)제이디아이글로벌</v>
          </cell>
          <cell r="G40" t="str">
            <v>OOCL</v>
          </cell>
          <cell r="H40" t="str">
            <v>OOLU</v>
          </cell>
        </row>
        <row r="41">
          <cell r="A41" t="str">
            <v>군포</v>
          </cell>
          <cell r="B41" t="str">
            <v>1C</v>
          </cell>
          <cell r="D41" t="str">
            <v>(주)지엠엘</v>
          </cell>
          <cell r="G41" t="str">
            <v>OOL</v>
          </cell>
          <cell r="H41" t="str">
            <v>OOLU</v>
          </cell>
        </row>
        <row r="42">
          <cell r="A42" t="str">
            <v>극동 CY</v>
          </cell>
          <cell r="B42" t="str">
            <v>K2</v>
          </cell>
          <cell r="D42" t="str">
            <v>(주)천경</v>
          </cell>
          <cell r="G42" t="str">
            <v>PAN</v>
          </cell>
          <cell r="H42" t="str">
            <v>PSLU</v>
          </cell>
        </row>
        <row r="43">
          <cell r="A43" t="str">
            <v>기장</v>
          </cell>
          <cell r="B43" t="str">
            <v>QQ</v>
          </cell>
          <cell r="D43" t="str">
            <v>(주)카고맥스</v>
          </cell>
          <cell r="G43" t="str">
            <v>PCL</v>
          </cell>
          <cell r="H43" t="str">
            <v>PCLU</v>
          </cell>
        </row>
        <row r="44">
          <cell r="A44" t="str">
            <v>김천</v>
          </cell>
          <cell r="B44" t="str">
            <v>BZ</v>
          </cell>
          <cell r="D44" t="str">
            <v>(주)태웅로직스</v>
          </cell>
          <cell r="G44" t="str">
            <v>PEL</v>
          </cell>
          <cell r="H44" t="str">
            <v>PEL</v>
          </cell>
        </row>
        <row r="45">
          <cell r="A45" t="str">
            <v>김포</v>
          </cell>
          <cell r="B45" t="str">
            <v>P3</v>
          </cell>
          <cell r="D45" t="str">
            <v>(주)파크랜드</v>
          </cell>
          <cell r="G45" t="str">
            <v>PIL</v>
          </cell>
          <cell r="H45" t="str">
            <v>PILK</v>
          </cell>
        </row>
        <row r="46">
          <cell r="A46" t="str">
            <v>김포대곶</v>
          </cell>
          <cell r="B46" t="str">
            <v>P3</v>
          </cell>
          <cell r="D46" t="str">
            <v>(주)퍼시픽브리지</v>
          </cell>
          <cell r="G46" t="str">
            <v>POL</v>
          </cell>
          <cell r="H46" t="str">
            <v>PANO</v>
          </cell>
        </row>
        <row r="47">
          <cell r="A47" t="str">
            <v>김포월곶</v>
          </cell>
          <cell r="B47" t="str">
            <v>P3</v>
          </cell>
          <cell r="D47" t="str">
            <v>(주)풍전비철</v>
          </cell>
          <cell r="G47" t="str">
            <v>RCL</v>
          </cell>
          <cell r="H47" t="str">
            <v>RCLK</v>
          </cell>
        </row>
        <row r="48">
          <cell r="A48" t="str">
            <v>김해</v>
          </cell>
          <cell r="B48" t="str">
            <v>KQ</v>
          </cell>
          <cell r="D48" t="str">
            <v>(주)한울로직스</v>
          </cell>
          <cell r="G48" t="str">
            <v>SFK</v>
          </cell>
          <cell r="H48" t="str">
            <v>SOFA</v>
          </cell>
        </row>
        <row r="49">
          <cell r="A49" t="str">
            <v>김해상동</v>
          </cell>
          <cell r="B49" t="str">
            <v>JZ</v>
          </cell>
          <cell r="D49" t="str">
            <v>KCTC</v>
          </cell>
          <cell r="G49" t="str">
            <v>SIT</v>
          </cell>
          <cell r="H49" t="str">
            <v>SITC</v>
          </cell>
        </row>
        <row r="50">
          <cell r="A50" t="str">
            <v>김해안동</v>
          </cell>
          <cell r="B50" t="str">
            <v>JZ</v>
          </cell>
          <cell r="D50" t="str">
            <v>경일글로벌로지스틱스주식회사</v>
          </cell>
          <cell r="G50" t="str">
            <v>SITC</v>
          </cell>
          <cell r="H50" t="str">
            <v>SITC</v>
          </cell>
        </row>
        <row r="51">
          <cell r="A51" t="str">
            <v>김해진영</v>
          </cell>
          <cell r="B51" t="str">
            <v>J0</v>
          </cell>
          <cell r="D51" t="str">
            <v>고성산업사</v>
          </cell>
          <cell r="G51" t="str">
            <v>SKR</v>
          </cell>
          <cell r="H51" t="str">
            <v>SNKO</v>
          </cell>
        </row>
        <row r="52">
          <cell r="A52" t="str">
            <v>남양주</v>
          </cell>
          <cell r="B52" t="str">
            <v>JX</v>
          </cell>
          <cell r="D52" t="str">
            <v>그린오션로지스틱스</v>
          </cell>
          <cell r="G52" t="str">
            <v>SML</v>
          </cell>
          <cell r="H52" t="str">
            <v>SM</v>
          </cell>
        </row>
        <row r="53">
          <cell r="A53" t="str">
            <v>뉴대원CY</v>
          </cell>
          <cell r="B53" t="str">
            <v>N1</v>
          </cell>
          <cell r="D53" t="str">
            <v>글로벌파트너로지스틱스 주식회사</v>
          </cell>
          <cell r="G53" t="str">
            <v>SNL</v>
          </cell>
          <cell r="H53" t="str">
            <v>SNLS</v>
          </cell>
        </row>
        <row r="54">
          <cell r="A54" t="str">
            <v>당진</v>
          </cell>
          <cell r="B54" t="str">
            <v>DJ</v>
          </cell>
          <cell r="D54" t="str">
            <v>나래물류</v>
          </cell>
          <cell r="G54" t="str">
            <v>SSN</v>
          </cell>
          <cell r="H54" t="str">
            <v>SSNT</v>
          </cell>
        </row>
        <row r="55">
          <cell r="A55" t="str">
            <v>대구</v>
          </cell>
          <cell r="B55" t="str">
            <v>DG</v>
          </cell>
          <cell r="D55" t="str">
            <v>대야글로벌</v>
          </cell>
          <cell r="G55" t="str">
            <v>TSL</v>
          </cell>
          <cell r="H55" t="str">
            <v>TSL</v>
          </cell>
        </row>
        <row r="56">
          <cell r="A56" t="str">
            <v>대구달성군</v>
          </cell>
          <cell r="B56" t="str">
            <v>DG</v>
          </cell>
          <cell r="D56" t="str">
            <v>더로지스 주식회사</v>
          </cell>
          <cell r="G56" t="str">
            <v>TYS</v>
          </cell>
          <cell r="H56" t="str">
            <v>TYSP</v>
          </cell>
        </row>
        <row r="57">
          <cell r="A57" t="str">
            <v>대전</v>
          </cell>
          <cell r="B57" t="str">
            <v>DN</v>
          </cell>
          <cell r="D57" t="str">
            <v>더로케트</v>
          </cell>
          <cell r="G57" t="str">
            <v>VSS</v>
          </cell>
          <cell r="H57" t="str">
            <v>VSS</v>
          </cell>
        </row>
        <row r="58">
          <cell r="A58" t="str">
            <v>대전대덕</v>
          </cell>
          <cell r="B58" t="str">
            <v>DZ</v>
          </cell>
          <cell r="D58" t="str">
            <v>동원로엑스(주)</v>
          </cell>
          <cell r="G58" t="str">
            <v>WHL</v>
          </cell>
          <cell r="H58" t="str">
            <v>WHLU</v>
          </cell>
        </row>
        <row r="59">
          <cell r="A59" t="str">
            <v>대전대덕구</v>
          </cell>
          <cell r="B59" t="str">
            <v>DN</v>
          </cell>
          <cell r="D59" t="str">
            <v>동진선박(주)</v>
          </cell>
          <cell r="G59" t="str">
            <v>WSL</v>
          </cell>
          <cell r="H59" t="str">
            <v>WEST</v>
          </cell>
        </row>
        <row r="60">
          <cell r="A60" t="str">
            <v>대통부곡</v>
          </cell>
          <cell r="B60" t="str">
            <v>B5</v>
          </cell>
          <cell r="D60" t="str">
            <v>동화로지스틱스</v>
          </cell>
          <cell r="G60" t="str">
            <v>XXXX</v>
          </cell>
          <cell r="H60" t="str">
            <v>XXXX</v>
          </cell>
        </row>
        <row r="61">
          <cell r="A61" t="str">
            <v>동부 PECT CY</v>
          </cell>
          <cell r="B61" t="str">
            <v>D9</v>
          </cell>
          <cell r="D61" t="str">
            <v>디에이치글로벌로지스틱스(주)</v>
          </cell>
          <cell r="G61" t="str">
            <v>YML</v>
          </cell>
          <cell r="H61" t="str">
            <v>YMLU</v>
          </cell>
        </row>
        <row r="62">
          <cell r="A62" t="str">
            <v>동부부곡</v>
          </cell>
          <cell r="B62" t="str">
            <v>B0</v>
          </cell>
          <cell r="D62" t="str">
            <v>람세스물류(주)</v>
          </cell>
          <cell r="G62" t="str">
            <v>ZIM</v>
          </cell>
          <cell r="H62" t="str">
            <v>ZIMU</v>
          </cell>
        </row>
        <row r="63">
          <cell r="A63" t="str">
            <v>마산항5부두</v>
          </cell>
          <cell r="B63" t="str">
            <v>MQ</v>
          </cell>
          <cell r="D63" t="str">
            <v>로지스팟 주식회사</v>
          </cell>
          <cell r="G63" t="str">
            <v>SIF</v>
          </cell>
          <cell r="H63" t="str">
            <v>SIF</v>
          </cell>
        </row>
        <row r="64">
          <cell r="A64" t="str">
            <v>무안</v>
          </cell>
          <cell r="B64" t="str">
            <v>MA</v>
          </cell>
          <cell r="D64" t="str">
            <v>로지아이솔루션</v>
          </cell>
          <cell r="G64" t="str">
            <v>RSSA</v>
          </cell>
          <cell r="H64" t="str">
            <v>RSA</v>
          </cell>
        </row>
        <row r="65">
          <cell r="A65" t="str">
            <v>밀양</v>
          </cell>
          <cell r="B65" t="str">
            <v>MY</v>
          </cell>
          <cell r="D65" t="str">
            <v>롯데글로벌로지스</v>
          </cell>
          <cell r="G65" t="str">
            <v>BEN</v>
          </cell>
          <cell r="H65" t="str">
            <v>BEN</v>
          </cell>
        </row>
        <row r="66">
          <cell r="A66" t="str">
            <v>봉화</v>
          </cell>
          <cell r="B66" t="str">
            <v>2R</v>
          </cell>
          <cell r="D66" t="str">
            <v>루크인터내셔널코리아 주식회사</v>
          </cell>
          <cell r="G66" t="str">
            <v>KRC</v>
          </cell>
          <cell r="H66" t="str">
            <v>KRC</v>
          </cell>
        </row>
        <row r="67">
          <cell r="A67" t="str">
            <v>부곡</v>
          </cell>
          <cell r="B67" t="str">
            <v>BE</v>
          </cell>
          <cell r="D67" t="str">
            <v>미르시스템(대우로지스틱스)</v>
          </cell>
          <cell r="G67" t="str">
            <v>DFC</v>
          </cell>
          <cell r="H67" t="str">
            <v>DDMS</v>
          </cell>
        </row>
        <row r="68">
          <cell r="A68" t="str">
            <v>부곡국보</v>
          </cell>
          <cell r="B68" t="str">
            <v>B12</v>
          </cell>
          <cell r="D68" t="str">
            <v>범진물류(주)</v>
          </cell>
        </row>
        <row r="69">
          <cell r="A69" t="str">
            <v>부곡양양</v>
          </cell>
          <cell r="B69" t="str">
            <v>B8</v>
          </cell>
          <cell r="D69" t="str">
            <v>벨라이트</v>
          </cell>
        </row>
        <row r="70">
          <cell r="A70" t="str">
            <v>부산강서</v>
          </cell>
          <cell r="B70" t="str">
            <v>PP</v>
          </cell>
          <cell r="D70" t="str">
            <v>보림필터산업</v>
          </cell>
        </row>
        <row r="71">
          <cell r="A71" t="str">
            <v>부산강서구</v>
          </cell>
          <cell r="B71" t="str">
            <v>PP</v>
          </cell>
          <cell r="D71" t="str">
            <v>본덱스글로벌코리아 주식회사</v>
          </cell>
        </row>
        <row r="72">
          <cell r="A72" t="str">
            <v>부산사상구</v>
          </cell>
          <cell r="B72" t="str">
            <v>PP</v>
          </cell>
          <cell r="D72" t="str">
            <v>부산캐리어</v>
          </cell>
        </row>
        <row r="73">
          <cell r="A73" t="str">
            <v>부산진역</v>
          </cell>
          <cell r="B73" t="str">
            <v>W</v>
          </cell>
          <cell r="D73" t="str">
            <v>부산항터미널 주식회사</v>
          </cell>
        </row>
        <row r="74">
          <cell r="A74" t="str">
            <v>부원글로벌</v>
          </cell>
          <cell r="B74" t="str">
            <v>BX</v>
          </cell>
          <cell r="D74" t="str">
            <v>삼인 주식회사</v>
          </cell>
        </row>
        <row r="75">
          <cell r="A75" t="str">
            <v>부천</v>
          </cell>
          <cell r="B75" t="str">
            <v>BUC</v>
          </cell>
          <cell r="D75" t="str">
            <v>삼인로지텍</v>
          </cell>
        </row>
        <row r="76">
          <cell r="A76" t="str">
            <v>북항쿨스타쵸</v>
          </cell>
          <cell r="B76" t="str">
            <v>F2</v>
          </cell>
          <cell r="D76" t="str">
            <v>세방육운</v>
          </cell>
        </row>
        <row r="77">
          <cell r="A77" t="str">
            <v>서울</v>
          </cell>
          <cell r="B77" t="str">
            <v>SU</v>
          </cell>
          <cell r="D77" t="str">
            <v>세원로직스</v>
          </cell>
        </row>
        <row r="78">
          <cell r="A78" t="str">
            <v>서울성동구</v>
          </cell>
          <cell r="B78" t="str">
            <v>3K</v>
          </cell>
          <cell r="D78" t="str">
            <v>송도물류</v>
          </cell>
        </row>
        <row r="79">
          <cell r="A79" t="str">
            <v>서울역삼동</v>
          </cell>
          <cell r="B79" t="str">
            <v>5K</v>
          </cell>
          <cell r="D79" t="str">
            <v>스타콩코드코리아 주식회사</v>
          </cell>
        </row>
        <row r="80">
          <cell r="A80" t="str">
            <v>세방부곡</v>
          </cell>
          <cell r="B80" t="str">
            <v>B11</v>
          </cell>
          <cell r="D80" t="str">
            <v>시노트란스코리아쉬핑(주)</v>
          </cell>
        </row>
        <row r="81">
          <cell r="A81" t="str">
            <v>세방신항</v>
          </cell>
          <cell r="B81" t="str">
            <v>S2</v>
          </cell>
          <cell r="D81" t="str">
            <v>신아해운(주)</v>
          </cell>
        </row>
        <row r="82">
          <cell r="A82" t="str">
            <v>세양석대</v>
          </cell>
          <cell r="B82" t="str">
            <v>F2</v>
          </cell>
          <cell r="D82" t="str">
            <v>씨아이지컨테이너라인즈 주식회사(CIG Container Line</v>
          </cell>
        </row>
        <row r="83">
          <cell r="A83" t="str">
            <v>세종시</v>
          </cell>
          <cell r="B83" t="str">
            <v>SG</v>
          </cell>
          <cell r="D83" t="str">
            <v>씨에스글로벌로지스틱스(주)</v>
          </cell>
        </row>
        <row r="84">
          <cell r="A84" t="str">
            <v>수원</v>
          </cell>
          <cell r="B84" t="str">
            <v>SX</v>
          </cell>
          <cell r="D84" t="str">
            <v>씨에이치로빈슨코리아(주)</v>
          </cell>
        </row>
        <row r="85">
          <cell r="A85" t="str">
            <v>수원권선구</v>
          </cell>
          <cell r="B85" t="str">
            <v>SX</v>
          </cell>
          <cell r="D85" t="str">
            <v>씨제이대한통운(주)</v>
          </cell>
        </row>
        <row r="86">
          <cell r="A86" t="str">
            <v>시흥</v>
          </cell>
          <cell r="B86" t="str">
            <v>SH</v>
          </cell>
          <cell r="D86" t="str">
            <v>알지글로벌 주식회사</v>
          </cell>
        </row>
        <row r="87">
          <cell r="A87" t="str">
            <v>씨엠케이로지스틱스</v>
          </cell>
          <cell r="B87" t="str">
            <v>CM</v>
          </cell>
          <cell r="D87" t="str">
            <v>앤씨티국제운송(주)</v>
          </cell>
        </row>
        <row r="88">
          <cell r="A88" t="str">
            <v>아산</v>
          </cell>
          <cell r="B88" t="str">
            <v>AS</v>
          </cell>
          <cell r="D88" t="str">
            <v>양양운수(주)</v>
          </cell>
        </row>
        <row r="89">
          <cell r="A89" t="str">
            <v>안산</v>
          </cell>
          <cell r="B89" t="str">
            <v>AS1</v>
          </cell>
          <cell r="D89" t="str">
            <v>에스더블유로지스틱스</v>
          </cell>
        </row>
        <row r="90">
          <cell r="A90" t="str">
            <v>안산단원구</v>
          </cell>
          <cell r="B90" t="str">
            <v>AS1</v>
          </cell>
          <cell r="D90" t="str">
            <v>에스엠에이치</v>
          </cell>
        </row>
        <row r="91">
          <cell r="A91" t="str">
            <v>안성</v>
          </cell>
          <cell r="B91" t="str">
            <v>AN</v>
          </cell>
          <cell r="D91" t="str">
            <v>에스지로지스틱</v>
          </cell>
        </row>
        <row r="92">
          <cell r="A92" t="str">
            <v>안성원곡면</v>
          </cell>
          <cell r="B92" t="str">
            <v>AN</v>
          </cell>
          <cell r="D92" t="str">
            <v>에스지종합물류</v>
          </cell>
        </row>
        <row r="93">
          <cell r="A93" t="str">
            <v>안성죽산면</v>
          </cell>
          <cell r="B93" t="str">
            <v>AN</v>
          </cell>
          <cell r="D93" t="str">
            <v>에이왓글로벌로지스틱스코리아(주)</v>
          </cell>
        </row>
        <row r="94">
          <cell r="A94" t="str">
            <v>양산</v>
          </cell>
          <cell r="B94" t="str">
            <v>C3</v>
          </cell>
          <cell r="D94" t="str">
            <v>에이치엔엘트랜스</v>
          </cell>
        </row>
        <row r="95">
          <cell r="A95" t="str">
            <v>양산물금</v>
          </cell>
          <cell r="B95" t="str">
            <v>C3</v>
          </cell>
          <cell r="D95" t="str">
            <v>영도머티리얼즈(주)</v>
          </cell>
        </row>
        <row r="96">
          <cell r="A96" t="str">
            <v>양산유산</v>
          </cell>
          <cell r="B96" t="str">
            <v>C3</v>
          </cell>
          <cell r="D96" t="str">
            <v>온누리로지스틱스 주식회사</v>
          </cell>
        </row>
        <row r="97">
          <cell r="A97" t="str">
            <v>양양부곡</v>
          </cell>
          <cell r="B97" t="str">
            <v>B8</v>
          </cell>
          <cell r="D97" t="str">
            <v>와이에스엘로지텍 주식회사</v>
          </cell>
        </row>
        <row r="98">
          <cell r="A98" t="str">
            <v>양주</v>
          </cell>
          <cell r="B98" t="str">
            <v>Y5</v>
          </cell>
          <cell r="D98" t="str">
            <v>와이엠익스프레스</v>
          </cell>
        </row>
        <row r="99">
          <cell r="A99" t="str">
            <v>양주광적면</v>
          </cell>
          <cell r="B99" t="str">
            <v>Y5</v>
          </cell>
          <cell r="D99" t="str">
            <v>우원해운항공(주)</v>
          </cell>
        </row>
        <row r="100">
          <cell r="A100" t="str">
            <v>에스엘피지엘씨</v>
          </cell>
          <cell r="B100" t="str">
            <v>SR</v>
          </cell>
          <cell r="D100" t="str">
            <v>우진글로벌로지스틱스(주)</v>
          </cell>
        </row>
        <row r="101">
          <cell r="A101" t="str">
            <v>여주</v>
          </cell>
          <cell r="B101" t="str">
            <v>UZ</v>
          </cell>
          <cell r="D101" t="str">
            <v>원올테크플러스(주)</v>
          </cell>
        </row>
        <row r="102">
          <cell r="A102" t="str">
            <v>영진 CY</v>
          </cell>
          <cell r="B102" t="str">
            <v>YC</v>
          </cell>
          <cell r="D102" t="str">
            <v>유가로직스</v>
          </cell>
        </row>
        <row r="103">
          <cell r="A103" t="str">
            <v>영천</v>
          </cell>
          <cell r="B103" t="str">
            <v>Q7</v>
          </cell>
          <cell r="D103" t="str">
            <v>유진로지스</v>
          </cell>
        </row>
        <row r="104">
          <cell r="A104" t="str">
            <v>오산</v>
          </cell>
          <cell r="B104" t="str">
            <v>1I</v>
          </cell>
          <cell r="D104" t="str">
            <v>율세</v>
          </cell>
        </row>
        <row r="105">
          <cell r="A105" t="str">
            <v>옥천</v>
          </cell>
          <cell r="B105" t="str">
            <v>OC</v>
          </cell>
          <cell r="D105" t="str">
            <v>이레물류(주)</v>
          </cell>
        </row>
        <row r="106">
          <cell r="A106" t="str">
            <v>완주</v>
          </cell>
          <cell r="B106" t="str">
            <v>1G</v>
          </cell>
          <cell r="D106" t="str">
            <v>이코노해운(주)</v>
          </cell>
        </row>
        <row r="107">
          <cell r="A107" t="str">
            <v>용인</v>
          </cell>
          <cell r="B107" t="str">
            <v>YN</v>
          </cell>
          <cell r="D107" t="str">
            <v>이콜트에스앤티㈜</v>
          </cell>
        </row>
        <row r="108">
          <cell r="A108" t="str">
            <v>울산</v>
          </cell>
          <cell r="B108" t="str">
            <v>WS</v>
          </cell>
          <cell r="D108" t="str">
            <v>인터지스(주)</v>
          </cell>
        </row>
        <row r="109">
          <cell r="A109" t="str">
            <v>원주</v>
          </cell>
          <cell r="B109" t="str">
            <v>W1</v>
          </cell>
          <cell r="D109" t="str">
            <v>제이더블유제이로지스틱스(주)</v>
          </cell>
        </row>
        <row r="110">
          <cell r="A110" t="str">
            <v>음성</v>
          </cell>
          <cell r="B110" t="str">
            <v>OS</v>
          </cell>
          <cell r="D110" t="str">
            <v>제이맥스해운 주식회사</v>
          </cell>
        </row>
        <row r="111">
          <cell r="A111" t="str">
            <v>음성/음성</v>
          </cell>
          <cell r="B111" t="str">
            <v>OS</v>
          </cell>
          <cell r="D111" t="str">
            <v>제이앤지엘에스 주시회사</v>
          </cell>
        </row>
        <row r="112">
          <cell r="A112" t="str">
            <v>의왕</v>
          </cell>
          <cell r="B112" t="str">
            <v>1B</v>
          </cell>
          <cell r="D112" t="str">
            <v>제이원로지스틱스 주식회사</v>
          </cell>
        </row>
        <row r="113">
          <cell r="A113" t="str">
            <v>이천</v>
          </cell>
          <cell r="B113" t="str">
            <v>IV</v>
          </cell>
          <cell r="D113" t="str">
            <v xml:space="preserve">제주오케이물류 주식회사 </v>
          </cell>
        </row>
        <row r="114">
          <cell r="A114" t="str">
            <v>익산</v>
          </cell>
          <cell r="B114" t="str">
            <v>IZ</v>
          </cell>
          <cell r="D114" t="str">
            <v>주성씨앤에어주식회사</v>
          </cell>
        </row>
        <row r="115">
          <cell r="A115" t="str">
            <v>인천</v>
          </cell>
          <cell r="B115" t="str">
            <v>IX</v>
          </cell>
          <cell r="D115" t="str">
            <v>주식회사 고성산업</v>
          </cell>
        </row>
        <row r="116">
          <cell r="A116" t="str">
            <v>인천 부평</v>
          </cell>
          <cell r="B116">
            <v>72</v>
          </cell>
          <cell r="D116" t="str">
            <v>천일정기화물</v>
          </cell>
        </row>
        <row r="117">
          <cell r="A117" t="str">
            <v>인천공항</v>
          </cell>
          <cell r="B117" t="str">
            <v>AI</v>
          </cell>
          <cell r="D117" t="str">
            <v>주식회사 도성물류(김해지점)</v>
          </cell>
        </row>
        <row r="118">
          <cell r="A118" t="str">
            <v>인천남동</v>
          </cell>
          <cell r="B118">
            <v>14</v>
          </cell>
          <cell r="D118" t="str">
            <v>주식회사 동주글로벌로지스</v>
          </cell>
        </row>
        <row r="119">
          <cell r="A119" t="str">
            <v>인천더로지스</v>
          </cell>
          <cell r="B119" t="str">
            <v>T2</v>
          </cell>
          <cell r="D119" t="str">
            <v>주식회사 디더블유엘글로벌</v>
          </cell>
        </row>
        <row r="120">
          <cell r="A120" t="str">
            <v>인천서구</v>
          </cell>
          <cell r="B120" t="str">
            <v>IK</v>
          </cell>
          <cell r="D120" t="str">
            <v>주식회사 로지피아</v>
          </cell>
        </row>
        <row r="121">
          <cell r="A121" t="str">
            <v>인천승진CY</v>
          </cell>
          <cell r="B121" t="str">
            <v>IS</v>
          </cell>
          <cell r="D121" t="str">
            <v>주식회사 부원글로벌</v>
          </cell>
        </row>
        <row r="122">
          <cell r="A122" t="str">
            <v>인천컨테이너터미널</v>
          </cell>
          <cell r="B122" t="str">
            <v>Y25</v>
          </cell>
          <cell r="D122" t="str">
            <v>주식회사 산내원</v>
          </cell>
        </row>
        <row r="123">
          <cell r="A123" t="str">
            <v>인천한진</v>
          </cell>
          <cell r="B123" t="str">
            <v>NJ</v>
          </cell>
          <cell r="D123" t="str">
            <v>주식회사 씨에이치앨</v>
          </cell>
        </row>
        <row r="124">
          <cell r="A124" t="str">
            <v>인터7부두</v>
          </cell>
          <cell r="B124" t="str">
            <v>IN</v>
          </cell>
          <cell r="D124" t="str">
            <v>주식회사 씨엘케이인터내셔널</v>
          </cell>
        </row>
        <row r="125">
          <cell r="A125" t="str">
            <v>인터부곡</v>
          </cell>
          <cell r="B125" t="str">
            <v>B6</v>
          </cell>
          <cell r="D125" t="str">
            <v>주식회사 씨케이팬아시아씨에프씨</v>
          </cell>
        </row>
        <row r="126">
          <cell r="A126" t="str">
            <v>전북군산</v>
          </cell>
          <cell r="B126" t="str">
            <v>QX</v>
          </cell>
          <cell r="D126" t="str">
            <v>주식회사 아그리씨엔에스</v>
          </cell>
        </row>
        <row r="127">
          <cell r="A127" t="str">
            <v>전북임실</v>
          </cell>
          <cell r="B127" t="str">
            <v>ZS</v>
          </cell>
          <cell r="D127" t="str">
            <v>주식회사 아이멕스인터내셔널</v>
          </cell>
        </row>
        <row r="128">
          <cell r="A128" t="str">
            <v>정선</v>
          </cell>
          <cell r="B128" t="str">
            <v>J4</v>
          </cell>
          <cell r="D128" t="str">
            <v>주식회사 아이바닥</v>
          </cell>
        </row>
        <row r="129">
          <cell r="A129" t="str">
            <v>정읍</v>
          </cell>
          <cell r="B129" t="str">
            <v>EP</v>
          </cell>
          <cell r="D129" t="str">
            <v>주식회사 알티에스지엘에스</v>
          </cell>
        </row>
        <row r="130">
          <cell r="A130" t="str">
            <v>제주구좌읍</v>
          </cell>
          <cell r="B130" t="str">
            <v>JJ</v>
          </cell>
          <cell r="D130" t="str">
            <v>주식회사 양명로지스틱스</v>
          </cell>
        </row>
        <row r="131">
          <cell r="A131" t="str">
            <v>지더블유코퍼레이션</v>
          </cell>
          <cell r="B131" t="str">
            <v>W9</v>
          </cell>
          <cell r="D131" t="str">
            <v>주식회사 에버플로우로지스틱스</v>
          </cell>
        </row>
        <row r="132">
          <cell r="A132" t="str">
            <v>진례</v>
          </cell>
          <cell r="B132" t="str">
            <v>KQ</v>
          </cell>
          <cell r="D132" t="str">
            <v>주식회사 에스티로지텍</v>
          </cell>
        </row>
        <row r="133">
          <cell r="A133" t="str">
            <v>창원</v>
          </cell>
          <cell r="B133" t="str">
            <v>Y1</v>
          </cell>
          <cell r="D133" t="str">
            <v>주식회사 에이에이엘</v>
          </cell>
        </row>
        <row r="134">
          <cell r="A134" t="str">
            <v>천경부곡</v>
          </cell>
          <cell r="B134" t="str">
            <v>C1</v>
          </cell>
          <cell r="D134" t="str">
            <v>주식회사 오티에스</v>
          </cell>
        </row>
        <row r="135">
          <cell r="A135" t="str">
            <v>천안</v>
          </cell>
          <cell r="B135" t="str">
            <v>NO</v>
          </cell>
          <cell r="D135" t="str">
            <v>주식회사 웅진북센</v>
          </cell>
        </row>
        <row r="136">
          <cell r="A136" t="str">
            <v>천안동남구</v>
          </cell>
          <cell r="B136" t="str">
            <v>NO</v>
          </cell>
          <cell r="D136" t="str">
            <v>주식회사 제닉스해운항공</v>
          </cell>
        </row>
        <row r="137">
          <cell r="A137" t="str">
            <v>천일부곡</v>
          </cell>
          <cell r="B137" t="str">
            <v>B2</v>
          </cell>
          <cell r="D137" t="str">
            <v>주식회사 제이앤케이로지스틱스</v>
          </cell>
        </row>
        <row r="138">
          <cell r="A138" t="str">
            <v>청도</v>
          </cell>
          <cell r="B138" t="str">
            <v>CD</v>
          </cell>
          <cell r="D138" t="str">
            <v>주식회사 제이투씨앤에어</v>
          </cell>
        </row>
        <row r="139">
          <cell r="A139" t="str">
            <v>청주</v>
          </cell>
          <cell r="B139" t="str">
            <v>CJ</v>
          </cell>
          <cell r="D139" t="str">
            <v>주식회사 조이웍스</v>
          </cell>
        </row>
        <row r="140">
          <cell r="A140" t="str">
            <v>충남서산</v>
          </cell>
          <cell r="B140" t="str">
            <v>SV</v>
          </cell>
          <cell r="D140" t="str">
            <v>주식회사 지엔글로벌로지스틱스</v>
          </cell>
        </row>
        <row r="141">
          <cell r="A141" t="str">
            <v>충남홍성</v>
          </cell>
          <cell r="B141" t="str">
            <v>ZH</v>
          </cell>
          <cell r="D141" t="str">
            <v>주식회사 케이트란스</v>
          </cell>
        </row>
        <row r="142">
          <cell r="A142" t="str">
            <v>충북음성</v>
          </cell>
          <cell r="B142" t="str">
            <v>OS</v>
          </cell>
          <cell r="D142" t="str">
            <v>주식회사 팰콘프레이트 (FALCON FREIGHT CO.,LTD)</v>
          </cell>
        </row>
        <row r="143">
          <cell r="A143" t="str">
            <v>충북진천</v>
          </cell>
          <cell r="B143" t="str">
            <v>JC</v>
          </cell>
          <cell r="D143" t="str">
            <v>주식회사 현대정밀</v>
          </cell>
        </row>
        <row r="144">
          <cell r="A144" t="str">
            <v>충북청주흥덕구</v>
          </cell>
          <cell r="B144" t="str">
            <v>CJ</v>
          </cell>
          <cell r="D144" t="str">
            <v>주식회사엘엑스판토스부산신항물류센터</v>
          </cell>
        </row>
        <row r="145">
          <cell r="A145" t="str">
            <v>충주</v>
          </cell>
          <cell r="B145" t="str">
            <v>ZQ</v>
          </cell>
          <cell r="D145" t="str">
            <v>주식회사클라우드지엘에스</v>
          </cell>
        </row>
        <row r="146">
          <cell r="A146" t="str">
            <v>칠곡</v>
          </cell>
          <cell r="B146" t="str">
            <v>Q3</v>
          </cell>
          <cell r="D146" t="str">
            <v>중앙국제운송(주)</v>
          </cell>
        </row>
        <row r="147">
          <cell r="A147" t="str">
            <v>투엠글로벌</v>
          </cell>
          <cell r="B147" t="str">
            <v>TM</v>
          </cell>
          <cell r="D147" t="str">
            <v>중앙로지스틱스</v>
          </cell>
        </row>
        <row r="148">
          <cell r="A148" t="str">
            <v>파주</v>
          </cell>
          <cell r="B148" t="str">
            <v>PJ</v>
          </cell>
          <cell r="D148" t="str">
            <v>지더블유코퍼레이션㈜</v>
          </cell>
        </row>
        <row r="149">
          <cell r="A149" t="str">
            <v>페어허브CFS</v>
          </cell>
          <cell r="B149" t="str">
            <v>PZ</v>
          </cell>
          <cell r="D149" t="str">
            <v>지엠엘</v>
          </cell>
        </row>
        <row r="150">
          <cell r="A150" t="str">
            <v>평택</v>
          </cell>
          <cell r="B150" t="str">
            <v>PT</v>
          </cell>
          <cell r="D150" t="str">
            <v>창신로지스(주)</v>
          </cell>
        </row>
        <row r="151">
          <cell r="A151" t="str">
            <v>평택포승읍</v>
          </cell>
          <cell r="B151" t="str">
            <v>PT</v>
          </cell>
          <cell r="D151" t="str">
            <v>창신로지스(주)</v>
          </cell>
        </row>
        <row r="152">
          <cell r="A152" t="str">
            <v>포천</v>
          </cell>
          <cell r="B152" t="str">
            <v>OQ</v>
          </cell>
          <cell r="D152" t="str">
            <v>칼트로지스부산 주식회사</v>
          </cell>
        </row>
        <row r="153">
          <cell r="A153" t="str">
            <v>포항남구</v>
          </cell>
          <cell r="B153" t="str">
            <v>PH</v>
          </cell>
          <cell r="D153" t="str">
            <v>케이투로직스(주)</v>
          </cell>
        </row>
        <row r="154">
          <cell r="A154" t="str">
            <v>하남</v>
          </cell>
          <cell r="B154" t="str">
            <v>AA</v>
          </cell>
          <cell r="D154" t="str">
            <v>코스타해운항공(주)</v>
          </cell>
        </row>
        <row r="155">
          <cell r="A155" t="str">
            <v>한진부곡</v>
          </cell>
          <cell r="B155" t="str">
            <v>B7</v>
          </cell>
          <cell r="D155" t="str">
            <v>태성종합물류</v>
          </cell>
        </row>
        <row r="156">
          <cell r="A156" t="str">
            <v>한진신항</v>
          </cell>
          <cell r="B156" t="str">
            <v>HN</v>
          </cell>
          <cell r="D156" t="str">
            <v>토탈로직스</v>
          </cell>
        </row>
        <row r="157">
          <cell r="A157" t="str">
            <v>한타부곡</v>
          </cell>
          <cell r="B157" t="str">
            <v>B6</v>
          </cell>
          <cell r="D157" t="str">
            <v>투엠글로벌 주식회사</v>
          </cell>
        </row>
        <row r="158">
          <cell r="A158" t="str">
            <v>한타신항</v>
          </cell>
          <cell r="B158" t="str">
            <v>VZ</v>
          </cell>
          <cell r="D158" t="str">
            <v>한국일본통운(주)</v>
          </cell>
        </row>
        <row r="159">
          <cell r="A159" t="str">
            <v>한타중부</v>
          </cell>
          <cell r="B159" t="str">
            <v>HC</v>
          </cell>
          <cell r="D159" t="str">
            <v>한타특수운송</v>
          </cell>
        </row>
        <row r="160">
          <cell r="A160" t="str">
            <v>함안</v>
          </cell>
          <cell r="B160" t="str">
            <v>HA</v>
          </cell>
          <cell r="D160" t="str">
            <v>항만물류주식회사</v>
          </cell>
        </row>
        <row r="161">
          <cell r="A161" t="str">
            <v>현대부곡</v>
          </cell>
          <cell r="B161" t="str">
            <v>GH</v>
          </cell>
          <cell r="D161" t="str">
            <v>해광로지스틱(주)</v>
          </cell>
        </row>
        <row r="162">
          <cell r="A162" t="str">
            <v>현대신항</v>
          </cell>
          <cell r="B162" t="str">
            <v>HP</v>
          </cell>
          <cell r="D162" t="str">
            <v>현대정밀화학 주식회사</v>
          </cell>
        </row>
        <row r="163">
          <cell r="A163" t="str">
            <v>화성</v>
          </cell>
          <cell r="B163" t="str">
            <v>HWA</v>
          </cell>
          <cell r="D163" t="str">
            <v>혜원글로벌 주식회사</v>
          </cell>
        </row>
        <row r="164">
          <cell r="A164" t="str">
            <v>화성동탄면</v>
          </cell>
          <cell r="B164" t="str">
            <v>HWA</v>
          </cell>
          <cell r="D164" t="str">
            <v>동방 익스프레스</v>
          </cell>
        </row>
        <row r="165">
          <cell r="A165" t="str">
            <v>신국제여객</v>
          </cell>
          <cell r="B165">
            <v>81</v>
          </cell>
          <cell r="D165" t="str">
            <v>디앤케이물류</v>
          </cell>
        </row>
        <row r="166">
          <cell r="A166" t="str">
            <v>경산</v>
          </cell>
          <cell r="B166" t="str">
            <v>QK</v>
          </cell>
          <cell r="D166" t="str">
            <v>주식회사 다원로직스</v>
          </cell>
        </row>
        <row r="167">
          <cell r="A167" t="str">
            <v>성남</v>
          </cell>
          <cell r="B167" t="str">
            <v>SQ</v>
          </cell>
          <cell r="D167" t="str">
            <v>우선물류</v>
          </cell>
        </row>
        <row r="168">
          <cell r="D168" t="str">
            <v>국양로지텍(주)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EC89-4A05-4EA1-B4C6-8AA81C9CC6BB}">
  <sheetPr>
    <tabColor theme="4"/>
  </sheetPr>
  <dimension ref="A1:AI946"/>
  <sheetViews>
    <sheetView tabSelected="1" zoomScale="55" zoomScaleNormal="55" workbookViewId="0">
      <pane ySplit="2" topLeftCell="A637" activePane="bottomLeft" state="frozen"/>
      <selection pane="bottomLeft" activeCell="H650" sqref="H650"/>
    </sheetView>
  </sheetViews>
  <sheetFormatPr defaultRowHeight="34.950000000000003" customHeight="1" x14ac:dyDescent="0.4"/>
  <cols>
    <col min="1" max="1" width="6.19921875" style="16" customWidth="1"/>
    <col min="2" max="2" width="5.296875" style="16" customWidth="1"/>
    <col min="3" max="3" width="9.3984375" style="16" customWidth="1"/>
    <col min="4" max="4" width="21.8984375" style="16" customWidth="1"/>
    <col min="5" max="5" width="17.796875" style="16" customWidth="1"/>
    <col min="6" max="6" width="6.59765625" style="16" customWidth="1"/>
    <col min="7" max="7" width="8.796875" style="18" customWidth="1"/>
    <col min="8" max="8" width="8.796875" style="16"/>
    <col min="9" max="9" width="7.5" style="16" bestFit="1" customWidth="1"/>
    <col min="10" max="10" width="7.19921875" style="16" customWidth="1"/>
    <col min="11" max="11" width="7.5" style="16" bestFit="1" customWidth="1"/>
    <col min="12" max="12" width="7.69921875" style="16" customWidth="1"/>
    <col min="13" max="13" width="6.296875" style="16" customWidth="1"/>
    <col min="14" max="14" width="5.59765625" style="16" customWidth="1"/>
    <col min="15" max="15" width="9.3984375" style="18" bestFit="1" customWidth="1"/>
    <col min="16" max="16" width="10" style="16" bestFit="1" customWidth="1"/>
    <col min="17" max="17" width="12.09765625" style="16" customWidth="1"/>
    <col min="18" max="18" width="9.69921875" style="16" customWidth="1"/>
    <col min="19" max="19" width="4.59765625" style="21" customWidth="1"/>
    <col min="20" max="20" width="22.69921875" style="33" customWidth="1"/>
    <col min="21" max="21" width="20.19921875" style="16" customWidth="1"/>
    <col min="22" max="22" width="10" style="23" bestFit="1" customWidth="1"/>
    <col min="23" max="23" width="12.5" style="23" bestFit="1" customWidth="1"/>
    <col min="24" max="24" width="8.796875" style="23"/>
    <col min="25" max="25" width="15.59765625" style="25" bestFit="1" customWidth="1"/>
    <col min="26" max="26" width="10.09765625" style="16" customWidth="1"/>
    <col min="27" max="27" width="8.796875" style="16"/>
    <col min="28" max="28" width="11.69921875" style="18" customWidth="1"/>
    <col min="29" max="29" width="6.09765625" style="16" customWidth="1"/>
    <col min="30" max="30" width="8.796875" style="16" customWidth="1"/>
    <col min="31" max="31" width="8.796875" style="26" customWidth="1"/>
    <col min="32" max="32" width="8.796875" style="18" customWidth="1"/>
    <col min="33" max="33" width="9.59765625" style="18" bestFit="1" customWidth="1"/>
    <col min="34" max="34" width="8.796875" style="28"/>
    <col min="35" max="35" width="4.296875" style="28" customWidth="1"/>
  </cols>
  <sheetData>
    <row r="1" spans="1:35" ht="17.399999999999999" x14ac:dyDescent="0.4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 t="s">
        <v>0</v>
      </c>
      <c r="Q1" s="1"/>
      <c r="R1" s="1"/>
      <c r="S1" s="3"/>
      <c r="T1"/>
      <c r="U1" s="1"/>
      <c r="V1" s="1"/>
      <c r="W1" s="1" t="s">
        <v>1</v>
      </c>
      <c r="X1" s="1"/>
      <c r="Y1" s="2"/>
      <c r="Z1" s="1"/>
      <c r="AA1" s="1"/>
      <c r="AB1" s="2"/>
      <c r="AC1" s="1"/>
      <c r="AD1" s="1"/>
      <c r="AE1" s="4"/>
      <c r="AF1" s="2"/>
      <c r="AG1" s="2"/>
      <c r="AH1" s="1"/>
      <c r="AI1" s="5"/>
    </row>
    <row r="2" spans="1:35" ht="34.950000000000003" customHeight="1" x14ac:dyDescent="0.4">
      <c r="A2" s="6" t="s">
        <v>2</v>
      </c>
      <c r="B2" s="6" t="s">
        <v>3</v>
      </c>
      <c r="C2" s="6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8" t="s">
        <v>18</v>
      </c>
      <c r="R2" s="6" t="s">
        <v>19</v>
      </c>
      <c r="S2" s="6" t="s">
        <v>20</v>
      </c>
      <c r="T2" s="9" t="s">
        <v>21</v>
      </c>
      <c r="U2" s="10" t="s">
        <v>22</v>
      </c>
      <c r="V2" s="11" t="s">
        <v>23</v>
      </c>
      <c r="W2" s="11" t="s">
        <v>24</v>
      </c>
      <c r="X2" s="11" t="s">
        <v>25</v>
      </c>
      <c r="Y2" s="6" t="s">
        <v>26</v>
      </c>
      <c r="Z2" s="7" t="s">
        <v>27</v>
      </c>
      <c r="AA2" s="7" t="s">
        <v>28</v>
      </c>
      <c r="AB2" s="12" t="s">
        <v>29</v>
      </c>
      <c r="AC2" s="7" t="s">
        <v>30</v>
      </c>
      <c r="AD2" s="7" t="s">
        <v>22</v>
      </c>
      <c r="AE2" s="13" t="s">
        <v>31</v>
      </c>
      <c r="AF2" s="14" t="s">
        <v>32</v>
      </c>
      <c r="AG2" s="14" t="s">
        <v>33</v>
      </c>
      <c r="AH2" s="7" t="s">
        <v>34</v>
      </c>
      <c r="AI2" s="15" t="s">
        <v>35</v>
      </c>
    </row>
    <row r="3" spans="1:35" ht="34.950000000000003" customHeight="1" x14ac:dyDescent="0.4">
      <c r="A3" s="16" t="s">
        <v>36</v>
      </c>
      <c r="B3" s="16" t="s">
        <v>37</v>
      </c>
      <c r="C3" s="17">
        <v>45988</v>
      </c>
      <c r="D3" s="16" t="s">
        <v>38</v>
      </c>
      <c r="E3" s="16" t="s">
        <v>39</v>
      </c>
      <c r="F3" s="16">
        <v>27636</v>
      </c>
      <c r="G3" s="18" t="s">
        <v>40</v>
      </c>
      <c r="H3" s="16" t="s">
        <v>41</v>
      </c>
      <c r="I3" s="19" t="s">
        <v>42</v>
      </c>
      <c r="J3" s="16" t="s">
        <v>43</v>
      </c>
      <c r="K3" s="19" t="s">
        <v>42</v>
      </c>
      <c r="L3" s="16" t="s">
        <v>43</v>
      </c>
      <c r="M3" s="19" t="s">
        <v>44</v>
      </c>
      <c r="N3" s="16" t="s">
        <v>45</v>
      </c>
      <c r="O3" s="18" t="s">
        <v>46</v>
      </c>
      <c r="P3" s="17">
        <v>46003</v>
      </c>
      <c r="Q3" s="20" t="s">
        <v>47</v>
      </c>
      <c r="R3" s="20" t="s">
        <v>48</v>
      </c>
      <c r="S3" s="21" t="str" cm="1">
        <f t="array" ref="S3">IF(
OR(AD3="",ISERROR(AD3)),
"-",
_xlfn.UNIQUE(_xlfn._xlws.FILTER([1]Sheet1!$D$2:$D$166,ISNUMBER(SEARCH(AD3,[1]Sheet1!$D$2:$D$166))))
)</f>
        <v>에스더블유로지스틱스</v>
      </c>
      <c r="T3" s="22" t="s">
        <v>49</v>
      </c>
      <c r="U3" s="16" t="str" cm="1">
        <f t="array" ref="U3">IF(
OR(AD3="",ISERROR(AD3)),
"-",
_xlfn.UNIQUE(_xlfn._xlws.FILTER([1]Sheet1!$D$2:$D$200,ISNUMBER(SEARCH(AD3,[1]Sheet1!$D$2:$D$200))))
)</f>
        <v>에스더블유로지스틱스</v>
      </c>
      <c r="V3" s="23">
        <v>258200</v>
      </c>
      <c r="W3" s="24">
        <v>215000</v>
      </c>
      <c r="X3" s="23">
        <f t="shared" ref="X3:X66" si="0">V3-W3</f>
        <v>43200</v>
      </c>
      <c r="Y3" s="25" t="s">
        <v>50</v>
      </c>
      <c r="Z3" s="19" t="s">
        <v>51</v>
      </c>
      <c r="AA3" s="19" t="s">
        <v>52</v>
      </c>
      <c r="AC3" s="17" t="s">
        <v>53</v>
      </c>
      <c r="AD3" s="17" t="s">
        <v>54</v>
      </c>
      <c r="AF3" s="27" t="s">
        <v>55</v>
      </c>
      <c r="AG3" s="27" t="s">
        <v>55</v>
      </c>
      <c r="AH3" s="28" t="s">
        <v>56</v>
      </c>
      <c r="AI3" s="28" t="s">
        <v>57</v>
      </c>
    </row>
    <row r="4" spans="1:35" ht="34.950000000000003" customHeight="1" x14ac:dyDescent="0.4">
      <c r="A4" s="16" t="s">
        <v>36</v>
      </c>
      <c r="B4" s="16" t="s">
        <v>37</v>
      </c>
      <c r="C4" s="17">
        <v>45989</v>
      </c>
      <c r="D4" s="16" t="s">
        <v>58</v>
      </c>
      <c r="E4" s="16" t="s">
        <v>39</v>
      </c>
      <c r="F4" s="16">
        <v>27636</v>
      </c>
      <c r="G4" s="18" t="s">
        <v>40</v>
      </c>
      <c r="H4" s="16" t="s">
        <v>59</v>
      </c>
      <c r="I4" s="19" t="s">
        <v>60</v>
      </c>
      <c r="J4" s="16" t="s">
        <v>61</v>
      </c>
      <c r="K4" s="19" t="s">
        <v>62</v>
      </c>
      <c r="L4" s="16" t="s">
        <v>63</v>
      </c>
      <c r="M4" s="19" t="s">
        <v>64</v>
      </c>
      <c r="N4" s="16" t="str">
        <f>IFERROR(VLOOKUP(M4,[1]Sheet1!$G$2:$H$200,2,0),"-")</f>
        <v>XXXX</v>
      </c>
      <c r="O4" s="18" t="s">
        <v>55</v>
      </c>
      <c r="P4" s="17" t="s">
        <v>55</v>
      </c>
      <c r="Q4" s="20" t="s">
        <v>65</v>
      </c>
      <c r="R4" s="20" t="s">
        <v>66</v>
      </c>
      <c r="S4" s="21" t="str" cm="1">
        <f t="array" ref="S4">IF(
OR(AD4="",ISERROR(AD4)),
"-",
_xlfn.UNIQUE(_xlfn._xlws.FILTER([1]Sheet1!$D$2:$D$166,ISNUMBER(SEARCH(AD4,[1]Sheet1!$D$2:$D$166))))
)</f>
        <v>(주)유진로직스</v>
      </c>
      <c r="T4" s="22" t="s">
        <v>67</v>
      </c>
      <c r="U4" s="16" t="str" cm="1">
        <f t="array" ref="U4">IF(
OR(AD4="",ISERROR(AD4)),
"-",
_xlfn.UNIQUE(_xlfn._xlws.FILTER([1]Sheet1!$D$2:$D$200,ISNUMBER(SEARCH(AD4,[1]Sheet1!$D$2:$D$200))))
)</f>
        <v>(주)유진로직스</v>
      </c>
      <c r="V4" s="23">
        <v>90000</v>
      </c>
      <c r="W4" s="24">
        <v>60000</v>
      </c>
      <c r="X4" s="23">
        <f t="shared" si="0"/>
        <v>30000</v>
      </c>
      <c r="Y4" s="25" t="s">
        <v>68</v>
      </c>
      <c r="Z4" s="19" t="s">
        <v>51</v>
      </c>
      <c r="AA4" s="19" t="s">
        <v>52</v>
      </c>
      <c r="AB4" s="18" t="s">
        <v>69</v>
      </c>
      <c r="AC4" s="17" t="s">
        <v>53</v>
      </c>
      <c r="AD4" s="17" t="s">
        <v>70</v>
      </c>
      <c r="AF4" s="27" t="s">
        <v>55</v>
      </c>
      <c r="AG4" s="27" t="s">
        <v>55</v>
      </c>
      <c r="AH4" s="28" t="s">
        <v>56</v>
      </c>
      <c r="AI4" s="28" t="s">
        <v>57</v>
      </c>
    </row>
    <row r="5" spans="1:35" ht="34.950000000000003" customHeight="1" x14ac:dyDescent="0.4">
      <c r="A5" s="16" t="s">
        <v>71</v>
      </c>
      <c r="B5" s="16" t="s">
        <v>37</v>
      </c>
      <c r="C5" s="17">
        <v>45992</v>
      </c>
      <c r="D5" s="16" t="s">
        <v>72</v>
      </c>
      <c r="E5" s="16" t="s">
        <v>73</v>
      </c>
      <c r="F5" s="16">
        <v>22384</v>
      </c>
      <c r="G5" s="16" t="s">
        <v>74</v>
      </c>
      <c r="H5" s="16" t="s">
        <v>75</v>
      </c>
      <c r="I5" s="19" t="s">
        <v>76</v>
      </c>
      <c r="J5" s="16" t="str">
        <f>IFERROR(VLOOKUP(I5,[1]Sheet1!$A$1:$B$200,2,0),"_")</f>
        <v>NJ</v>
      </c>
      <c r="K5" s="19" t="s">
        <v>76</v>
      </c>
      <c r="L5" s="16" t="str">
        <f>IFERROR(VLOOKUP(K5,[1]Sheet1!$A$1:$B$200,2,0),"-")</f>
        <v>NJ</v>
      </c>
      <c r="M5" s="19" t="s">
        <v>77</v>
      </c>
      <c r="N5" s="16" t="str">
        <f>IFERROR(VLOOKUP(M5,[1]Sheet1!$G$2:$H$200,2,0),"-")</f>
        <v>KMTC</v>
      </c>
      <c r="O5" s="18" t="s">
        <v>55</v>
      </c>
      <c r="P5" s="17" t="s">
        <v>55</v>
      </c>
      <c r="Q5" s="20" t="s">
        <v>78</v>
      </c>
      <c r="R5" s="20"/>
      <c r="S5" s="21" t="str" cm="1">
        <f t="array" ref="S5">IF(
OR(AD5="",ISERROR(AD5)),
"-",
_xlfn.UNIQUE(_xlfn._xlws.FILTER([1]Sheet1!$D$2:$D$200,ISNUMBER(SEARCH(AD5,[1]Sheet1!$D$2:$D$200))))
)</f>
        <v>태성종합물류</v>
      </c>
      <c r="T5" s="22" t="s">
        <v>79</v>
      </c>
      <c r="U5" s="16" t="str" cm="1">
        <f t="array" ref="U5">IF(
OR(AD5="",ISERROR(AD5)),
"-",
_xlfn.UNIQUE(_xlfn._xlws.FILTER([1]Sheet1!$D$2:$D$200,ISNUMBER(SEARCH(AD5,[1]Sheet1!$D$2:$D$200))))
)</f>
        <v>태성종합물류</v>
      </c>
      <c r="V5" s="23">
        <v>368000</v>
      </c>
      <c r="W5" s="24">
        <v>344500</v>
      </c>
      <c r="X5" s="23">
        <f t="shared" si="0"/>
        <v>23500</v>
      </c>
      <c r="Y5" s="25" t="s">
        <v>80</v>
      </c>
      <c r="Z5" s="19" t="s">
        <v>51</v>
      </c>
      <c r="AA5" s="19" t="s">
        <v>81</v>
      </c>
      <c r="AC5" s="17" t="str">
        <f t="shared" ref="AC5:AC68" si="1">IF(AI5="ㅇ", "Y", IF(Z5="강다영", "", "Y"))</f>
        <v>Y</v>
      </c>
      <c r="AD5" s="17" t="s">
        <v>82</v>
      </c>
      <c r="AF5" s="27" t="s">
        <v>55</v>
      </c>
      <c r="AG5" s="27" t="s">
        <v>55</v>
      </c>
      <c r="AI5" s="28" t="s">
        <v>57</v>
      </c>
    </row>
    <row r="6" spans="1:35" ht="34.950000000000003" customHeight="1" x14ac:dyDescent="0.4">
      <c r="A6" s="16" t="s">
        <v>36</v>
      </c>
      <c r="B6" s="16" t="s">
        <v>37</v>
      </c>
      <c r="C6" s="17">
        <v>45992</v>
      </c>
      <c r="D6" s="16" t="s">
        <v>83</v>
      </c>
      <c r="E6" s="16" t="s">
        <v>84</v>
      </c>
      <c r="F6" s="16">
        <v>21335</v>
      </c>
      <c r="G6" s="16" t="s">
        <v>85</v>
      </c>
      <c r="H6" s="16" t="s">
        <v>75</v>
      </c>
      <c r="I6" s="19" t="s">
        <v>86</v>
      </c>
      <c r="J6" s="16" t="str">
        <f>IFERROR(VLOOKUP(I6,[1]Sheet1!$A$1:$B$200,2,0),"_")</f>
        <v>HP</v>
      </c>
      <c r="K6" s="19" t="s">
        <v>86</v>
      </c>
      <c r="L6" s="16" t="str">
        <f>IFERROR(VLOOKUP(K6,[1]Sheet1!$A$1:$B$200,2,0),"-")</f>
        <v>HP</v>
      </c>
      <c r="M6" s="19" t="s">
        <v>87</v>
      </c>
      <c r="N6" s="16" t="str">
        <f>IFERROR(VLOOKUP(M6,[1]Sheet1!$G$2:$H$200,2,0),"-")</f>
        <v>HDMU</v>
      </c>
      <c r="O6" s="29" t="s">
        <v>88</v>
      </c>
      <c r="P6" s="17">
        <v>45997</v>
      </c>
      <c r="Q6" s="20" t="s">
        <v>89</v>
      </c>
      <c r="R6" s="20" t="s">
        <v>90</v>
      </c>
      <c r="S6" s="21" t="str" cm="1">
        <f t="array" ref="S6">IF(
OR(AD6="",ISERROR(AD6)),
"-",
_xlfn.UNIQUE(_xlfn._xlws.FILTER([1]Sheet1!$D$2:$D$200,ISNUMBER(SEARCH(AD6,[1]Sheet1!$D$2:$D$200))))
)</f>
        <v>백승운수</v>
      </c>
      <c r="T6" s="22" t="s">
        <v>91</v>
      </c>
      <c r="U6" s="16" t="str" cm="1">
        <f t="array" ref="U6">IF(
OR(AD6="",ISERROR(AD6)),
"-",
_xlfn.UNIQUE(_xlfn._xlws.FILTER([1]Sheet1!$D$2:$D$200,ISNUMBER(SEARCH(AD6,[1]Sheet1!$D$2:$D$200))))
)</f>
        <v>백승운수</v>
      </c>
      <c r="V6" s="23">
        <v>665000</v>
      </c>
      <c r="W6" s="24">
        <v>616000</v>
      </c>
      <c r="X6" s="23">
        <f t="shared" si="0"/>
        <v>49000</v>
      </c>
      <c r="Y6" s="25" t="s">
        <v>92</v>
      </c>
      <c r="Z6" s="19" t="s">
        <v>51</v>
      </c>
      <c r="AA6" s="19" t="s">
        <v>93</v>
      </c>
      <c r="AB6" s="18" t="s">
        <v>94</v>
      </c>
      <c r="AC6" s="17" t="str">
        <f t="shared" si="1"/>
        <v>Y</v>
      </c>
      <c r="AD6" s="17" t="s">
        <v>95</v>
      </c>
      <c r="AF6" s="27" t="s">
        <v>55</v>
      </c>
      <c r="AG6" s="27" t="s">
        <v>55</v>
      </c>
      <c r="AI6" s="28" t="s">
        <v>57</v>
      </c>
    </row>
    <row r="7" spans="1:35" ht="34.950000000000003" customHeight="1" x14ac:dyDescent="0.4">
      <c r="A7" s="16" t="s">
        <v>36</v>
      </c>
      <c r="B7" s="16" t="s">
        <v>37</v>
      </c>
      <c r="C7" s="17">
        <v>45992</v>
      </c>
      <c r="D7" s="16" t="s">
        <v>83</v>
      </c>
      <c r="E7" s="16" t="s">
        <v>84</v>
      </c>
      <c r="F7" s="16">
        <v>21335</v>
      </c>
      <c r="G7" s="16" t="s">
        <v>85</v>
      </c>
      <c r="H7" s="16" t="s">
        <v>75</v>
      </c>
      <c r="I7" s="19" t="s">
        <v>86</v>
      </c>
      <c r="J7" s="16" t="str">
        <f>IFERROR(VLOOKUP(I7,[1]Sheet1!$A$1:$B$200,2,0),"_")</f>
        <v>HP</v>
      </c>
      <c r="K7" s="19" t="s">
        <v>86</v>
      </c>
      <c r="L7" s="16" t="str">
        <f>IFERROR(VLOOKUP(K7,[1]Sheet1!$A$1:$B$200,2,0),"-")</f>
        <v>HP</v>
      </c>
      <c r="M7" s="19" t="s">
        <v>87</v>
      </c>
      <c r="N7" s="16" t="str">
        <f>IFERROR(VLOOKUP(M7,[1]Sheet1!$G$2:$H$200,2,0),"-")</f>
        <v>HDMU</v>
      </c>
      <c r="O7" s="29" t="s">
        <v>88</v>
      </c>
      <c r="P7" s="17">
        <v>45997</v>
      </c>
      <c r="Q7" s="20" t="s">
        <v>89</v>
      </c>
      <c r="R7" s="20" t="s">
        <v>90</v>
      </c>
      <c r="S7" s="21" t="str" cm="1">
        <f t="array" ref="S7">IF(
OR(AD7="",ISERROR(AD7)),
"-",
_xlfn.UNIQUE(_xlfn._xlws.FILTER([1]Sheet1!$D$2:$D$200,ISNUMBER(SEARCH(AD7,[1]Sheet1!$D$2:$D$200))))
)</f>
        <v>(주)금길종합운수</v>
      </c>
      <c r="T7" s="22" t="s">
        <v>91</v>
      </c>
      <c r="U7" s="16" t="str" cm="1">
        <f t="array" ref="U7">IF(
OR(AD7="",ISERROR(AD7)),
"-",
_xlfn.UNIQUE(_xlfn._xlws.FILTER([1]Sheet1!$D$2:$D$200,ISNUMBER(SEARCH(AD7,[1]Sheet1!$D$2:$D$200))))
)</f>
        <v>(주)금길종합운수</v>
      </c>
      <c r="V7" s="23">
        <v>43000</v>
      </c>
      <c r="W7" s="24">
        <v>0</v>
      </c>
      <c r="X7" s="23">
        <f t="shared" si="0"/>
        <v>43000</v>
      </c>
      <c r="Y7" s="25" t="s">
        <v>96</v>
      </c>
      <c r="Z7" s="19" t="s">
        <v>51</v>
      </c>
      <c r="AA7" s="19" t="s">
        <v>93</v>
      </c>
      <c r="AB7" s="30" t="s">
        <v>97</v>
      </c>
      <c r="AC7" s="17" t="str">
        <f t="shared" si="1"/>
        <v>Y</v>
      </c>
      <c r="AD7" s="17" t="s">
        <v>98</v>
      </c>
      <c r="AF7" s="27" t="s">
        <v>55</v>
      </c>
      <c r="AG7" s="27" t="s">
        <v>55</v>
      </c>
      <c r="AI7" s="28" t="s">
        <v>57</v>
      </c>
    </row>
    <row r="8" spans="1:35" ht="34.950000000000003" customHeight="1" x14ac:dyDescent="0.4">
      <c r="A8" s="16" t="s">
        <v>71</v>
      </c>
      <c r="B8" s="16" t="s">
        <v>99</v>
      </c>
      <c r="C8" s="17">
        <v>45992</v>
      </c>
      <c r="D8" s="16" t="s">
        <v>100</v>
      </c>
      <c r="E8" s="16" t="s">
        <v>101</v>
      </c>
      <c r="F8" s="16">
        <v>18702</v>
      </c>
      <c r="G8" s="16" t="s">
        <v>102</v>
      </c>
      <c r="H8" s="16" t="s">
        <v>41</v>
      </c>
      <c r="I8" s="19" t="s">
        <v>76</v>
      </c>
      <c r="J8" s="16" t="str">
        <f>IFERROR(VLOOKUP(I8,[1]Sheet1!$A$1:$B$200,2,0),"_")</f>
        <v>NJ</v>
      </c>
      <c r="K8" s="19" t="s">
        <v>76</v>
      </c>
      <c r="L8" s="16" t="str">
        <f>IFERROR(VLOOKUP(K8,[1]Sheet1!$A$1:$B$200,2,0),"-")</f>
        <v>NJ</v>
      </c>
      <c r="M8" s="19" t="s">
        <v>103</v>
      </c>
      <c r="N8" s="16" t="str">
        <f>IFERROR(VLOOKUP(M8,[1]Sheet1!$G$2:$H$200,2,0),"-")</f>
        <v>SIF</v>
      </c>
      <c r="O8" s="18" t="s">
        <v>55</v>
      </c>
      <c r="P8" s="17" t="s">
        <v>55</v>
      </c>
      <c r="Q8" s="20" t="s">
        <v>104</v>
      </c>
      <c r="R8" s="20"/>
      <c r="S8" s="21" t="str" cm="1">
        <f t="array" ref="S8">IF(
OR(AD8="",ISERROR(AD8)),
"-",
_xlfn.UNIQUE(_xlfn._xlws.FILTER([1]Sheet1!$D$2:$D$200,ISNUMBER(SEARCH(AD8,[1]Sheet1!$D$2:$D$200))))
)</f>
        <v>태성종합물류</v>
      </c>
      <c r="T8" s="22" t="s">
        <v>105</v>
      </c>
      <c r="U8" s="16" t="str" cm="1">
        <f t="array" ref="U8">IF(
OR(AD8="",ISERROR(AD8)),
"-",
_xlfn.UNIQUE(_xlfn._xlws.FILTER([1]Sheet1!$D$2:$D$200,ISNUMBER(SEARCH(AD8,[1]Sheet1!$D$2:$D$200))))
)</f>
        <v>태성종합물류</v>
      </c>
      <c r="V8" s="23">
        <v>335000</v>
      </c>
      <c r="W8" s="24">
        <v>307300</v>
      </c>
      <c r="X8" s="23">
        <f t="shared" si="0"/>
        <v>27700</v>
      </c>
      <c r="Y8" s="25" t="s">
        <v>106</v>
      </c>
      <c r="Z8" s="19" t="s">
        <v>51</v>
      </c>
      <c r="AA8" s="19" t="s">
        <v>81</v>
      </c>
      <c r="AC8" s="17" t="str">
        <f t="shared" si="1"/>
        <v>Y</v>
      </c>
      <c r="AD8" s="17" t="s">
        <v>82</v>
      </c>
      <c r="AF8" s="27" t="s">
        <v>55</v>
      </c>
      <c r="AG8" s="27" t="s">
        <v>55</v>
      </c>
      <c r="AI8" s="28" t="s">
        <v>57</v>
      </c>
    </row>
    <row r="9" spans="1:35" ht="34.950000000000003" customHeight="1" x14ac:dyDescent="0.4">
      <c r="A9" s="16" t="s">
        <v>36</v>
      </c>
      <c r="B9" s="16" t="s">
        <v>37</v>
      </c>
      <c r="C9" s="17">
        <v>45992</v>
      </c>
      <c r="D9" s="16" t="s">
        <v>83</v>
      </c>
      <c r="E9" s="16" t="s">
        <v>84</v>
      </c>
      <c r="F9" s="16">
        <v>21335</v>
      </c>
      <c r="G9" s="16" t="s">
        <v>85</v>
      </c>
      <c r="H9" s="16" t="s">
        <v>75</v>
      </c>
      <c r="I9" s="19" t="s">
        <v>86</v>
      </c>
      <c r="J9" s="16" t="str">
        <f>IFERROR(VLOOKUP(I9,[1]Sheet1!$A$1:$B$200,2,0),"_")</f>
        <v>HP</v>
      </c>
      <c r="K9" s="19" t="s">
        <v>86</v>
      </c>
      <c r="L9" s="16" t="str">
        <f>IFERROR(VLOOKUP(K9,[1]Sheet1!$A$1:$B$200,2,0),"-")</f>
        <v>HP</v>
      </c>
      <c r="M9" s="19" t="s">
        <v>87</v>
      </c>
      <c r="N9" s="16" t="str">
        <f>IFERROR(VLOOKUP(M9,[1]Sheet1!$G$2:$H$200,2,0),"-")</f>
        <v>HDMU</v>
      </c>
      <c r="O9" s="29" t="s">
        <v>88</v>
      </c>
      <c r="P9" s="17">
        <v>45997</v>
      </c>
      <c r="Q9" s="20" t="s">
        <v>107</v>
      </c>
      <c r="R9" s="20" t="s">
        <v>108</v>
      </c>
      <c r="S9" s="21" t="str" cm="1">
        <f t="array" ref="S9">IF(
OR(AD9="",ISERROR(AD9)),
"-",
_xlfn.UNIQUE(_xlfn._xlws.FILTER([1]Sheet1!$D$2:$D$200,ISNUMBER(SEARCH(AD9,[1]Sheet1!$D$2:$D$200))))
)</f>
        <v>백승운수</v>
      </c>
      <c r="T9" s="22" t="s">
        <v>91</v>
      </c>
      <c r="U9" s="16" t="str" cm="1">
        <f t="array" ref="U9">IF(
OR(AD9="",ISERROR(AD9)),
"-",
_xlfn.UNIQUE(_xlfn._xlws.FILTER([1]Sheet1!$D$2:$D$200,ISNUMBER(SEARCH(AD9,[1]Sheet1!$D$2:$D$200))))
)</f>
        <v>백승운수</v>
      </c>
      <c r="V9" s="23">
        <v>665000</v>
      </c>
      <c r="W9" s="24">
        <v>616000</v>
      </c>
      <c r="X9" s="23">
        <f t="shared" si="0"/>
        <v>49000</v>
      </c>
      <c r="Y9" s="25" t="s">
        <v>92</v>
      </c>
      <c r="Z9" s="19" t="s">
        <v>51</v>
      </c>
      <c r="AA9" s="19" t="s">
        <v>93</v>
      </c>
      <c r="AB9" s="18" t="s">
        <v>94</v>
      </c>
      <c r="AC9" s="17" t="str">
        <f t="shared" si="1"/>
        <v>Y</v>
      </c>
      <c r="AD9" s="17" t="s">
        <v>95</v>
      </c>
      <c r="AF9" s="27" t="s">
        <v>55</v>
      </c>
      <c r="AG9" s="27" t="s">
        <v>55</v>
      </c>
      <c r="AI9" s="28" t="s">
        <v>57</v>
      </c>
    </row>
    <row r="10" spans="1:35" ht="34.950000000000003" customHeight="1" x14ac:dyDescent="0.4">
      <c r="A10" s="16" t="s">
        <v>36</v>
      </c>
      <c r="B10" s="16" t="s">
        <v>37</v>
      </c>
      <c r="C10" s="17">
        <v>45992</v>
      </c>
      <c r="D10" s="16" t="s">
        <v>83</v>
      </c>
      <c r="E10" s="16" t="s">
        <v>84</v>
      </c>
      <c r="F10" s="16">
        <v>21335</v>
      </c>
      <c r="G10" s="16" t="s">
        <v>85</v>
      </c>
      <c r="H10" s="16" t="s">
        <v>75</v>
      </c>
      <c r="I10" s="19" t="s">
        <v>86</v>
      </c>
      <c r="J10" s="16" t="str">
        <f>IFERROR(VLOOKUP(I10,[1]Sheet1!$A$1:$B$200,2,0),"_")</f>
        <v>HP</v>
      </c>
      <c r="K10" s="19" t="s">
        <v>86</v>
      </c>
      <c r="L10" s="16" t="str">
        <f>IFERROR(VLOOKUP(K10,[1]Sheet1!$A$1:$B$200,2,0),"-")</f>
        <v>HP</v>
      </c>
      <c r="M10" s="19" t="s">
        <v>87</v>
      </c>
      <c r="N10" s="16" t="str">
        <f>IFERROR(VLOOKUP(M10,[1]Sheet1!$G$2:$H$200,2,0),"-")</f>
        <v>HDMU</v>
      </c>
      <c r="O10" s="29" t="s">
        <v>88</v>
      </c>
      <c r="P10" s="17">
        <v>45997</v>
      </c>
      <c r="Q10" s="20" t="s">
        <v>107</v>
      </c>
      <c r="R10" s="20" t="s">
        <v>108</v>
      </c>
      <c r="S10" s="21" t="str" cm="1">
        <f t="array" ref="S10">IF(
OR(AD10="",ISERROR(AD10)),
"-",
_xlfn.UNIQUE(_xlfn._xlws.FILTER([1]Sheet1!$D$2:$D$200,ISNUMBER(SEARCH(AD10,[1]Sheet1!$D$2:$D$200))))
)</f>
        <v>(주)금길종합운수</v>
      </c>
      <c r="T10" s="22" t="s">
        <v>91</v>
      </c>
      <c r="U10" s="16" t="str" cm="1">
        <f t="array" ref="U10">IF(
OR(AD10="",ISERROR(AD10)),
"-",
_xlfn.UNIQUE(_xlfn._xlws.FILTER([1]Sheet1!$D$2:$D$200,ISNUMBER(SEARCH(AD10,[1]Sheet1!$D$2:$D$200))))
)</f>
        <v>(주)금길종합운수</v>
      </c>
      <c r="V10" s="23">
        <v>43000</v>
      </c>
      <c r="W10" s="24">
        <v>0</v>
      </c>
      <c r="X10" s="23">
        <f t="shared" si="0"/>
        <v>43000</v>
      </c>
      <c r="Y10" s="25" t="s">
        <v>96</v>
      </c>
      <c r="Z10" s="19" t="s">
        <v>51</v>
      </c>
      <c r="AA10" s="19" t="s">
        <v>93</v>
      </c>
      <c r="AB10" s="30" t="s">
        <v>97</v>
      </c>
      <c r="AC10" s="17" t="str">
        <f t="shared" si="1"/>
        <v>Y</v>
      </c>
      <c r="AD10" s="17" t="s">
        <v>98</v>
      </c>
      <c r="AF10" s="27" t="s">
        <v>55</v>
      </c>
      <c r="AG10" s="27" t="s">
        <v>55</v>
      </c>
      <c r="AI10" s="28" t="s">
        <v>57</v>
      </c>
    </row>
    <row r="11" spans="1:35" ht="34.950000000000003" customHeight="1" x14ac:dyDescent="0.4">
      <c r="A11" s="16" t="s">
        <v>71</v>
      </c>
      <c r="B11" s="16" t="s">
        <v>37</v>
      </c>
      <c r="C11" s="17">
        <v>45992</v>
      </c>
      <c r="D11" s="16" t="s">
        <v>109</v>
      </c>
      <c r="E11" s="16" t="s">
        <v>110</v>
      </c>
      <c r="F11" s="16">
        <v>12650</v>
      </c>
      <c r="G11" s="16" t="s">
        <v>111</v>
      </c>
      <c r="H11" s="16" t="s">
        <v>41</v>
      </c>
      <c r="I11" s="19" t="s">
        <v>42</v>
      </c>
      <c r="J11" s="16" t="str">
        <f>IFERROR(VLOOKUP(I11,[1]Sheet1!$A$1:$B$200,2,0),"_")</f>
        <v>P</v>
      </c>
      <c r="K11" s="19" t="s">
        <v>42</v>
      </c>
      <c r="L11" s="16" t="str">
        <f>IFERROR(VLOOKUP(K11,[1]Sheet1!$A$1:$B$200,2,0),"-")</f>
        <v>P</v>
      </c>
      <c r="M11" s="19" t="s">
        <v>77</v>
      </c>
      <c r="N11" s="16" t="str">
        <f>IFERROR(VLOOKUP(M11,[1]Sheet1!$G$2:$H$200,2,0),"-")</f>
        <v>KMTC</v>
      </c>
      <c r="O11" s="18" t="s">
        <v>55</v>
      </c>
      <c r="P11" s="17" t="s">
        <v>55</v>
      </c>
      <c r="Q11" s="20" t="s">
        <v>112</v>
      </c>
      <c r="R11" s="20"/>
      <c r="S11" s="21" t="str" cm="1">
        <f t="array" ref="S11">IF(
OR(AD11="",ISERROR(AD11)),
"-",
_xlfn.UNIQUE(_xlfn._xlws.FILTER([1]Sheet1!$D$2:$D$200,ISNUMBER(SEARCH(AD11,[1]Sheet1!$D$2:$D$200))))
)</f>
        <v>동방 익스프레스</v>
      </c>
      <c r="T11" s="22" t="s">
        <v>113</v>
      </c>
      <c r="U11" s="16" t="str" cm="1">
        <f t="array" ref="U11">IF(
OR(AD11="",ISERROR(AD11)),
"-",
_xlfn.UNIQUE(_xlfn._xlws.FILTER([1]Sheet1!$D$2:$D$200,ISNUMBER(SEARCH(AD11,[1]Sheet1!$D$2:$D$200))))
)</f>
        <v>동방 익스프레스</v>
      </c>
      <c r="V11" s="23">
        <v>415000</v>
      </c>
      <c r="W11" s="24">
        <v>388000</v>
      </c>
      <c r="X11" s="23">
        <f t="shared" si="0"/>
        <v>27000</v>
      </c>
      <c r="Y11" s="25" t="s">
        <v>114</v>
      </c>
      <c r="Z11" s="19" t="s">
        <v>51</v>
      </c>
      <c r="AA11" s="19" t="s">
        <v>115</v>
      </c>
      <c r="AC11" s="17" t="str">
        <f t="shared" si="1"/>
        <v>Y</v>
      </c>
      <c r="AD11" s="17" t="s">
        <v>116</v>
      </c>
      <c r="AF11" s="27" t="s">
        <v>55</v>
      </c>
      <c r="AG11" s="27" t="s">
        <v>55</v>
      </c>
      <c r="AI11" s="28" t="s">
        <v>57</v>
      </c>
    </row>
    <row r="12" spans="1:35" ht="34.950000000000003" customHeight="1" x14ac:dyDescent="0.4">
      <c r="A12" s="16" t="s">
        <v>71</v>
      </c>
      <c r="B12" s="16" t="s">
        <v>37</v>
      </c>
      <c r="C12" s="17">
        <v>45992</v>
      </c>
      <c r="D12" s="16" t="s">
        <v>117</v>
      </c>
      <c r="E12" s="16" t="s">
        <v>118</v>
      </c>
      <c r="F12" s="16">
        <v>27823</v>
      </c>
      <c r="G12" s="16" t="s">
        <v>119</v>
      </c>
      <c r="H12" s="16" t="s">
        <v>75</v>
      </c>
      <c r="I12" s="19" t="s">
        <v>42</v>
      </c>
      <c r="J12" s="16" t="str">
        <f>IFERROR(VLOOKUP(I12,[1]Sheet1!$A$1:$B$200,2,0),"_")</f>
        <v>P</v>
      </c>
      <c r="K12" s="19" t="s">
        <v>42</v>
      </c>
      <c r="L12" s="16" t="str">
        <f>IFERROR(VLOOKUP(K12,[1]Sheet1!$A$1:$B$200,2,0),"-")</f>
        <v>P</v>
      </c>
      <c r="M12" s="19" t="s">
        <v>44</v>
      </c>
      <c r="N12" s="16" t="str">
        <f>IFERROR(VLOOKUP(M12,[1]Sheet1!$G$2:$H$200,2,0),"-")</f>
        <v>HSLI</v>
      </c>
      <c r="O12" s="18" t="s">
        <v>55</v>
      </c>
      <c r="P12" s="17" t="s">
        <v>55</v>
      </c>
      <c r="Q12" s="20" t="s">
        <v>120</v>
      </c>
      <c r="R12" s="20"/>
      <c r="S12" s="21" t="str" cm="1">
        <f t="array" ref="S12">IF(
OR(AD12="",ISERROR(AD12)),
"-",
_xlfn.UNIQUE(_xlfn._xlws.FILTER([1]Sheet1!$D$2:$D$200,ISNUMBER(SEARCH(AD12,[1]Sheet1!$D$2:$D$200))))
)</f>
        <v>율세</v>
      </c>
      <c r="T12" s="22" t="s">
        <v>121</v>
      </c>
      <c r="U12" s="16" t="str" cm="1">
        <f t="array" ref="U12">IF(
OR(AD12="",ISERROR(AD12)),
"-",
_xlfn.UNIQUE(_xlfn._xlws.FILTER([1]Sheet1!$D$2:$D$200,ISNUMBER(SEARCH(AD12,[1]Sheet1!$D$2:$D$200))))
)</f>
        <v>율세</v>
      </c>
      <c r="V12" s="23">
        <v>605000</v>
      </c>
      <c r="W12" s="24">
        <v>523100</v>
      </c>
      <c r="X12" s="23">
        <f t="shared" si="0"/>
        <v>81900</v>
      </c>
      <c r="Y12" s="25" t="s">
        <v>122</v>
      </c>
      <c r="Z12" s="19" t="s">
        <v>51</v>
      </c>
      <c r="AA12" s="19" t="s">
        <v>93</v>
      </c>
      <c r="AC12" s="17" t="str">
        <f t="shared" si="1"/>
        <v>Y</v>
      </c>
      <c r="AD12" s="17" t="s">
        <v>123</v>
      </c>
      <c r="AF12" s="27" t="s">
        <v>55</v>
      </c>
      <c r="AG12" s="27" t="s">
        <v>55</v>
      </c>
      <c r="AI12" s="28" t="s">
        <v>57</v>
      </c>
    </row>
    <row r="13" spans="1:35" ht="34.950000000000003" customHeight="1" x14ac:dyDescent="0.4">
      <c r="A13" s="16" t="s">
        <v>71</v>
      </c>
      <c r="B13" s="16" t="s">
        <v>37</v>
      </c>
      <c r="C13" s="17">
        <v>45992</v>
      </c>
      <c r="D13" s="16" t="s">
        <v>117</v>
      </c>
      <c r="E13" s="16" t="s">
        <v>118</v>
      </c>
      <c r="F13" s="16">
        <v>27823</v>
      </c>
      <c r="G13" s="16" t="s">
        <v>119</v>
      </c>
      <c r="H13" s="16" t="s">
        <v>75</v>
      </c>
      <c r="I13" s="19" t="s">
        <v>42</v>
      </c>
      <c r="J13" s="16" t="str">
        <f>IFERROR(VLOOKUP(I13,[1]Sheet1!$A$1:$B$200,2,0),"_")</f>
        <v>P</v>
      </c>
      <c r="K13" s="19" t="s">
        <v>42</v>
      </c>
      <c r="L13" s="16" t="str">
        <f>IFERROR(VLOOKUP(K13,[1]Sheet1!$A$1:$B$200,2,0),"-")</f>
        <v>P</v>
      </c>
      <c r="M13" s="19" t="s">
        <v>44</v>
      </c>
      <c r="N13" s="16" t="str">
        <f>IFERROR(VLOOKUP(M13,[1]Sheet1!$G$2:$H$200,2,0),"-")</f>
        <v>HSLI</v>
      </c>
      <c r="O13" s="18" t="s">
        <v>55</v>
      </c>
      <c r="P13" s="17" t="s">
        <v>55</v>
      </c>
      <c r="Q13" s="20" t="s">
        <v>120</v>
      </c>
      <c r="R13" s="20"/>
      <c r="S13" s="21" t="str" cm="1">
        <f t="array" ref="S13">IF(
OR(AD13="",ISERROR(AD13)),
"-",
_xlfn.UNIQUE(_xlfn._xlws.FILTER([1]Sheet1!$D$2:$D$200,ISNUMBER(SEARCH(AD13,[1]Sheet1!$D$2:$D$200))))
)</f>
        <v>율세</v>
      </c>
      <c r="T13" s="22" t="s">
        <v>121</v>
      </c>
      <c r="U13" s="16" t="str" cm="1">
        <f t="array" ref="U13">IF(
OR(AD13="",ISERROR(AD13)),
"-",
_xlfn.UNIQUE(_xlfn._xlws.FILTER([1]Sheet1!$D$2:$D$200,ISNUMBER(SEARCH(AD13,[1]Sheet1!$D$2:$D$200))))
)</f>
        <v>율세</v>
      </c>
      <c r="V13" s="23">
        <v>60000</v>
      </c>
      <c r="W13" s="24">
        <v>60000</v>
      </c>
      <c r="X13" s="23">
        <f t="shared" si="0"/>
        <v>0</v>
      </c>
      <c r="Y13" s="25" t="s">
        <v>124</v>
      </c>
      <c r="Z13" s="19" t="s">
        <v>51</v>
      </c>
      <c r="AA13" s="19" t="s">
        <v>93</v>
      </c>
      <c r="AC13" s="17" t="str">
        <f t="shared" si="1"/>
        <v>Y</v>
      </c>
      <c r="AD13" s="17" t="s">
        <v>123</v>
      </c>
      <c r="AF13" s="27" t="s">
        <v>55</v>
      </c>
      <c r="AG13" s="27" t="s">
        <v>55</v>
      </c>
      <c r="AI13" s="28" t="s">
        <v>57</v>
      </c>
    </row>
    <row r="14" spans="1:35" ht="34.950000000000003" customHeight="1" x14ac:dyDescent="0.4">
      <c r="A14" s="16" t="s">
        <v>71</v>
      </c>
      <c r="B14" s="16" t="s">
        <v>37</v>
      </c>
      <c r="C14" s="17">
        <v>45992</v>
      </c>
      <c r="D14" s="16" t="s">
        <v>117</v>
      </c>
      <c r="E14" s="16" t="s">
        <v>118</v>
      </c>
      <c r="F14" s="16">
        <v>27823</v>
      </c>
      <c r="G14" s="16" t="s">
        <v>119</v>
      </c>
      <c r="H14" s="16" t="s">
        <v>75</v>
      </c>
      <c r="I14" s="19" t="s">
        <v>42</v>
      </c>
      <c r="J14" s="16" t="str">
        <f>IFERROR(VLOOKUP(I14,[1]Sheet1!$A$1:$B$200,2,0),"_")</f>
        <v>P</v>
      </c>
      <c r="K14" s="19" t="s">
        <v>42</v>
      </c>
      <c r="L14" s="16" t="str">
        <f>IFERROR(VLOOKUP(K14,[1]Sheet1!$A$1:$B$200,2,0),"-")</f>
        <v>P</v>
      </c>
      <c r="M14" s="19" t="s">
        <v>44</v>
      </c>
      <c r="N14" s="16" t="str">
        <f>IFERROR(VLOOKUP(M14,[1]Sheet1!$G$2:$H$200,2,0),"-")</f>
        <v>HSLI</v>
      </c>
      <c r="O14" s="18" t="s">
        <v>55</v>
      </c>
      <c r="P14" s="17" t="s">
        <v>55</v>
      </c>
      <c r="Q14" s="20" t="s">
        <v>120</v>
      </c>
      <c r="R14" s="20"/>
      <c r="S14" s="21" t="str" cm="1">
        <f t="array" ref="S14">IF(
OR(AD14="",ISERROR(AD14)),
"-",
_xlfn.UNIQUE(_xlfn._xlws.FILTER([1]Sheet1!$D$2:$D$200,ISNUMBER(SEARCH(AD14,[1]Sheet1!$D$2:$D$200))))
)</f>
        <v>율세</v>
      </c>
      <c r="T14" s="22" t="s">
        <v>121</v>
      </c>
      <c r="U14" s="16" t="str" cm="1">
        <f t="array" ref="U14">IF(
OR(AD14="",ISERROR(AD14)),
"-",
_xlfn.UNIQUE(_xlfn._xlws.FILTER([1]Sheet1!$D$2:$D$200,ISNUMBER(SEARCH(AD14,[1]Sheet1!$D$2:$D$200))))
)</f>
        <v>율세</v>
      </c>
      <c r="V14" s="23">
        <v>30000</v>
      </c>
      <c r="W14" s="24">
        <v>30000</v>
      </c>
      <c r="X14" s="23">
        <f t="shared" si="0"/>
        <v>0</v>
      </c>
      <c r="Y14" s="25" t="s">
        <v>125</v>
      </c>
      <c r="Z14" s="19" t="s">
        <v>51</v>
      </c>
      <c r="AA14" s="19" t="s">
        <v>93</v>
      </c>
      <c r="AC14" s="17" t="str">
        <f t="shared" si="1"/>
        <v>Y</v>
      </c>
      <c r="AD14" s="17" t="s">
        <v>123</v>
      </c>
      <c r="AF14" s="27" t="s">
        <v>55</v>
      </c>
      <c r="AG14" s="27" t="s">
        <v>55</v>
      </c>
      <c r="AI14" s="28" t="s">
        <v>57</v>
      </c>
    </row>
    <row r="15" spans="1:35" ht="34.950000000000003" customHeight="1" x14ac:dyDescent="0.4">
      <c r="A15" s="16" t="s">
        <v>71</v>
      </c>
      <c r="B15" s="16" t="s">
        <v>99</v>
      </c>
      <c r="C15" s="17">
        <v>45992</v>
      </c>
      <c r="D15" s="16" t="s">
        <v>126</v>
      </c>
      <c r="E15" s="16" t="s">
        <v>127</v>
      </c>
      <c r="F15" s="16">
        <v>28257</v>
      </c>
      <c r="G15" s="16" t="s">
        <v>128</v>
      </c>
      <c r="H15" s="16" t="s">
        <v>75</v>
      </c>
      <c r="I15" s="19" t="s">
        <v>129</v>
      </c>
      <c r="J15" s="16" t="str">
        <f>IFERROR(VLOOKUP(I15,[1]Sheet1!$A$1:$B$200,2,0),"_")</f>
        <v>E1</v>
      </c>
      <c r="K15" s="19" t="s">
        <v>129</v>
      </c>
      <c r="L15" s="16" t="str">
        <f>IFERROR(VLOOKUP(K15,[1]Sheet1!$A$1:$B$200,2,0),"-")</f>
        <v>E1</v>
      </c>
      <c r="M15" s="19" t="s">
        <v>130</v>
      </c>
      <c r="N15" s="16" t="str">
        <f>IFERROR(VLOOKUP(M15,[1]Sheet1!$G$2:$H$200,2,0),"-")</f>
        <v>PCLU</v>
      </c>
      <c r="O15" s="18" t="s">
        <v>55</v>
      </c>
      <c r="P15" s="17" t="s">
        <v>55</v>
      </c>
      <c r="Q15" s="20" t="s">
        <v>131</v>
      </c>
      <c r="R15" s="20"/>
      <c r="S15" s="21" t="str" cm="1">
        <f t="array" ref="S15">IF(
OR(AD15="",ISERROR(AD15)),
"-",
_xlfn.UNIQUE(_xlfn._xlws.FILTER([1]Sheet1!$D$2:$D$200,ISNUMBER(SEARCH(AD15,[1]Sheet1!$D$2:$D$200))))
)</f>
        <v>태성종합물류</v>
      </c>
      <c r="T15" s="22" t="s">
        <v>105</v>
      </c>
      <c r="U15" s="16" t="str" cm="1">
        <f t="array" ref="U15">IF(
OR(AD15="",ISERROR(AD15)),
"-",
_xlfn.UNIQUE(_xlfn._xlws.FILTER([1]Sheet1!$D$2:$D$200,ISNUMBER(SEARCH(AD15,[1]Sheet1!$D$2:$D$200))))
)</f>
        <v>태성종합물류</v>
      </c>
      <c r="V15" s="23">
        <v>288000</v>
      </c>
      <c r="W15" s="24">
        <v>213200</v>
      </c>
      <c r="X15" s="23">
        <f t="shared" si="0"/>
        <v>74800</v>
      </c>
      <c r="Y15" s="25" t="s">
        <v>132</v>
      </c>
      <c r="Z15" s="19" t="s">
        <v>51</v>
      </c>
      <c r="AA15" s="19" t="s">
        <v>81</v>
      </c>
      <c r="AB15" s="18" t="s">
        <v>133</v>
      </c>
      <c r="AC15" s="17" t="str">
        <f t="shared" si="1"/>
        <v>Y</v>
      </c>
      <c r="AD15" s="17" t="s">
        <v>82</v>
      </c>
      <c r="AF15" s="27" t="s">
        <v>55</v>
      </c>
      <c r="AG15" s="27" t="s">
        <v>55</v>
      </c>
      <c r="AI15" s="28" t="s">
        <v>57</v>
      </c>
    </row>
    <row r="16" spans="1:35" ht="34.950000000000003" customHeight="1" x14ac:dyDescent="0.4">
      <c r="A16" s="16" t="s">
        <v>36</v>
      </c>
      <c r="B16" s="16" t="s">
        <v>37</v>
      </c>
      <c r="C16" s="17">
        <v>45992</v>
      </c>
      <c r="D16" s="16" t="s">
        <v>134</v>
      </c>
      <c r="E16" s="16" t="s">
        <v>135</v>
      </c>
      <c r="F16" s="16">
        <v>28794</v>
      </c>
      <c r="G16" s="16" t="s">
        <v>136</v>
      </c>
      <c r="H16" s="16" t="s">
        <v>41</v>
      </c>
      <c r="I16" s="19" t="s">
        <v>137</v>
      </c>
      <c r="J16" s="16" t="str">
        <f>IFERROR(VLOOKUP(I16,[1]Sheet1!$A$1:$B$200,2,0),"_")</f>
        <v>BE</v>
      </c>
      <c r="K16" s="19" t="s">
        <v>42</v>
      </c>
      <c r="L16" s="16" t="str">
        <f>IFERROR(VLOOKUP(K16,[1]Sheet1!$A$1:$B$200,2,0),"-")</f>
        <v>P</v>
      </c>
      <c r="M16" s="19" t="s">
        <v>77</v>
      </c>
      <c r="N16" s="16" t="str">
        <f>IFERROR(VLOOKUP(M16,[1]Sheet1!$G$2:$H$200,2,0),"-")</f>
        <v>KMTC</v>
      </c>
      <c r="O16" s="29" t="s">
        <v>138</v>
      </c>
      <c r="P16" s="17" t="s">
        <v>139</v>
      </c>
      <c r="Q16" s="20" t="s">
        <v>140</v>
      </c>
      <c r="R16" s="20" t="s">
        <v>141</v>
      </c>
      <c r="S16" s="21" t="str" cm="1">
        <f t="array" ref="S16">IF(
OR(AD16="",ISERROR(AD16)),
"-",
_xlfn.UNIQUE(_xlfn._xlws.FILTER([1]Sheet1!$D$2:$D$200,ISNUMBER(SEARCH(AD16,[1]Sheet1!$D$2:$D$200))))
)</f>
        <v>KCTC</v>
      </c>
      <c r="T16" s="22" t="s">
        <v>142</v>
      </c>
      <c r="U16" s="16" t="str" cm="1">
        <f t="array" ref="U16">IF(
OR(AD16="",ISERROR(AD16)),
"-",
_xlfn.UNIQUE(_xlfn._xlws.FILTER([1]Sheet1!$D$2:$D$200,ISNUMBER(SEARCH(AD16,[1]Sheet1!$D$2:$D$200))))
)</f>
        <v>KCTC</v>
      </c>
      <c r="V16" s="23">
        <v>692000</v>
      </c>
      <c r="W16" s="24">
        <v>573600</v>
      </c>
      <c r="X16" s="23">
        <f t="shared" si="0"/>
        <v>118400</v>
      </c>
      <c r="Y16" s="25" t="s">
        <v>143</v>
      </c>
      <c r="Z16" s="19" t="s">
        <v>51</v>
      </c>
      <c r="AA16" s="19" t="s">
        <v>144</v>
      </c>
      <c r="AC16" s="17" t="str">
        <f t="shared" si="1"/>
        <v>Y</v>
      </c>
      <c r="AD16" s="17" t="s">
        <v>145</v>
      </c>
      <c r="AF16" s="27" t="s">
        <v>55</v>
      </c>
      <c r="AG16" s="27" t="s">
        <v>55</v>
      </c>
      <c r="AI16" s="28" t="s">
        <v>57</v>
      </c>
    </row>
    <row r="17" spans="1:35" ht="34.950000000000003" customHeight="1" x14ac:dyDescent="0.4">
      <c r="A17" s="16" t="s">
        <v>36</v>
      </c>
      <c r="B17" s="16" t="s">
        <v>37</v>
      </c>
      <c r="C17" s="17">
        <v>45992</v>
      </c>
      <c r="D17" s="16" t="s">
        <v>134</v>
      </c>
      <c r="E17" s="16" t="s">
        <v>135</v>
      </c>
      <c r="F17" s="16">
        <v>28794</v>
      </c>
      <c r="G17" s="16" t="s">
        <v>136</v>
      </c>
      <c r="H17" s="16" t="s">
        <v>75</v>
      </c>
      <c r="I17" s="19" t="s">
        <v>137</v>
      </c>
      <c r="J17" s="16" t="str">
        <f>IFERROR(VLOOKUP(I17,[1]Sheet1!$A$1:$B$200,2,0),"_")</f>
        <v>BE</v>
      </c>
      <c r="K17" s="19" t="s">
        <v>42</v>
      </c>
      <c r="L17" s="16" t="str">
        <f>IFERROR(VLOOKUP(K17,[1]Sheet1!$A$1:$B$200,2,0),"-")</f>
        <v>P</v>
      </c>
      <c r="M17" s="19" t="s">
        <v>77</v>
      </c>
      <c r="N17" s="16" t="str">
        <f>IFERROR(VLOOKUP(M17,[1]Sheet1!$G$2:$H$200,2,0),"-")</f>
        <v>KMTC</v>
      </c>
      <c r="O17" s="29" t="s">
        <v>138</v>
      </c>
      <c r="P17" s="17" t="s">
        <v>139</v>
      </c>
      <c r="Q17" s="20" t="s">
        <v>146</v>
      </c>
      <c r="R17" s="20" t="s">
        <v>147</v>
      </c>
      <c r="S17" s="21" t="str" cm="1">
        <f t="array" ref="S17">IF(
OR(AD17="",ISERROR(AD17)),
"-",
_xlfn.UNIQUE(_xlfn._xlws.FILTER([1]Sheet1!$D$2:$D$200,ISNUMBER(SEARCH(AD17,[1]Sheet1!$D$2:$D$200))))
)</f>
        <v>KCTC</v>
      </c>
      <c r="T17" s="22" t="s">
        <v>148</v>
      </c>
      <c r="U17" s="16" t="str" cm="1">
        <f t="array" ref="U17">IF(
OR(AD17="",ISERROR(AD17)),
"-",
_xlfn.UNIQUE(_xlfn._xlws.FILTER([1]Sheet1!$D$2:$D$200,ISNUMBER(SEARCH(AD17,[1]Sheet1!$D$2:$D$200))))
)</f>
        <v>KCTC</v>
      </c>
      <c r="V17" s="23">
        <v>614000</v>
      </c>
      <c r="W17" s="24">
        <v>508600</v>
      </c>
      <c r="X17" s="23">
        <f t="shared" si="0"/>
        <v>105400</v>
      </c>
      <c r="Y17" s="25" t="s">
        <v>143</v>
      </c>
      <c r="Z17" s="19" t="s">
        <v>51</v>
      </c>
      <c r="AA17" s="19" t="s">
        <v>144</v>
      </c>
      <c r="AC17" s="17" t="str">
        <f t="shared" si="1"/>
        <v>Y</v>
      </c>
      <c r="AD17" s="17" t="s">
        <v>145</v>
      </c>
      <c r="AF17" s="27" t="s">
        <v>55</v>
      </c>
      <c r="AG17" s="27" t="s">
        <v>55</v>
      </c>
      <c r="AI17" s="28" t="s">
        <v>57</v>
      </c>
    </row>
    <row r="18" spans="1:35" ht="34.950000000000003" customHeight="1" x14ac:dyDescent="0.4">
      <c r="A18" s="16" t="s">
        <v>71</v>
      </c>
      <c r="B18" s="16" t="s">
        <v>99</v>
      </c>
      <c r="C18" s="17">
        <v>45992</v>
      </c>
      <c r="D18" s="16" t="s">
        <v>117</v>
      </c>
      <c r="E18" s="16" t="s">
        <v>149</v>
      </c>
      <c r="F18" s="16">
        <v>28090</v>
      </c>
      <c r="G18" s="16" t="s">
        <v>150</v>
      </c>
      <c r="H18" s="16" t="s">
        <v>41</v>
      </c>
      <c r="I18" s="19" t="s">
        <v>76</v>
      </c>
      <c r="J18" s="16" t="str">
        <f>IFERROR(VLOOKUP(I18,[1]Sheet1!$A$1:$B$200,2,0),"_")</f>
        <v>NJ</v>
      </c>
      <c r="K18" s="19" t="s">
        <v>76</v>
      </c>
      <c r="L18" s="16" t="str">
        <f>IFERROR(VLOOKUP(K18,[1]Sheet1!$A$1:$B$200,2,0),"-")</f>
        <v>NJ</v>
      </c>
      <c r="M18" s="19" t="s">
        <v>151</v>
      </c>
      <c r="N18" s="16" t="str">
        <f>IFERROR(VLOOKUP(M18,[1]Sheet1!$G$2:$H$200,2,0),"-")</f>
        <v>NSSL</v>
      </c>
      <c r="O18" s="18" t="s">
        <v>55</v>
      </c>
      <c r="P18" s="17" t="s">
        <v>55</v>
      </c>
      <c r="Q18" s="20" t="s">
        <v>152</v>
      </c>
      <c r="R18" s="20"/>
      <c r="S18" s="21" t="str" cm="1">
        <f t="array" ref="S18">IF(
OR(AD18="",ISERROR(AD18)),
"-",
_xlfn.UNIQUE(_xlfn._xlws.FILTER([1]Sheet1!$D$2:$D$200,ISNUMBER(SEARCH(AD18,[1]Sheet1!$D$2:$D$200))))
)</f>
        <v>태성종합물류</v>
      </c>
      <c r="T18" s="22" t="s">
        <v>153</v>
      </c>
      <c r="U18" s="16" t="str" cm="1">
        <f t="array" ref="U18">IF(
OR(AD18="",ISERROR(AD18)),
"-",
_xlfn.UNIQUE(_xlfn._xlws.FILTER([1]Sheet1!$D$2:$D$200,ISNUMBER(SEARCH(AD18,[1]Sheet1!$D$2:$D$200))))
)</f>
        <v>태성종합물류</v>
      </c>
      <c r="V18" s="23">
        <v>415000</v>
      </c>
      <c r="W18" s="24">
        <v>388200</v>
      </c>
      <c r="X18" s="23">
        <f t="shared" si="0"/>
        <v>26800</v>
      </c>
      <c r="Y18" s="25" t="s">
        <v>154</v>
      </c>
      <c r="Z18" s="19" t="s">
        <v>51</v>
      </c>
      <c r="AA18" s="19" t="s">
        <v>93</v>
      </c>
      <c r="AC18" s="17" t="str">
        <f t="shared" si="1"/>
        <v>Y</v>
      </c>
      <c r="AD18" s="17" t="s">
        <v>82</v>
      </c>
      <c r="AF18" s="27" t="s">
        <v>55</v>
      </c>
      <c r="AG18" s="27" t="s">
        <v>55</v>
      </c>
      <c r="AI18" s="28" t="s">
        <v>57</v>
      </c>
    </row>
    <row r="19" spans="1:35" ht="34.950000000000003" customHeight="1" x14ac:dyDescent="0.4">
      <c r="A19" s="16" t="s">
        <v>71</v>
      </c>
      <c r="B19" s="16" t="s">
        <v>37</v>
      </c>
      <c r="C19" s="17">
        <v>45992</v>
      </c>
      <c r="D19" s="16" t="s">
        <v>155</v>
      </c>
      <c r="E19" s="16" t="s">
        <v>156</v>
      </c>
      <c r="F19" s="16">
        <v>28518</v>
      </c>
      <c r="G19" s="16" t="s">
        <v>157</v>
      </c>
      <c r="H19" s="16" t="s">
        <v>59</v>
      </c>
      <c r="I19" s="19" t="s">
        <v>62</v>
      </c>
      <c r="J19" s="16" t="str">
        <f>IFERROR(VLOOKUP(I19,[1]Sheet1!$A$1:$B$200,2,0),"_")</f>
        <v>Y1</v>
      </c>
      <c r="K19" s="19" t="s">
        <v>158</v>
      </c>
      <c r="L19" s="16" t="str">
        <f>IFERROR(VLOOKUP(K19,[1]Sheet1!$A$1:$B$200,2,0),"-")</f>
        <v>DG</v>
      </c>
      <c r="M19" s="19" t="s">
        <v>159</v>
      </c>
      <c r="N19" s="16" t="str">
        <f>IFERROR(VLOOKUP(M19,[1]Sheet1!$G$2:$H$200,2,0),"-")</f>
        <v>MAEU</v>
      </c>
      <c r="O19" s="18" t="s">
        <v>55</v>
      </c>
      <c r="P19" s="17" t="s">
        <v>55</v>
      </c>
      <c r="Q19" s="20" t="s">
        <v>160</v>
      </c>
      <c r="R19" s="20"/>
      <c r="S19" s="21" t="str" cm="1">
        <f t="array" ref="S19">IF(
OR(AD19="",ISERROR(AD19)),
"-",
_xlfn.UNIQUE(_xlfn._xlws.FILTER([1]Sheet1!$D$2:$D$200,ISNUMBER(SEARCH(AD19,[1]Sheet1!$D$2:$D$200))))
)</f>
        <v>(주)유진로직스</v>
      </c>
      <c r="T19" s="22" t="s">
        <v>161</v>
      </c>
      <c r="U19" s="16" t="str" cm="1">
        <f t="array" ref="U19">IF(
OR(AD19="",ISERROR(AD19)),
"-",
_xlfn.UNIQUE(_xlfn._xlws.FILTER([1]Sheet1!$D$2:$D$200,ISNUMBER(SEARCH(AD19,[1]Sheet1!$D$2:$D$200))))
)</f>
        <v>(주)유진로직스</v>
      </c>
      <c r="V19" s="23">
        <v>380000</v>
      </c>
      <c r="W19" s="24">
        <v>350000</v>
      </c>
      <c r="X19" s="23">
        <f t="shared" si="0"/>
        <v>30000</v>
      </c>
      <c r="Y19" s="25" t="s">
        <v>162</v>
      </c>
      <c r="Z19" s="19" t="s">
        <v>51</v>
      </c>
      <c r="AA19" s="19" t="s">
        <v>144</v>
      </c>
      <c r="AC19" s="17" t="str">
        <f t="shared" si="1"/>
        <v>Y</v>
      </c>
      <c r="AD19" s="17" t="s">
        <v>70</v>
      </c>
      <c r="AF19" s="27" t="s">
        <v>55</v>
      </c>
      <c r="AG19" s="27" t="s">
        <v>55</v>
      </c>
      <c r="AI19" s="28" t="s">
        <v>57</v>
      </c>
    </row>
    <row r="20" spans="1:35" ht="34.950000000000003" customHeight="1" x14ac:dyDescent="0.4">
      <c r="A20" s="16" t="s">
        <v>71</v>
      </c>
      <c r="B20" s="16" t="s">
        <v>37</v>
      </c>
      <c r="C20" s="17">
        <v>45992</v>
      </c>
      <c r="D20" s="16" t="s">
        <v>155</v>
      </c>
      <c r="E20" s="16" t="s">
        <v>156</v>
      </c>
      <c r="F20" s="16">
        <v>28518</v>
      </c>
      <c r="G20" s="16" t="s">
        <v>157</v>
      </c>
      <c r="H20" s="16" t="s">
        <v>59</v>
      </c>
      <c r="I20" s="19" t="s">
        <v>62</v>
      </c>
      <c r="J20" s="16" t="str">
        <f>IFERROR(VLOOKUP(I20,[1]Sheet1!$A$1:$B$200,2,0),"_")</f>
        <v>Y1</v>
      </c>
      <c r="K20" s="19" t="s">
        <v>158</v>
      </c>
      <c r="L20" s="16" t="str">
        <f>IFERROR(VLOOKUP(K20,[1]Sheet1!$A$1:$B$200,2,0),"-")</f>
        <v>DG</v>
      </c>
      <c r="M20" s="19" t="s">
        <v>159</v>
      </c>
      <c r="N20" s="16" t="str">
        <f>IFERROR(VLOOKUP(M20,[1]Sheet1!$G$2:$H$200,2,0),"-")</f>
        <v>MAEU</v>
      </c>
      <c r="O20" s="31" t="s">
        <v>55</v>
      </c>
      <c r="P20" s="17" t="s">
        <v>55</v>
      </c>
      <c r="Q20" s="20" t="s">
        <v>160</v>
      </c>
      <c r="R20" s="20"/>
      <c r="S20" s="21" t="str" cm="1">
        <f t="array" ref="S20">IF(
OR(AD20="",ISERROR(AD20)),
"-",
_xlfn.UNIQUE(_xlfn._xlws.FILTER([1]Sheet1!$D$2:$D$200,ISNUMBER(SEARCH(AD20,[1]Sheet1!$D$2:$D$200))))
)</f>
        <v>(주)유진로직스</v>
      </c>
      <c r="T20" s="22" t="s">
        <v>163</v>
      </c>
      <c r="U20" s="16" t="str" cm="1">
        <f t="array" ref="U20">IF(
OR(AD20="",ISERROR(AD20)),
"-",
_xlfn.UNIQUE(_xlfn._xlws.FILTER([1]Sheet1!$D$2:$D$200,ISNUMBER(SEARCH(AD20,[1]Sheet1!$D$2:$D$200))))
)</f>
        <v>(주)유진로직스</v>
      </c>
      <c r="V20" s="23">
        <v>380000</v>
      </c>
      <c r="W20" s="24">
        <v>350000</v>
      </c>
      <c r="X20" s="23">
        <f t="shared" si="0"/>
        <v>30000</v>
      </c>
      <c r="Y20" s="25" t="s">
        <v>164</v>
      </c>
      <c r="Z20" s="19" t="s">
        <v>51</v>
      </c>
      <c r="AA20" s="19" t="s">
        <v>144</v>
      </c>
      <c r="AC20" s="17" t="str">
        <f t="shared" si="1"/>
        <v>Y</v>
      </c>
      <c r="AD20" s="17" t="s">
        <v>70</v>
      </c>
      <c r="AF20" s="27" t="s">
        <v>55</v>
      </c>
      <c r="AG20" s="27" t="s">
        <v>55</v>
      </c>
      <c r="AI20" s="28" t="s">
        <v>57</v>
      </c>
    </row>
    <row r="21" spans="1:35" ht="34.950000000000003" customHeight="1" x14ac:dyDescent="0.4">
      <c r="A21" s="16" t="s">
        <v>71</v>
      </c>
      <c r="B21" s="16" t="s">
        <v>37</v>
      </c>
      <c r="C21" s="17">
        <v>45992</v>
      </c>
      <c r="D21" s="16" t="s">
        <v>155</v>
      </c>
      <c r="E21" s="16" t="s">
        <v>156</v>
      </c>
      <c r="F21" s="16">
        <v>28518</v>
      </c>
      <c r="G21" s="16" t="s">
        <v>157</v>
      </c>
      <c r="H21" s="16" t="s">
        <v>59</v>
      </c>
      <c r="I21" s="19" t="s">
        <v>62</v>
      </c>
      <c r="J21" s="16" t="str">
        <f>IFERROR(VLOOKUP(I21,[1]Sheet1!$A$1:$B$200,2,0),"_")</f>
        <v>Y1</v>
      </c>
      <c r="K21" s="19" t="s">
        <v>158</v>
      </c>
      <c r="L21" s="16" t="str">
        <f>IFERROR(VLOOKUP(K21,[1]Sheet1!$A$1:$B$200,2,0),"-")</f>
        <v>DG</v>
      </c>
      <c r="M21" s="19" t="s">
        <v>159</v>
      </c>
      <c r="N21" s="16" t="str">
        <f>IFERROR(VLOOKUP(M21,[1]Sheet1!$G$2:$H$200,2,0),"-")</f>
        <v>MAEU</v>
      </c>
      <c r="O21" s="31" t="s">
        <v>55</v>
      </c>
      <c r="P21" s="17" t="s">
        <v>55</v>
      </c>
      <c r="Q21" s="20" t="s">
        <v>160</v>
      </c>
      <c r="R21" s="20"/>
      <c r="S21" s="21" t="str" cm="1">
        <f t="array" ref="S21">IF(
OR(AD21="",ISERROR(AD21)),
"-",
_xlfn.UNIQUE(_xlfn._xlws.FILTER([1]Sheet1!$D$2:$D$200,ISNUMBER(SEARCH(AD21,[1]Sheet1!$D$2:$D$200))))
)</f>
        <v>(주)유진로직스</v>
      </c>
      <c r="T21" s="22" t="s">
        <v>165</v>
      </c>
      <c r="U21" s="16" t="str" cm="1">
        <f t="array" ref="U21">IF(
OR(AD21="",ISERROR(AD21)),
"-",
_xlfn.UNIQUE(_xlfn._xlws.FILTER([1]Sheet1!$D$2:$D$200,ISNUMBER(SEARCH(AD21,[1]Sheet1!$D$2:$D$200))))
)</f>
        <v>(주)유진로직스</v>
      </c>
      <c r="V21" s="23">
        <v>380000</v>
      </c>
      <c r="W21" s="24">
        <v>350000</v>
      </c>
      <c r="X21" s="23">
        <f t="shared" si="0"/>
        <v>30000</v>
      </c>
      <c r="Y21" s="25" t="s">
        <v>166</v>
      </c>
      <c r="Z21" s="19" t="s">
        <v>51</v>
      </c>
      <c r="AA21" s="19" t="s">
        <v>144</v>
      </c>
      <c r="AC21" s="17" t="str">
        <f t="shared" si="1"/>
        <v>Y</v>
      </c>
      <c r="AD21" s="17" t="s">
        <v>70</v>
      </c>
      <c r="AF21" s="27" t="s">
        <v>55</v>
      </c>
      <c r="AG21" s="27" t="s">
        <v>55</v>
      </c>
      <c r="AI21" s="28" t="s">
        <v>57</v>
      </c>
    </row>
    <row r="22" spans="1:35" ht="34.950000000000003" customHeight="1" x14ac:dyDescent="0.4">
      <c r="A22" s="16" t="s">
        <v>71</v>
      </c>
      <c r="B22" s="16" t="s">
        <v>37</v>
      </c>
      <c r="C22" s="17">
        <v>45992</v>
      </c>
      <c r="D22" s="16" t="s">
        <v>155</v>
      </c>
      <c r="E22" s="16" t="s">
        <v>156</v>
      </c>
      <c r="F22" s="16">
        <v>28518</v>
      </c>
      <c r="G22" s="16" t="s">
        <v>157</v>
      </c>
      <c r="H22" s="16" t="s">
        <v>59</v>
      </c>
      <c r="I22" s="19" t="s">
        <v>62</v>
      </c>
      <c r="J22" s="16" t="str">
        <f>IFERROR(VLOOKUP(I22,[1]Sheet1!$A$1:$B$200,2,0),"_")</f>
        <v>Y1</v>
      </c>
      <c r="K22" s="19" t="s">
        <v>158</v>
      </c>
      <c r="L22" s="16" t="str">
        <f>IFERROR(VLOOKUP(K22,[1]Sheet1!$A$1:$B$200,2,0),"-")</f>
        <v>DG</v>
      </c>
      <c r="M22" s="19" t="s">
        <v>159</v>
      </c>
      <c r="N22" s="16" t="str">
        <f>IFERROR(VLOOKUP(M22,[1]Sheet1!$G$2:$H$200,2,0),"-")</f>
        <v>MAEU</v>
      </c>
      <c r="O22" s="18" t="s">
        <v>55</v>
      </c>
      <c r="P22" s="17" t="s">
        <v>55</v>
      </c>
      <c r="Q22" s="20" t="s">
        <v>160</v>
      </c>
      <c r="R22" s="20"/>
      <c r="S22" s="21" t="str" cm="1">
        <f t="array" ref="S22">IF(
OR(AD22="",ISERROR(AD22)),
"-",
_xlfn.UNIQUE(_xlfn._xlws.FILTER([1]Sheet1!$D$2:$D$200,ISNUMBER(SEARCH(AD22,[1]Sheet1!$D$2:$D$200))))
)</f>
        <v>(주)유진로직스</v>
      </c>
      <c r="T22" s="22" t="s">
        <v>161</v>
      </c>
      <c r="U22" s="16" t="str" cm="1">
        <f t="array" ref="U22">IF(
OR(AD22="",ISERROR(AD22)),
"-",
_xlfn.UNIQUE(_xlfn._xlws.FILTER([1]Sheet1!$D$2:$D$200,ISNUMBER(SEARCH(AD22,[1]Sheet1!$D$2:$D$200))))
)</f>
        <v>(주)유진로직스</v>
      </c>
      <c r="V22" s="23">
        <v>50000</v>
      </c>
      <c r="W22" s="24">
        <v>50000</v>
      </c>
      <c r="X22" s="23">
        <f t="shared" si="0"/>
        <v>0</v>
      </c>
      <c r="Y22" s="25" t="s">
        <v>167</v>
      </c>
      <c r="Z22" s="19" t="s">
        <v>51</v>
      </c>
      <c r="AA22" s="19" t="s">
        <v>144</v>
      </c>
      <c r="AC22" s="17" t="str">
        <f t="shared" si="1"/>
        <v>Y</v>
      </c>
      <c r="AD22" s="17" t="s">
        <v>70</v>
      </c>
      <c r="AF22" s="27" t="s">
        <v>55</v>
      </c>
      <c r="AG22" s="27" t="s">
        <v>55</v>
      </c>
      <c r="AI22" s="28" t="s">
        <v>57</v>
      </c>
    </row>
    <row r="23" spans="1:35" ht="34.950000000000003" customHeight="1" x14ac:dyDescent="0.4">
      <c r="A23" s="16" t="s">
        <v>71</v>
      </c>
      <c r="B23" s="16" t="s">
        <v>37</v>
      </c>
      <c r="C23" s="17">
        <v>45992</v>
      </c>
      <c r="D23" s="16" t="s">
        <v>155</v>
      </c>
      <c r="E23" s="16" t="s">
        <v>156</v>
      </c>
      <c r="F23" s="16">
        <v>28518</v>
      </c>
      <c r="G23" s="16" t="s">
        <v>157</v>
      </c>
      <c r="H23" s="16" t="s">
        <v>59</v>
      </c>
      <c r="I23" s="19" t="s">
        <v>62</v>
      </c>
      <c r="J23" s="16" t="str">
        <f>IFERROR(VLOOKUP(I23,[1]Sheet1!$A$1:$B$200,2,0),"_")</f>
        <v>Y1</v>
      </c>
      <c r="K23" s="19" t="s">
        <v>158</v>
      </c>
      <c r="L23" s="16" t="str">
        <f>IFERROR(VLOOKUP(K23,[1]Sheet1!$A$1:$B$200,2,0),"-")</f>
        <v>DG</v>
      </c>
      <c r="M23" s="19" t="s">
        <v>159</v>
      </c>
      <c r="N23" s="16" t="str">
        <f>IFERROR(VLOOKUP(M23,[1]Sheet1!$G$2:$H$200,2,0),"-")</f>
        <v>MAEU</v>
      </c>
      <c r="O23" s="31" t="s">
        <v>55</v>
      </c>
      <c r="P23" s="17" t="s">
        <v>55</v>
      </c>
      <c r="Q23" s="20" t="s">
        <v>160</v>
      </c>
      <c r="R23" s="20"/>
      <c r="S23" s="21" t="str" cm="1">
        <f t="array" ref="S23">IF(
OR(AD23="",ISERROR(AD23)),
"-",
_xlfn.UNIQUE(_xlfn._xlws.FILTER([1]Sheet1!$D$2:$D$200,ISNUMBER(SEARCH(AD23,[1]Sheet1!$D$2:$D$200))))
)</f>
        <v>(주)유진로직스</v>
      </c>
      <c r="T23" s="22" t="s">
        <v>163</v>
      </c>
      <c r="U23" s="16" t="str" cm="1">
        <f t="array" ref="U23">IF(
OR(AD23="",ISERROR(AD23)),
"-",
_xlfn.UNIQUE(_xlfn._xlws.FILTER([1]Sheet1!$D$2:$D$200,ISNUMBER(SEARCH(AD23,[1]Sheet1!$D$2:$D$200))))
)</f>
        <v>(주)유진로직스</v>
      </c>
      <c r="V23" s="23">
        <v>50000</v>
      </c>
      <c r="W23" s="24">
        <v>50000</v>
      </c>
      <c r="X23" s="23">
        <f t="shared" si="0"/>
        <v>0</v>
      </c>
      <c r="Y23" s="25" t="s">
        <v>168</v>
      </c>
      <c r="Z23" s="19" t="s">
        <v>51</v>
      </c>
      <c r="AA23" s="19" t="s">
        <v>144</v>
      </c>
      <c r="AC23" s="17" t="str">
        <f t="shared" si="1"/>
        <v>Y</v>
      </c>
      <c r="AD23" s="17" t="s">
        <v>70</v>
      </c>
      <c r="AF23" s="27" t="s">
        <v>55</v>
      </c>
      <c r="AG23" s="27" t="s">
        <v>55</v>
      </c>
      <c r="AI23" s="28" t="s">
        <v>57</v>
      </c>
    </row>
    <row r="24" spans="1:35" ht="34.950000000000003" customHeight="1" x14ac:dyDescent="0.4">
      <c r="A24" s="16" t="s">
        <v>71</v>
      </c>
      <c r="B24" s="16" t="s">
        <v>37</v>
      </c>
      <c r="C24" s="17">
        <v>45992</v>
      </c>
      <c r="D24" s="16" t="s">
        <v>155</v>
      </c>
      <c r="E24" s="16" t="s">
        <v>156</v>
      </c>
      <c r="F24" s="16">
        <v>28518</v>
      </c>
      <c r="G24" s="16" t="s">
        <v>157</v>
      </c>
      <c r="H24" s="16" t="s">
        <v>59</v>
      </c>
      <c r="I24" s="19" t="s">
        <v>62</v>
      </c>
      <c r="J24" s="16" t="str">
        <f>IFERROR(VLOOKUP(I24,[1]Sheet1!$A$1:$B$200,2,0),"_")</f>
        <v>Y1</v>
      </c>
      <c r="K24" s="19" t="s">
        <v>158</v>
      </c>
      <c r="L24" s="16" t="str">
        <f>IFERROR(VLOOKUP(K24,[1]Sheet1!$A$1:$B$200,2,0),"-")</f>
        <v>DG</v>
      </c>
      <c r="M24" s="19" t="s">
        <v>159</v>
      </c>
      <c r="N24" s="16" t="str">
        <f>IFERROR(VLOOKUP(M24,[1]Sheet1!$G$2:$H$200,2,0),"-")</f>
        <v>MAEU</v>
      </c>
      <c r="O24" s="31" t="s">
        <v>55</v>
      </c>
      <c r="P24" s="17" t="s">
        <v>55</v>
      </c>
      <c r="Q24" s="20" t="s">
        <v>160</v>
      </c>
      <c r="R24" s="20"/>
      <c r="S24" s="21" t="str" cm="1">
        <f t="array" ref="S24">IF(
OR(AD24="",ISERROR(AD24)),
"-",
_xlfn.UNIQUE(_xlfn._xlws.FILTER([1]Sheet1!$D$2:$D$200,ISNUMBER(SEARCH(AD24,[1]Sheet1!$D$2:$D$200))))
)</f>
        <v>(주)유진로직스</v>
      </c>
      <c r="T24" s="22" t="s">
        <v>165</v>
      </c>
      <c r="U24" s="16" t="str" cm="1">
        <f t="array" ref="U24">IF(
OR(AD24="",ISERROR(AD24)),
"-",
_xlfn.UNIQUE(_xlfn._xlws.FILTER([1]Sheet1!$D$2:$D$200,ISNUMBER(SEARCH(AD24,[1]Sheet1!$D$2:$D$200))))
)</f>
        <v>(주)유진로직스</v>
      </c>
      <c r="V24" s="23">
        <v>50000</v>
      </c>
      <c r="W24" s="24">
        <v>50000</v>
      </c>
      <c r="X24" s="23">
        <f t="shared" si="0"/>
        <v>0</v>
      </c>
      <c r="Y24" s="25" t="s">
        <v>169</v>
      </c>
      <c r="Z24" s="19" t="s">
        <v>51</v>
      </c>
      <c r="AA24" s="19" t="s">
        <v>144</v>
      </c>
      <c r="AC24" s="17" t="str">
        <f t="shared" si="1"/>
        <v>Y</v>
      </c>
      <c r="AD24" s="17" t="s">
        <v>70</v>
      </c>
      <c r="AF24" s="27" t="s">
        <v>55</v>
      </c>
      <c r="AG24" s="27" t="s">
        <v>55</v>
      </c>
      <c r="AI24" s="28" t="s">
        <v>57</v>
      </c>
    </row>
    <row r="25" spans="1:35" ht="34.950000000000003" customHeight="1" x14ac:dyDescent="0.4">
      <c r="A25" s="16" t="s">
        <v>36</v>
      </c>
      <c r="B25" s="16" t="s">
        <v>37</v>
      </c>
      <c r="C25" s="17">
        <v>45993</v>
      </c>
      <c r="D25" s="16" t="s">
        <v>117</v>
      </c>
      <c r="E25" s="16" t="s">
        <v>170</v>
      </c>
      <c r="F25" s="16">
        <v>12365</v>
      </c>
      <c r="G25" s="18" t="s">
        <v>171</v>
      </c>
      <c r="H25" s="16" t="s">
        <v>41</v>
      </c>
      <c r="I25" s="19" t="s">
        <v>172</v>
      </c>
      <c r="J25" s="16" t="str">
        <f>IFERROR(VLOOKUP(I25,[1]Sheet1!$A$1:$B$200,2,0),"_")</f>
        <v>KW</v>
      </c>
      <c r="K25" s="19" t="s">
        <v>172</v>
      </c>
      <c r="L25" s="16" t="str">
        <f>IFERROR(VLOOKUP(K25,[1]Sheet1!$A$1:$B$200,2,0),"-")</f>
        <v>KW</v>
      </c>
      <c r="M25" s="19" t="s">
        <v>77</v>
      </c>
      <c r="N25" s="16" t="str">
        <f>IFERROR(VLOOKUP(M25,[1]Sheet1!$G$2:$H$200,2,0),"-")</f>
        <v>KMTC</v>
      </c>
      <c r="O25" s="29" t="s">
        <v>173</v>
      </c>
      <c r="P25" s="17">
        <v>45997</v>
      </c>
      <c r="Q25" s="20" t="s">
        <v>174</v>
      </c>
      <c r="R25" s="20" t="s">
        <v>175</v>
      </c>
      <c r="S25" s="21" t="str" cm="1">
        <f t="array" ref="S25">IF(
OR(AD25="",ISERROR(AD25)),
"-",
_xlfn.UNIQUE(_xlfn._xlws.FILTER([1]Sheet1!$D$2:$D$200,ISNUMBER(SEARCH(AD25,[1]Sheet1!$D$2:$D$200))))
)</f>
        <v>(유)오식도물류</v>
      </c>
      <c r="T25" s="22" t="s">
        <v>176</v>
      </c>
      <c r="U25" s="16" t="str" cm="1">
        <f t="array" ref="U25">IF(
OR(AD25="",ISERROR(AD25)),
"-",
_xlfn.UNIQUE(_xlfn._xlws.FILTER([1]Sheet1!$D$2:$D$200,ISNUMBER(SEARCH(AD25,[1]Sheet1!$D$2:$D$200))))
)</f>
        <v>(유)오식도물류</v>
      </c>
      <c r="V25" s="23">
        <v>890000</v>
      </c>
      <c r="W25" s="24">
        <v>809200</v>
      </c>
      <c r="X25" s="23">
        <f t="shared" si="0"/>
        <v>80800</v>
      </c>
      <c r="Y25" s="25" t="s">
        <v>177</v>
      </c>
      <c r="Z25" s="19" t="s">
        <v>51</v>
      </c>
      <c r="AA25" s="19" t="s">
        <v>93</v>
      </c>
      <c r="AB25" s="18" t="s">
        <v>178</v>
      </c>
      <c r="AC25" s="17" t="str">
        <f t="shared" si="1"/>
        <v>Y</v>
      </c>
      <c r="AD25" s="17" t="s">
        <v>179</v>
      </c>
      <c r="AF25" s="27" t="s">
        <v>55</v>
      </c>
      <c r="AG25" s="27" t="s">
        <v>55</v>
      </c>
      <c r="AI25" s="28" t="s">
        <v>57</v>
      </c>
    </row>
    <row r="26" spans="1:35" ht="34.950000000000003" customHeight="1" x14ac:dyDescent="0.4">
      <c r="A26" s="16" t="s">
        <v>71</v>
      </c>
      <c r="B26" s="16" t="s">
        <v>37</v>
      </c>
      <c r="C26" s="17">
        <v>45993</v>
      </c>
      <c r="D26" s="16" t="s">
        <v>109</v>
      </c>
      <c r="E26" s="16" t="s">
        <v>110</v>
      </c>
      <c r="F26" s="16">
        <v>12650</v>
      </c>
      <c r="G26" s="18" t="s">
        <v>111</v>
      </c>
      <c r="H26" s="16" t="s">
        <v>41</v>
      </c>
      <c r="I26" s="19" t="s">
        <v>42</v>
      </c>
      <c r="J26" s="16" t="str">
        <f>IFERROR(VLOOKUP(I26,[1]Sheet1!$A$1:$B$200,2,0),"_")</f>
        <v>P</v>
      </c>
      <c r="K26" s="19" t="s">
        <v>42</v>
      </c>
      <c r="L26" s="16" t="str">
        <f>IFERROR(VLOOKUP(K26,[1]Sheet1!$A$1:$B$200,2,0),"-")</f>
        <v>P</v>
      </c>
      <c r="M26" s="19" t="s">
        <v>180</v>
      </c>
      <c r="N26" s="16" t="str">
        <f>IFERROR(VLOOKUP(M26,[1]Sheet1!$G$2:$H$200,2,0),"-")</f>
        <v>TSL</v>
      </c>
      <c r="O26" s="18" t="s">
        <v>55</v>
      </c>
      <c r="P26" s="17" t="s">
        <v>55</v>
      </c>
      <c r="Q26" s="20" t="s">
        <v>181</v>
      </c>
      <c r="R26" s="20"/>
      <c r="S26" s="21" t="str" cm="1">
        <f t="array" ref="S26">IF(
OR(AD26="",ISERROR(AD26)),
"-",
_xlfn.UNIQUE(_xlfn._xlws.FILTER([1]Sheet1!$D$2:$D$200,ISNUMBER(SEARCH(AD26,[1]Sheet1!$D$2:$D$200))))
)</f>
        <v>에스지로지스틱</v>
      </c>
      <c r="T26" s="22" t="s">
        <v>182</v>
      </c>
      <c r="U26" s="16" t="str" cm="1">
        <f t="array" ref="U26">IF(
OR(AD26="",ISERROR(AD26)),
"-",
_xlfn.UNIQUE(_xlfn._xlws.FILTER([1]Sheet1!$D$2:$D$200,ISNUMBER(SEARCH(AD26,[1]Sheet1!$D$2:$D$200))))
)</f>
        <v>에스지로지스틱</v>
      </c>
      <c r="V26" s="23">
        <v>415000</v>
      </c>
      <c r="W26" s="24">
        <v>388000</v>
      </c>
      <c r="X26" s="23">
        <f t="shared" si="0"/>
        <v>27000</v>
      </c>
      <c r="Y26" s="25" t="s">
        <v>183</v>
      </c>
      <c r="Z26" s="19" t="s">
        <v>51</v>
      </c>
      <c r="AA26" s="19" t="s">
        <v>115</v>
      </c>
      <c r="AC26" s="17" t="str">
        <f t="shared" si="1"/>
        <v>Y</v>
      </c>
      <c r="AD26" s="17" t="s">
        <v>184</v>
      </c>
      <c r="AF26" s="27" t="s">
        <v>55</v>
      </c>
      <c r="AG26" s="27" t="s">
        <v>55</v>
      </c>
      <c r="AI26" s="28" t="s">
        <v>57</v>
      </c>
    </row>
    <row r="27" spans="1:35" ht="34.950000000000003" customHeight="1" x14ac:dyDescent="0.4">
      <c r="A27" s="16" t="s">
        <v>71</v>
      </c>
      <c r="B27" s="16" t="s">
        <v>99</v>
      </c>
      <c r="C27" s="17">
        <v>45993</v>
      </c>
      <c r="D27" s="16" t="s">
        <v>117</v>
      </c>
      <c r="E27" s="16" t="s">
        <v>149</v>
      </c>
      <c r="F27" s="16">
        <v>28090</v>
      </c>
      <c r="G27" s="18" t="s">
        <v>150</v>
      </c>
      <c r="H27" s="16" t="s">
        <v>41</v>
      </c>
      <c r="I27" s="19" t="s">
        <v>76</v>
      </c>
      <c r="J27" s="16" t="str">
        <f>IFERROR(VLOOKUP(I27,[1]Sheet1!$A$1:$B$200,2,0),"_")</f>
        <v>NJ</v>
      </c>
      <c r="K27" s="19" t="s">
        <v>76</v>
      </c>
      <c r="L27" s="16" t="str">
        <f>IFERROR(VLOOKUP(K27,[1]Sheet1!$A$1:$B$200,2,0),"-")</f>
        <v>NJ</v>
      </c>
      <c r="M27" s="19" t="s">
        <v>151</v>
      </c>
      <c r="N27" s="16" t="str">
        <f>IFERROR(VLOOKUP(M27,[1]Sheet1!$G$2:$H$200,2,0),"-")</f>
        <v>NSSL</v>
      </c>
      <c r="O27" s="31" t="s">
        <v>55</v>
      </c>
      <c r="P27" s="17" t="s">
        <v>55</v>
      </c>
      <c r="Q27" s="20" t="s">
        <v>185</v>
      </c>
      <c r="R27" s="20"/>
      <c r="S27" s="21" t="str" cm="1">
        <f t="array" ref="S27">IF(
OR(AD27="",ISERROR(AD27)),
"-",
_xlfn.UNIQUE(_xlfn._xlws.FILTER([1]Sheet1!$D$2:$D$200,ISNUMBER(SEARCH(AD27,[1]Sheet1!$D$2:$D$200))))
)</f>
        <v>태성종합물류</v>
      </c>
      <c r="T27" s="22" t="s">
        <v>186</v>
      </c>
      <c r="U27" s="16" t="str" cm="1">
        <f t="array" ref="U27">IF(
OR(AD27="",ISERROR(AD27)),
"-",
_xlfn.UNIQUE(_xlfn._xlws.FILTER([1]Sheet1!$D$2:$D$200,ISNUMBER(SEARCH(AD27,[1]Sheet1!$D$2:$D$200))))
)</f>
        <v>태성종합물류</v>
      </c>
      <c r="V27" s="23">
        <v>415000</v>
      </c>
      <c r="W27" s="24">
        <v>388200</v>
      </c>
      <c r="X27" s="23">
        <f t="shared" si="0"/>
        <v>26800</v>
      </c>
      <c r="Y27" s="25" t="s">
        <v>187</v>
      </c>
      <c r="Z27" s="19" t="s">
        <v>51</v>
      </c>
      <c r="AA27" s="19" t="s">
        <v>93</v>
      </c>
      <c r="AC27" s="17" t="str">
        <f t="shared" si="1"/>
        <v>Y</v>
      </c>
      <c r="AD27" s="17" t="s">
        <v>82</v>
      </c>
      <c r="AF27" s="27" t="s">
        <v>55</v>
      </c>
      <c r="AG27" s="27" t="s">
        <v>55</v>
      </c>
      <c r="AI27" s="28" t="s">
        <v>57</v>
      </c>
    </row>
    <row r="28" spans="1:35" ht="34.950000000000003" customHeight="1" x14ac:dyDescent="0.4">
      <c r="A28" s="16" t="s">
        <v>36</v>
      </c>
      <c r="B28" s="16" t="s">
        <v>37</v>
      </c>
      <c r="C28" s="17">
        <v>45993</v>
      </c>
      <c r="D28" s="16" t="s">
        <v>188</v>
      </c>
      <c r="E28" s="16" t="s">
        <v>189</v>
      </c>
      <c r="F28" s="16">
        <v>16959</v>
      </c>
      <c r="G28" s="18" t="s">
        <v>190</v>
      </c>
      <c r="H28" s="16" t="s">
        <v>41</v>
      </c>
      <c r="I28" s="19" t="s">
        <v>42</v>
      </c>
      <c r="J28" s="16" t="str">
        <f>IFERROR(VLOOKUP(I28,[1]Sheet1!$A$1:$B$200,2,0),"_")</f>
        <v>P</v>
      </c>
      <c r="K28" s="19" t="s">
        <v>42</v>
      </c>
      <c r="L28" s="16" t="str">
        <f>IFERROR(VLOOKUP(K28,[1]Sheet1!$A$1:$B$200,2,0),"-")</f>
        <v>P</v>
      </c>
      <c r="M28" s="19" t="s">
        <v>191</v>
      </c>
      <c r="N28" s="16" t="str">
        <f>IFERROR(VLOOKUP(M28,[1]Sheet1!$G$2:$H$200,2,0),"-")</f>
        <v>HASL</v>
      </c>
      <c r="O28" s="27"/>
      <c r="P28" s="17"/>
      <c r="Q28" s="20" t="s">
        <v>192</v>
      </c>
      <c r="R28" s="20" t="s">
        <v>193</v>
      </c>
      <c r="S28" s="21" t="str" cm="1">
        <f t="array" ref="S28">IF(
OR(AD28="",ISERROR(AD28)),
"-",
_xlfn.UNIQUE(_xlfn._xlws.FILTER([1]Sheet1!$D$2:$D$200,ISNUMBER(SEARCH(AD28,[1]Sheet1!$D$2:$D$200))))
)</f>
        <v>(주)부강에너지</v>
      </c>
      <c r="T28" s="22" t="s">
        <v>194</v>
      </c>
      <c r="U28" s="16" t="str" cm="1">
        <f t="array" ref="U28">IF(
OR(AD28="",ISERROR(AD28)),
"-",
_xlfn.UNIQUE(_xlfn._xlws.FILTER([1]Sheet1!$D$2:$D$200,ISNUMBER(SEARCH(AD28,[1]Sheet1!$D$2:$D$200))))
)</f>
        <v>(주)부강에너지</v>
      </c>
      <c r="V28" s="23">
        <v>250000</v>
      </c>
      <c r="W28" s="24">
        <v>220000</v>
      </c>
      <c r="X28" s="23">
        <f t="shared" si="0"/>
        <v>30000</v>
      </c>
      <c r="Y28" s="25" t="s">
        <v>195</v>
      </c>
      <c r="Z28" s="19" t="s">
        <v>51</v>
      </c>
      <c r="AA28" s="19" t="s">
        <v>81</v>
      </c>
      <c r="AB28" s="18" t="s">
        <v>196</v>
      </c>
      <c r="AC28" s="17" t="str">
        <f t="shared" si="1"/>
        <v>Y</v>
      </c>
      <c r="AD28" s="17" t="s">
        <v>197</v>
      </c>
      <c r="AF28" s="27" t="s">
        <v>55</v>
      </c>
      <c r="AG28" s="27" t="s">
        <v>55</v>
      </c>
      <c r="AI28" s="28" t="s">
        <v>57</v>
      </c>
    </row>
    <row r="29" spans="1:35" ht="34.950000000000003" customHeight="1" x14ac:dyDescent="0.4">
      <c r="A29" s="16" t="s">
        <v>36</v>
      </c>
      <c r="B29" s="16" t="s">
        <v>37</v>
      </c>
      <c r="C29" s="17">
        <v>45993</v>
      </c>
      <c r="D29" s="16" t="s">
        <v>188</v>
      </c>
      <c r="E29" s="16" t="s">
        <v>189</v>
      </c>
      <c r="F29" s="16">
        <v>16959</v>
      </c>
      <c r="G29" s="18" t="s">
        <v>190</v>
      </c>
      <c r="H29" s="16" t="s">
        <v>41</v>
      </c>
      <c r="I29" s="19" t="s">
        <v>42</v>
      </c>
      <c r="J29" s="16" t="str">
        <f>IFERROR(VLOOKUP(I29,[1]Sheet1!$A$1:$B$200,2,0),"_")</f>
        <v>P</v>
      </c>
      <c r="K29" s="19" t="s">
        <v>42</v>
      </c>
      <c r="L29" s="16" t="str">
        <f>IFERROR(VLOOKUP(K29,[1]Sheet1!$A$1:$B$200,2,0),"-")</f>
        <v>P</v>
      </c>
      <c r="M29" s="19" t="s">
        <v>191</v>
      </c>
      <c r="N29" s="16" t="str">
        <f>IFERROR(VLOOKUP(M29,[1]Sheet1!$G$2:$H$200,2,0),"-")</f>
        <v>HASL</v>
      </c>
      <c r="O29" s="27"/>
      <c r="P29" s="17"/>
      <c r="Q29" s="20" t="s">
        <v>192</v>
      </c>
      <c r="R29" s="20" t="s">
        <v>193</v>
      </c>
      <c r="S29" s="21" t="str" cm="1">
        <f t="array" ref="S29">IF(
OR(AD29="",ISERROR(AD29)),
"-",
_xlfn.UNIQUE(_xlfn._xlws.FILTER([1]Sheet1!$D$2:$D$200,ISNUMBER(SEARCH(AD29,[1]Sheet1!$D$2:$D$200))))
)</f>
        <v>(주)부강에너지</v>
      </c>
      <c r="T29" s="22" t="s">
        <v>194</v>
      </c>
      <c r="U29" s="16" t="str" cm="1">
        <f t="array" ref="U29">IF(
OR(AD29="",ISERROR(AD29)),
"-",
_xlfn.UNIQUE(_xlfn._xlws.FILTER([1]Sheet1!$D$2:$D$200,ISNUMBER(SEARCH(AD29,[1]Sheet1!$D$2:$D$200))))
)</f>
        <v>(주)부강에너지</v>
      </c>
      <c r="V29" s="23">
        <v>30000</v>
      </c>
      <c r="W29" s="24">
        <v>30000</v>
      </c>
      <c r="X29" s="23">
        <f t="shared" si="0"/>
        <v>0</v>
      </c>
      <c r="Y29" s="25" t="s">
        <v>198</v>
      </c>
      <c r="Z29" s="19" t="s">
        <v>51</v>
      </c>
      <c r="AA29" s="19" t="s">
        <v>81</v>
      </c>
      <c r="AB29" s="18" t="s">
        <v>196</v>
      </c>
      <c r="AC29" s="17" t="str">
        <f t="shared" si="1"/>
        <v>Y</v>
      </c>
      <c r="AD29" s="17" t="s">
        <v>197</v>
      </c>
      <c r="AF29" s="27" t="s">
        <v>55</v>
      </c>
      <c r="AG29" s="27" t="s">
        <v>55</v>
      </c>
      <c r="AI29" s="28" t="s">
        <v>57</v>
      </c>
    </row>
    <row r="30" spans="1:35" ht="34.950000000000003" customHeight="1" x14ac:dyDescent="0.4">
      <c r="A30" s="16" t="s">
        <v>71</v>
      </c>
      <c r="B30" s="16" t="s">
        <v>99</v>
      </c>
      <c r="C30" s="17">
        <v>45993</v>
      </c>
      <c r="D30" s="16" t="s">
        <v>126</v>
      </c>
      <c r="E30" s="16" t="s">
        <v>199</v>
      </c>
      <c r="F30" s="16">
        <v>22141</v>
      </c>
      <c r="G30" s="18" t="s">
        <v>200</v>
      </c>
      <c r="H30" s="16" t="s">
        <v>41</v>
      </c>
      <c r="I30" s="19" t="s">
        <v>201</v>
      </c>
      <c r="J30" s="16" t="str">
        <f>IFERROR(VLOOKUP(I30,[1]Sheet1!$A$1:$B$200,2,0),"_")</f>
        <v>Y25</v>
      </c>
      <c r="K30" s="19" t="s">
        <v>201</v>
      </c>
      <c r="L30" s="16" t="str">
        <f>IFERROR(VLOOKUP(K30,[1]Sheet1!$A$1:$B$200,2,0),"-")</f>
        <v>Y25</v>
      </c>
      <c r="M30" s="19" t="s">
        <v>191</v>
      </c>
      <c r="N30" s="16" t="str">
        <f>IFERROR(VLOOKUP(M30,[1]Sheet1!$G$2:$H$200,2,0),"-")</f>
        <v>HASL</v>
      </c>
      <c r="O30" s="31" t="s">
        <v>55</v>
      </c>
      <c r="P30" s="17" t="s">
        <v>55</v>
      </c>
      <c r="Q30" s="20" t="s">
        <v>202</v>
      </c>
      <c r="R30" s="20"/>
      <c r="S30" s="21" t="str" cm="1">
        <f t="array" ref="S30">IF(
OR(AD30="",ISERROR(AD30)),
"-",
_xlfn.UNIQUE(_xlfn._xlws.FILTER([1]Sheet1!$D$2:$D$200,ISNUMBER(SEARCH(AD30,[1]Sheet1!$D$2:$D$200))))
)</f>
        <v>로지아이솔루션</v>
      </c>
      <c r="T30" s="22" t="s">
        <v>203</v>
      </c>
      <c r="U30" s="16" t="str" cm="1">
        <f t="array" ref="U30">IF(
OR(AD30="",ISERROR(AD30)),
"-",
_xlfn.UNIQUE(_xlfn._xlws.FILTER([1]Sheet1!$D$2:$D$200,ISNUMBER(SEARCH(AD30,[1]Sheet1!$D$2:$D$200))))
)</f>
        <v>로지아이솔루션</v>
      </c>
      <c r="V30" s="23">
        <v>229000</v>
      </c>
      <c r="W30" s="24">
        <v>221100</v>
      </c>
      <c r="X30" s="23">
        <f t="shared" si="0"/>
        <v>7900</v>
      </c>
      <c r="Y30" s="25" t="s">
        <v>204</v>
      </c>
      <c r="Z30" s="19" t="s">
        <v>51</v>
      </c>
      <c r="AA30" s="19" t="s">
        <v>81</v>
      </c>
      <c r="AB30" s="18" t="s">
        <v>205</v>
      </c>
      <c r="AC30" s="17" t="str">
        <f t="shared" si="1"/>
        <v>Y</v>
      </c>
      <c r="AD30" s="17" t="s">
        <v>206</v>
      </c>
      <c r="AF30" s="27" t="s">
        <v>55</v>
      </c>
      <c r="AG30" s="27" t="s">
        <v>55</v>
      </c>
      <c r="AI30" s="28" t="s">
        <v>57</v>
      </c>
    </row>
    <row r="31" spans="1:35" ht="34.950000000000003" customHeight="1" x14ac:dyDescent="0.4">
      <c r="A31" s="16" t="s">
        <v>71</v>
      </c>
      <c r="B31" s="16" t="s">
        <v>37</v>
      </c>
      <c r="C31" s="17">
        <v>45993</v>
      </c>
      <c r="D31" s="16" t="s">
        <v>207</v>
      </c>
      <c r="E31" s="16" t="s">
        <v>208</v>
      </c>
      <c r="F31" s="16">
        <v>23796</v>
      </c>
      <c r="G31" s="18" t="s">
        <v>209</v>
      </c>
      <c r="H31" s="16" t="s">
        <v>210</v>
      </c>
      <c r="I31" s="19" t="s">
        <v>42</v>
      </c>
      <c r="J31" s="16" t="str">
        <f>IFERROR(VLOOKUP(I31,[1]Sheet1!$A$1:$B$200,2,0),"_")</f>
        <v>P</v>
      </c>
      <c r="K31" s="19" t="s">
        <v>42</v>
      </c>
      <c r="L31" s="16" t="str">
        <f>IFERROR(VLOOKUP(K31,[1]Sheet1!$A$1:$B$200,2,0),"-")</f>
        <v>P</v>
      </c>
      <c r="M31" s="19" t="s">
        <v>211</v>
      </c>
      <c r="N31" s="16" t="str">
        <f>IFERROR(VLOOKUP(M31,[1]Sheet1!$G$2:$H$200,2,0),"-")</f>
        <v>SITC</v>
      </c>
      <c r="O31" s="31" t="s">
        <v>55</v>
      </c>
      <c r="P31" s="17" t="s">
        <v>55</v>
      </c>
      <c r="Q31" s="20" t="s">
        <v>212</v>
      </c>
      <c r="R31" s="20"/>
      <c r="S31" s="21" t="str" cm="1">
        <f t="array" ref="S31">IF(
OR(AD31="",ISERROR(AD31)),
"-",
_xlfn.UNIQUE(_xlfn._xlws.FILTER([1]Sheet1!$D$2:$D$200,ISNUMBER(SEARCH(AD31,[1]Sheet1!$D$2:$D$200))))
)</f>
        <v>에스더블유로지스틱스</v>
      </c>
      <c r="T31" s="22" t="s">
        <v>213</v>
      </c>
      <c r="U31" s="16" t="str" cm="1">
        <f t="array" ref="U31">IF(
OR(AD31="",ISERROR(AD31)),
"-",
_xlfn.UNIQUE(_xlfn._xlws.FILTER([1]Sheet1!$D$2:$D$200,ISNUMBER(SEARCH(AD31,[1]Sheet1!$D$2:$D$200))))
)</f>
        <v>에스더블유로지스틱스</v>
      </c>
      <c r="V31" s="23">
        <v>342000</v>
      </c>
      <c r="W31" s="24">
        <v>320800</v>
      </c>
      <c r="X31" s="23">
        <f t="shared" si="0"/>
        <v>21200</v>
      </c>
      <c r="Y31" s="25" t="s">
        <v>214</v>
      </c>
      <c r="Z31" s="19" t="s">
        <v>51</v>
      </c>
      <c r="AA31" s="19" t="s">
        <v>144</v>
      </c>
      <c r="AC31" s="17" t="str">
        <f t="shared" si="1"/>
        <v>Y</v>
      </c>
      <c r="AD31" s="17" t="s">
        <v>215</v>
      </c>
      <c r="AF31" s="27" t="s">
        <v>55</v>
      </c>
      <c r="AG31" s="27" t="s">
        <v>55</v>
      </c>
      <c r="AI31" s="28" t="s">
        <v>57</v>
      </c>
    </row>
    <row r="32" spans="1:35" ht="34.950000000000003" customHeight="1" x14ac:dyDescent="0.4">
      <c r="A32" s="16" t="s">
        <v>36</v>
      </c>
      <c r="B32" s="16" t="s">
        <v>99</v>
      </c>
      <c r="C32" s="17">
        <v>45993</v>
      </c>
      <c r="D32" s="16" t="s">
        <v>216</v>
      </c>
      <c r="E32" s="16" t="s">
        <v>217</v>
      </c>
      <c r="F32" s="16">
        <v>26907</v>
      </c>
      <c r="G32" s="18" t="s">
        <v>218</v>
      </c>
      <c r="H32" s="16" t="s">
        <v>41</v>
      </c>
      <c r="I32" s="19" t="s">
        <v>219</v>
      </c>
      <c r="J32" s="16" t="str">
        <f>IFERROR(VLOOKUP(I32,[1]Sheet1!$A$1:$B$200,2,0),"_")</f>
        <v>NN</v>
      </c>
      <c r="K32" s="19" t="s">
        <v>220</v>
      </c>
      <c r="L32" s="16">
        <v>81</v>
      </c>
      <c r="M32" s="19" t="s">
        <v>221</v>
      </c>
      <c r="N32" s="16" t="str">
        <f>IFERROR(VLOOKUP(M32,[1]Sheet1!$G$2:$H$200,2,0),"-")</f>
        <v>DOOW</v>
      </c>
      <c r="O32" s="27" t="s">
        <v>222</v>
      </c>
      <c r="P32" s="17">
        <v>45994</v>
      </c>
      <c r="Q32" s="20" t="s">
        <v>223</v>
      </c>
      <c r="R32" s="20" t="s">
        <v>224</v>
      </c>
      <c r="S32" s="21" t="str" cm="1">
        <f t="array" ref="S32">IF(
OR(AD32="",ISERROR(AD32)),
"-",
_xlfn.UNIQUE(_xlfn._xlws.FILTER([1]Sheet1!$D$2:$D$200,ISNUMBER(SEARCH(AD32,[1]Sheet1!$D$2:$D$200))))
)</f>
        <v>태성종합물류</v>
      </c>
      <c r="T32" s="22" t="s">
        <v>225</v>
      </c>
      <c r="U32" s="16" t="str" cm="1">
        <f t="array" ref="U32">IF(
OR(AD32="",ISERROR(AD32)),
"-",
_xlfn.UNIQUE(_xlfn._xlws.FILTER([1]Sheet1!$D$2:$D$200,ISNUMBER(SEARCH(AD32,[1]Sheet1!$D$2:$D$200))))
)</f>
        <v>태성종합물류</v>
      </c>
      <c r="V32" s="23">
        <v>247000</v>
      </c>
      <c r="W32" s="24">
        <v>229700</v>
      </c>
      <c r="X32" s="23">
        <f t="shared" si="0"/>
        <v>17300</v>
      </c>
      <c r="Y32" s="25" t="s">
        <v>226</v>
      </c>
      <c r="Z32" s="19" t="s">
        <v>51</v>
      </c>
      <c r="AA32" s="19" t="s">
        <v>93</v>
      </c>
      <c r="AC32" s="17" t="str">
        <f t="shared" si="1"/>
        <v>Y</v>
      </c>
      <c r="AD32" s="17" t="s">
        <v>82</v>
      </c>
      <c r="AF32" s="27" t="s">
        <v>55</v>
      </c>
      <c r="AG32" s="27" t="s">
        <v>55</v>
      </c>
      <c r="AI32" s="28" t="s">
        <v>57</v>
      </c>
    </row>
    <row r="33" spans="1:35" ht="34.950000000000003" customHeight="1" x14ac:dyDescent="0.4">
      <c r="A33" s="16" t="s">
        <v>36</v>
      </c>
      <c r="B33" s="16" t="s">
        <v>99</v>
      </c>
      <c r="C33" s="17">
        <v>45993</v>
      </c>
      <c r="D33" s="16" t="s">
        <v>216</v>
      </c>
      <c r="E33" s="16" t="s">
        <v>217</v>
      </c>
      <c r="F33" s="16">
        <v>26907</v>
      </c>
      <c r="G33" s="18" t="s">
        <v>218</v>
      </c>
      <c r="H33" s="16" t="s">
        <v>41</v>
      </c>
      <c r="I33" s="19" t="s">
        <v>219</v>
      </c>
      <c r="J33" s="16" t="str">
        <f>IFERROR(VLOOKUP(I33,[1]Sheet1!$A$1:$B$200,2,0),"_")</f>
        <v>NN</v>
      </c>
      <c r="K33" s="19" t="s">
        <v>220</v>
      </c>
      <c r="L33" s="16">
        <v>81</v>
      </c>
      <c r="M33" s="19" t="s">
        <v>221</v>
      </c>
      <c r="N33" s="16" t="str">
        <f>IFERROR(VLOOKUP(M33,[1]Sheet1!$G$2:$H$200,2,0),"-")</f>
        <v>DOOW</v>
      </c>
      <c r="O33" s="27" t="s">
        <v>222</v>
      </c>
      <c r="P33" s="17">
        <v>45994</v>
      </c>
      <c r="Q33" s="20" t="s">
        <v>223</v>
      </c>
      <c r="R33" s="20" t="s">
        <v>224</v>
      </c>
      <c r="S33" s="21" t="str" cm="1">
        <f t="array" ref="S33">IF(
OR(AD33="",ISERROR(AD33)),
"-",
_xlfn.UNIQUE(_xlfn._xlws.FILTER([1]Sheet1!$D$2:$D$200,ISNUMBER(SEARCH(AD33,[1]Sheet1!$D$2:$D$200))))
)</f>
        <v>태성종합물류</v>
      </c>
      <c r="T33" s="22" t="s">
        <v>225</v>
      </c>
      <c r="U33" s="16" t="str" cm="1">
        <f t="array" ref="U33">IF(
OR(AD33="",ISERROR(AD33)),
"-",
_xlfn.UNIQUE(_xlfn._xlws.FILTER([1]Sheet1!$D$2:$D$200,ISNUMBER(SEARCH(AD33,[1]Sheet1!$D$2:$D$200))))
)</f>
        <v>태성종합물류</v>
      </c>
      <c r="V33" s="23">
        <v>10000</v>
      </c>
      <c r="W33" s="24">
        <v>10000</v>
      </c>
      <c r="X33" s="23">
        <f t="shared" si="0"/>
        <v>0</v>
      </c>
      <c r="Y33" s="25" t="s">
        <v>227</v>
      </c>
      <c r="Z33" s="19" t="s">
        <v>51</v>
      </c>
      <c r="AA33" s="19" t="s">
        <v>93</v>
      </c>
      <c r="AC33" s="17" t="str">
        <f t="shared" si="1"/>
        <v>Y</v>
      </c>
      <c r="AD33" s="17" t="s">
        <v>82</v>
      </c>
      <c r="AF33" s="27" t="s">
        <v>55</v>
      </c>
      <c r="AG33" s="27" t="s">
        <v>55</v>
      </c>
      <c r="AI33" s="28" t="s">
        <v>228</v>
      </c>
    </row>
    <row r="34" spans="1:35" ht="34.950000000000003" customHeight="1" x14ac:dyDescent="0.4">
      <c r="A34" s="16" t="s">
        <v>36</v>
      </c>
      <c r="B34" s="16" t="s">
        <v>37</v>
      </c>
      <c r="C34" s="17">
        <v>45993</v>
      </c>
      <c r="D34" s="16" t="s">
        <v>229</v>
      </c>
      <c r="E34" s="16" t="s">
        <v>229</v>
      </c>
      <c r="F34" s="16">
        <v>3641</v>
      </c>
      <c r="G34" s="18" t="s">
        <v>230</v>
      </c>
      <c r="H34" s="16" t="s">
        <v>210</v>
      </c>
      <c r="I34" s="19" t="s">
        <v>231</v>
      </c>
      <c r="J34" s="16" t="str">
        <f>IFERROR(VLOOKUP(I34,[1]Sheet1!$A$1:$B$200,2,0),"_")</f>
        <v>IS</v>
      </c>
      <c r="K34" s="19" t="s">
        <v>42</v>
      </c>
      <c r="L34" s="16" t="str">
        <f>IFERROR(VLOOKUP(K34,[1]Sheet1!$A$1:$B$200,2,0),"-")</f>
        <v>P</v>
      </c>
      <c r="M34" s="19" t="s">
        <v>191</v>
      </c>
      <c r="N34" s="16" t="str">
        <f>IFERROR(VLOOKUP(M34,[1]Sheet1!$G$2:$H$200,2,0),"-")</f>
        <v>HASL</v>
      </c>
      <c r="O34" s="27" t="s">
        <v>232</v>
      </c>
      <c r="P34" s="17">
        <v>45999</v>
      </c>
      <c r="Q34" s="20" t="s">
        <v>233</v>
      </c>
      <c r="R34" s="20" t="s">
        <v>234</v>
      </c>
      <c r="S34" s="21" t="str" cm="1">
        <f t="array" ref="S34">IF(
OR(AD34="",ISERROR(AD34)),
"-",
_xlfn.UNIQUE(_xlfn._xlws.FILTER([1]Sheet1!$D$2:$D$200,ISNUMBER(SEARCH(AD34,[1]Sheet1!$D$2:$D$200))))
)</f>
        <v>양양운수(주)</v>
      </c>
      <c r="T34" s="22" t="s">
        <v>235</v>
      </c>
      <c r="U34" s="16" t="str" cm="1">
        <f t="array" ref="U34">IF(
OR(AD34="",ISERROR(AD34)),
"-",
_xlfn.UNIQUE(_xlfn._xlws.FILTER([1]Sheet1!$D$2:$D$200,ISNUMBER(SEARCH(AD34,[1]Sheet1!$D$2:$D$200))))
)</f>
        <v>양양운수(주)</v>
      </c>
      <c r="V34" s="23">
        <v>760000</v>
      </c>
      <c r="W34" s="24">
        <v>684400</v>
      </c>
      <c r="X34" s="23">
        <f t="shared" si="0"/>
        <v>75600</v>
      </c>
      <c r="Y34" s="25" t="s">
        <v>236</v>
      </c>
      <c r="Z34" s="19" t="s">
        <v>51</v>
      </c>
      <c r="AA34" s="19" t="s">
        <v>81</v>
      </c>
      <c r="AB34" s="18" t="s">
        <v>237</v>
      </c>
      <c r="AC34" s="17" t="str">
        <f t="shared" si="1"/>
        <v>Y</v>
      </c>
      <c r="AD34" s="17" t="s">
        <v>238</v>
      </c>
      <c r="AF34" s="27" t="s">
        <v>55</v>
      </c>
      <c r="AG34" s="27" t="s">
        <v>55</v>
      </c>
      <c r="AI34" s="28" t="s">
        <v>228</v>
      </c>
    </row>
    <row r="35" spans="1:35" ht="34.950000000000003" customHeight="1" x14ac:dyDescent="0.4">
      <c r="A35" s="16" t="s">
        <v>36</v>
      </c>
      <c r="B35" s="16" t="s">
        <v>37</v>
      </c>
      <c r="C35" s="17">
        <v>45993</v>
      </c>
      <c r="D35" s="16" t="s">
        <v>229</v>
      </c>
      <c r="E35" s="16" t="s">
        <v>229</v>
      </c>
      <c r="F35" s="16">
        <v>3641</v>
      </c>
      <c r="G35" s="18" t="s">
        <v>230</v>
      </c>
      <c r="H35" s="16" t="s">
        <v>210</v>
      </c>
      <c r="I35" s="19" t="s">
        <v>231</v>
      </c>
      <c r="J35" s="16" t="str">
        <f>IFERROR(VLOOKUP(I35,[1]Sheet1!$A$1:$B$200,2,0),"_")</f>
        <v>IS</v>
      </c>
      <c r="K35" s="19" t="s">
        <v>42</v>
      </c>
      <c r="L35" s="16" t="str">
        <f>IFERROR(VLOOKUP(K35,[1]Sheet1!$A$1:$B$200,2,0),"-")</f>
        <v>P</v>
      </c>
      <c r="M35" s="19" t="s">
        <v>191</v>
      </c>
      <c r="N35" s="16" t="str">
        <f>IFERROR(VLOOKUP(M35,[1]Sheet1!$G$2:$H$200,2,0),"-")</f>
        <v>HASL</v>
      </c>
      <c r="O35" s="27" t="s">
        <v>232</v>
      </c>
      <c r="P35" s="17">
        <v>45999</v>
      </c>
      <c r="Q35" s="20" t="s">
        <v>233</v>
      </c>
      <c r="R35" s="20" t="s">
        <v>234</v>
      </c>
      <c r="S35" s="21" t="str" cm="1">
        <f t="array" ref="S35">IF(
OR(AD35="",ISERROR(AD35)),
"-",
_xlfn.UNIQUE(_xlfn._xlws.FILTER([1]Sheet1!$D$2:$D$200,ISNUMBER(SEARCH(AD35,[1]Sheet1!$D$2:$D$200))))
)</f>
        <v>양양운수(주)</v>
      </c>
      <c r="T35" s="22" t="s">
        <v>235</v>
      </c>
      <c r="U35" s="16" t="str" cm="1">
        <f t="array" ref="U35">IF(
OR(AD35="",ISERROR(AD35)),
"-",
_xlfn.UNIQUE(_xlfn._xlws.FILTER([1]Sheet1!$D$2:$D$200,ISNUMBER(SEARCH(AD35,[1]Sheet1!$D$2:$D$200))))
)</f>
        <v>양양운수(주)</v>
      </c>
      <c r="V35" s="23">
        <v>100000</v>
      </c>
      <c r="W35" s="24">
        <v>83000</v>
      </c>
      <c r="X35" s="23">
        <f t="shared" si="0"/>
        <v>17000</v>
      </c>
      <c r="Y35" s="25" t="s">
        <v>239</v>
      </c>
      <c r="Z35" s="19" t="s">
        <v>51</v>
      </c>
      <c r="AA35" s="19" t="s">
        <v>81</v>
      </c>
      <c r="AB35" s="18" t="s">
        <v>240</v>
      </c>
      <c r="AC35" s="17" t="str">
        <f t="shared" si="1"/>
        <v>Y</v>
      </c>
      <c r="AD35" s="17" t="s">
        <v>238</v>
      </c>
      <c r="AF35" s="27" t="s">
        <v>55</v>
      </c>
      <c r="AG35" s="27" t="s">
        <v>55</v>
      </c>
      <c r="AI35" s="28" t="s">
        <v>228</v>
      </c>
    </row>
    <row r="36" spans="1:35" ht="34.950000000000003" customHeight="1" x14ac:dyDescent="0.4">
      <c r="A36" s="16" t="s">
        <v>36</v>
      </c>
      <c r="B36" s="16" t="s">
        <v>37</v>
      </c>
      <c r="C36" s="17">
        <v>45993</v>
      </c>
      <c r="D36" s="16" t="s">
        <v>229</v>
      </c>
      <c r="E36" s="16" t="s">
        <v>229</v>
      </c>
      <c r="F36" s="16">
        <v>3641</v>
      </c>
      <c r="G36" s="18" t="s">
        <v>230</v>
      </c>
      <c r="H36" s="16" t="s">
        <v>210</v>
      </c>
      <c r="I36" s="19" t="s">
        <v>137</v>
      </c>
      <c r="J36" s="16" t="str">
        <f>IFERROR(VLOOKUP(I36,[1]Sheet1!$A$1:$B$200,2,0),"_")</f>
        <v>BE</v>
      </c>
      <c r="K36" s="19" t="s">
        <v>42</v>
      </c>
      <c r="L36" s="16" t="str">
        <f>IFERROR(VLOOKUP(K36,[1]Sheet1!$A$1:$B$200,2,0),"-")</f>
        <v>P</v>
      </c>
      <c r="M36" s="19" t="s">
        <v>191</v>
      </c>
      <c r="N36" s="16" t="str">
        <f>IFERROR(VLOOKUP(M36,[1]Sheet1!$G$2:$H$200,2,0),"-")</f>
        <v>HASL</v>
      </c>
      <c r="O36" s="27" t="s">
        <v>232</v>
      </c>
      <c r="P36" s="17">
        <v>45999</v>
      </c>
      <c r="Q36" s="20" t="s">
        <v>241</v>
      </c>
      <c r="R36" s="20" t="s">
        <v>242</v>
      </c>
      <c r="S36" s="21" t="str" cm="1">
        <f t="array" ref="S36">IF(
OR(AD36="",ISERROR(AD36)),
"-",
_xlfn.UNIQUE(_xlfn._xlws.FILTER([1]Sheet1!$D$2:$D$200,ISNUMBER(SEARCH(AD36,[1]Sheet1!$D$2:$D$200))))
)</f>
        <v>양양운수(주)</v>
      </c>
      <c r="T36" s="22" t="s">
        <v>243</v>
      </c>
      <c r="U36" s="16" t="str" cm="1">
        <f t="array" ref="U36">IF(
OR(AD36="",ISERROR(AD36)),
"-",
_xlfn.UNIQUE(_xlfn._xlws.FILTER([1]Sheet1!$D$2:$D$200,ISNUMBER(SEARCH(AD36,[1]Sheet1!$D$2:$D$200))))
)</f>
        <v>양양운수(주)</v>
      </c>
      <c r="V36" s="23">
        <v>760000</v>
      </c>
      <c r="W36" s="24">
        <v>684400</v>
      </c>
      <c r="X36" s="23">
        <f t="shared" si="0"/>
        <v>75600</v>
      </c>
      <c r="Y36" s="25" t="s">
        <v>244</v>
      </c>
      <c r="Z36" s="19" t="s">
        <v>51</v>
      </c>
      <c r="AA36" s="19" t="s">
        <v>81</v>
      </c>
      <c r="AB36" s="18" t="s">
        <v>245</v>
      </c>
      <c r="AC36" s="17" t="str">
        <f t="shared" si="1"/>
        <v>Y</v>
      </c>
      <c r="AD36" s="17" t="s">
        <v>238</v>
      </c>
      <c r="AF36" s="27" t="s">
        <v>55</v>
      </c>
      <c r="AG36" s="27" t="s">
        <v>55</v>
      </c>
      <c r="AI36" s="28" t="s">
        <v>228</v>
      </c>
    </row>
    <row r="37" spans="1:35" ht="34.950000000000003" customHeight="1" x14ac:dyDescent="0.4">
      <c r="A37" s="16" t="s">
        <v>36</v>
      </c>
      <c r="B37" s="16" t="s">
        <v>37</v>
      </c>
      <c r="C37" s="17">
        <v>45993</v>
      </c>
      <c r="D37" s="16" t="s">
        <v>229</v>
      </c>
      <c r="E37" s="16" t="s">
        <v>229</v>
      </c>
      <c r="F37" s="16">
        <v>3641</v>
      </c>
      <c r="G37" s="18" t="s">
        <v>230</v>
      </c>
      <c r="H37" s="16" t="s">
        <v>210</v>
      </c>
      <c r="I37" s="19" t="s">
        <v>137</v>
      </c>
      <c r="J37" s="16" t="str">
        <f>IFERROR(VLOOKUP(I37,[1]Sheet1!$A$1:$B$200,2,0),"_")</f>
        <v>BE</v>
      </c>
      <c r="K37" s="19" t="s">
        <v>42</v>
      </c>
      <c r="L37" s="16" t="str">
        <f>IFERROR(VLOOKUP(K37,[1]Sheet1!$A$1:$B$200,2,0),"-")</f>
        <v>P</v>
      </c>
      <c r="M37" s="19" t="s">
        <v>191</v>
      </c>
      <c r="N37" s="16" t="str">
        <f>IFERROR(VLOOKUP(M37,[1]Sheet1!$G$2:$H$200,2,0),"-")</f>
        <v>HASL</v>
      </c>
      <c r="O37" s="27" t="s">
        <v>232</v>
      </c>
      <c r="P37" s="17">
        <v>45999</v>
      </c>
      <c r="Q37" s="20" t="s">
        <v>241</v>
      </c>
      <c r="R37" s="20" t="s">
        <v>242</v>
      </c>
      <c r="S37" s="21" t="str" cm="1">
        <f t="array" ref="S37">IF(
OR(AD37="",ISERROR(AD37)),
"-",
_xlfn.UNIQUE(_xlfn._xlws.FILTER([1]Sheet1!$D$2:$D$200,ISNUMBER(SEARCH(AD37,[1]Sheet1!$D$2:$D$200))))
)</f>
        <v>양양운수(주)</v>
      </c>
      <c r="T37" s="22" t="s">
        <v>243</v>
      </c>
      <c r="U37" s="16" t="str" cm="1">
        <f t="array" ref="U37">IF(
OR(AD37="",ISERROR(AD37)),
"-",
_xlfn.UNIQUE(_xlfn._xlws.FILTER([1]Sheet1!$D$2:$D$200,ISNUMBER(SEARCH(AD37,[1]Sheet1!$D$2:$D$200))))
)</f>
        <v>양양운수(주)</v>
      </c>
      <c r="V37" s="23">
        <v>150000</v>
      </c>
      <c r="W37" s="24">
        <v>130000</v>
      </c>
      <c r="X37" s="23">
        <f t="shared" si="0"/>
        <v>20000</v>
      </c>
      <c r="Y37" s="25" t="s">
        <v>246</v>
      </c>
      <c r="Z37" s="19" t="s">
        <v>51</v>
      </c>
      <c r="AA37" s="19" t="s">
        <v>81</v>
      </c>
      <c r="AB37" s="18" t="s">
        <v>247</v>
      </c>
      <c r="AC37" s="17" t="str">
        <f t="shared" si="1"/>
        <v>Y</v>
      </c>
      <c r="AD37" s="17" t="s">
        <v>238</v>
      </c>
      <c r="AF37" s="27" t="s">
        <v>55</v>
      </c>
      <c r="AG37" s="27" t="s">
        <v>55</v>
      </c>
      <c r="AI37" s="28" t="s">
        <v>228</v>
      </c>
    </row>
    <row r="38" spans="1:35" ht="34.950000000000003" customHeight="1" x14ac:dyDescent="0.4">
      <c r="A38" s="16" t="s">
        <v>36</v>
      </c>
      <c r="B38" s="16" t="s">
        <v>37</v>
      </c>
      <c r="C38" s="17">
        <v>45993</v>
      </c>
      <c r="D38" s="16" t="s">
        <v>248</v>
      </c>
      <c r="E38" s="16" t="s">
        <v>249</v>
      </c>
      <c r="F38" s="16">
        <v>21577</v>
      </c>
      <c r="G38" s="18" t="s">
        <v>250</v>
      </c>
      <c r="H38" s="16" t="s">
        <v>41</v>
      </c>
      <c r="I38" s="19" t="s">
        <v>42</v>
      </c>
      <c r="J38" s="16" t="str">
        <f>IFERROR(VLOOKUP(I38,[1]Sheet1!$A$1:$B$200,2,0),"_")</f>
        <v>P</v>
      </c>
      <c r="K38" s="19" t="s">
        <v>42</v>
      </c>
      <c r="L38" s="16" t="str">
        <f>IFERROR(VLOOKUP(K38,[1]Sheet1!$A$1:$B$200,2,0),"-")</f>
        <v>P</v>
      </c>
      <c r="M38" s="19" t="s">
        <v>251</v>
      </c>
      <c r="N38" s="16" t="str">
        <f>IFERROR(VLOOKUP(M38,[1]Sheet1!$G$2:$H$200,2,0),"-")</f>
        <v>SNKO</v>
      </c>
      <c r="O38" s="32" t="s">
        <v>252</v>
      </c>
      <c r="P38" s="17">
        <v>46000</v>
      </c>
      <c r="Q38" s="20" t="s">
        <v>253</v>
      </c>
      <c r="R38" s="20" t="s">
        <v>254</v>
      </c>
      <c r="S38" s="21" t="str" cm="1">
        <f t="array" ref="S38">IF(
OR(AD38="",ISERROR(AD38)),
"-",
_xlfn.UNIQUE(_xlfn._xlws.FILTER([1]Sheet1!$D$2:$D$200,ISNUMBER(SEARCH(AD38,[1]Sheet1!$D$2:$D$200))))
)</f>
        <v>에스지로지스틱</v>
      </c>
      <c r="T38" s="22" t="s">
        <v>255</v>
      </c>
      <c r="U38" s="16" t="str" cm="1">
        <f t="array" ref="U38">IF(
OR(AD38="",ISERROR(AD38)),
"-",
_xlfn.UNIQUE(_xlfn._xlws.FILTER([1]Sheet1!$D$2:$D$200,ISNUMBER(SEARCH(AD38,[1]Sheet1!$D$2:$D$200))))
)</f>
        <v>에스지로지스틱</v>
      </c>
      <c r="V38" s="23">
        <v>390000</v>
      </c>
      <c r="W38" s="24">
        <v>357000</v>
      </c>
      <c r="X38" s="23">
        <f t="shared" si="0"/>
        <v>33000</v>
      </c>
      <c r="Y38" s="25" t="s">
        <v>256</v>
      </c>
      <c r="Z38" s="19" t="s">
        <v>51</v>
      </c>
      <c r="AA38" s="19" t="s">
        <v>144</v>
      </c>
      <c r="AB38" s="18" t="s">
        <v>257</v>
      </c>
      <c r="AC38" s="17" t="str">
        <f t="shared" si="1"/>
        <v>Y</v>
      </c>
      <c r="AD38" s="17" t="s">
        <v>184</v>
      </c>
      <c r="AF38" s="27" t="s">
        <v>55</v>
      </c>
      <c r="AG38" s="27" t="s">
        <v>55</v>
      </c>
      <c r="AI38" s="28" t="s">
        <v>228</v>
      </c>
    </row>
    <row r="39" spans="1:35" ht="34.950000000000003" customHeight="1" x14ac:dyDescent="0.4">
      <c r="A39" s="16" t="s">
        <v>36</v>
      </c>
      <c r="B39" s="16" t="s">
        <v>37</v>
      </c>
      <c r="C39" s="17">
        <v>45993</v>
      </c>
      <c r="D39" s="16" t="s">
        <v>248</v>
      </c>
      <c r="E39" s="16" t="s">
        <v>249</v>
      </c>
      <c r="F39" s="16">
        <v>21577</v>
      </c>
      <c r="G39" s="18" t="s">
        <v>250</v>
      </c>
      <c r="H39" s="16" t="s">
        <v>41</v>
      </c>
      <c r="I39" s="19" t="s">
        <v>42</v>
      </c>
      <c r="J39" s="16" t="str">
        <f>IFERROR(VLOOKUP(I39,[1]Sheet1!$A$1:$B$200,2,0),"_")</f>
        <v>P</v>
      </c>
      <c r="K39" s="19" t="s">
        <v>42</v>
      </c>
      <c r="L39" s="16" t="str">
        <f>IFERROR(VLOOKUP(K39,[1]Sheet1!$A$1:$B$200,2,0),"-")</f>
        <v>P</v>
      </c>
      <c r="M39" s="19" t="s">
        <v>251</v>
      </c>
      <c r="N39" s="16" t="str">
        <f>IFERROR(VLOOKUP(M39,[1]Sheet1!$G$2:$H$200,2,0),"-")</f>
        <v>SNKO</v>
      </c>
      <c r="O39" s="32" t="s">
        <v>252</v>
      </c>
      <c r="P39" s="17">
        <v>46000</v>
      </c>
      <c r="Q39" s="20" t="s">
        <v>258</v>
      </c>
      <c r="R39" s="20" t="s">
        <v>259</v>
      </c>
      <c r="S39" s="21" t="str" cm="1">
        <f t="array" ref="S39">IF(
OR(AD39="",ISERROR(AD39)),
"-",
_xlfn.UNIQUE(_xlfn._xlws.FILTER([1]Sheet1!$D$2:$D$200,ISNUMBER(SEARCH(AD39,[1]Sheet1!$D$2:$D$200))))
)</f>
        <v>에스지로지스틱</v>
      </c>
      <c r="T39" s="22" t="s">
        <v>260</v>
      </c>
      <c r="U39" s="16" t="str" cm="1">
        <f t="array" ref="U39">IF(
OR(AD39="",ISERROR(AD39)),
"-",
_xlfn.UNIQUE(_xlfn._xlws.FILTER([1]Sheet1!$D$2:$D$200,ISNUMBER(SEARCH(AD39,[1]Sheet1!$D$2:$D$200))))
)</f>
        <v>에스지로지스틱</v>
      </c>
      <c r="V39" s="23">
        <v>390000</v>
      </c>
      <c r="W39" s="24">
        <v>357000</v>
      </c>
      <c r="X39" s="23">
        <f t="shared" si="0"/>
        <v>33000</v>
      </c>
      <c r="Y39" s="25" t="s">
        <v>256</v>
      </c>
      <c r="Z39" s="19" t="s">
        <v>51</v>
      </c>
      <c r="AA39" s="19" t="s">
        <v>144</v>
      </c>
      <c r="AB39" s="18" t="s">
        <v>257</v>
      </c>
      <c r="AC39" s="17" t="str">
        <f t="shared" si="1"/>
        <v>Y</v>
      </c>
      <c r="AD39" s="17" t="s">
        <v>184</v>
      </c>
      <c r="AF39" s="27" t="s">
        <v>55</v>
      </c>
      <c r="AG39" s="27" t="s">
        <v>55</v>
      </c>
      <c r="AI39" s="28" t="s">
        <v>228</v>
      </c>
    </row>
    <row r="40" spans="1:35" ht="34.950000000000003" customHeight="1" x14ac:dyDescent="0.4">
      <c r="A40" s="16" t="s">
        <v>36</v>
      </c>
      <c r="B40" s="16" t="s">
        <v>99</v>
      </c>
      <c r="C40" s="17">
        <v>45993</v>
      </c>
      <c r="D40" s="16" t="s">
        <v>261</v>
      </c>
      <c r="E40" s="16" t="s">
        <v>262</v>
      </c>
      <c r="F40" s="16">
        <v>28258</v>
      </c>
      <c r="G40" s="18" t="s">
        <v>263</v>
      </c>
      <c r="H40" s="16" t="s">
        <v>41</v>
      </c>
      <c r="I40" s="19" t="s">
        <v>129</v>
      </c>
      <c r="J40" s="16" t="str">
        <f>IFERROR(VLOOKUP(I40,[1]Sheet1!$A$1:$B$200,2,0),"_")</f>
        <v>E1</v>
      </c>
      <c r="K40" s="19" t="s">
        <v>129</v>
      </c>
      <c r="L40" s="16" t="str">
        <f>IFERROR(VLOOKUP(K40,[1]Sheet1!$A$1:$B$200,2,0),"-")</f>
        <v>E1</v>
      </c>
      <c r="M40" s="19" t="s">
        <v>264</v>
      </c>
      <c r="N40" s="16" t="str">
        <f>IFERROR(VLOOKUP(M40,[1]Sheet1!$G$2:$H$200,2,0),"-")</f>
        <v>TYSP</v>
      </c>
      <c r="O40" s="27" t="s">
        <v>265</v>
      </c>
      <c r="P40" s="17">
        <v>45995</v>
      </c>
      <c r="Q40" s="20" t="s">
        <v>266</v>
      </c>
      <c r="R40" s="20" t="s">
        <v>267</v>
      </c>
      <c r="S40" s="21" t="str" cm="1">
        <f t="array" ref="S40">IF(
OR(AD40="",ISERROR(AD40)),
"-",
_xlfn.UNIQUE(_xlfn._xlws.FILTER([1]Sheet1!$D$2:$D$200,ISNUMBER(SEARCH(AD40,[1]Sheet1!$D$2:$D$200))))
)</f>
        <v>태성종합물류</v>
      </c>
      <c r="T40" s="22" t="s">
        <v>268</v>
      </c>
      <c r="U40" s="16" t="str" cm="1">
        <f t="array" ref="U40">IF(
OR(AD40="",ISERROR(AD40)),
"-",
_xlfn.UNIQUE(_xlfn._xlws.FILTER([1]Sheet1!$D$2:$D$200,ISNUMBER(SEARCH(AD40,[1]Sheet1!$D$2:$D$200))))
)</f>
        <v>태성종합물류</v>
      </c>
      <c r="V40" s="23">
        <v>182000</v>
      </c>
      <c r="W40" s="24">
        <v>168600</v>
      </c>
      <c r="X40" s="23">
        <f t="shared" si="0"/>
        <v>13400</v>
      </c>
      <c r="Y40" s="25" t="s">
        <v>269</v>
      </c>
      <c r="Z40" s="19" t="s">
        <v>51</v>
      </c>
      <c r="AA40" s="19" t="s">
        <v>93</v>
      </c>
      <c r="AB40" s="18" t="s">
        <v>270</v>
      </c>
      <c r="AC40" s="17" t="str">
        <f t="shared" si="1"/>
        <v>Y</v>
      </c>
      <c r="AD40" s="17" t="s">
        <v>82</v>
      </c>
      <c r="AF40" s="27" t="s">
        <v>55</v>
      </c>
      <c r="AG40" s="27" t="s">
        <v>55</v>
      </c>
      <c r="AI40" s="28" t="s">
        <v>228</v>
      </c>
    </row>
    <row r="41" spans="1:35" ht="34.950000000000003" customHeight="1" x14ac:dyDescent="0.4">
      <c r="A41" s="16" t="s">
        <v>36</v>
      </c>
      <c r="B41" s="16" t="s">
        <v>37</v>
      </c>
      <c r="C41" s="17">
        <v>45993</v>
      </c>
      <c r="D41" s="16" t="s">
        <v>126</v>
      </c>
      <c r="E41" s="16" t="s">
        <v>271</v>
      </c>
      <c r="F41" s="16">
        <v>23704</v>
      </c>
      <c r="G41" s="18" t="s">
        <v>200</v>
      </c>
      <c r="H41" s="16" t="s">
        <v>210</v>
      </c>
      <c r="I41" s="19" t="s">
        <v>137</v>
      </c>
      <c r="J41" s="16" t="str">
        <f>IFERROR(VLOOKUP(I41,[1]Sheet1!$A$1:$B$200,2,0),"_")</f>
        <v>BE</v>
      </c>
      <c r="K41" s="19" t="s">
        <v>272</v>
      </c>
      <c r="L41" s="16" t="str">
        <f>IFERROR(VLOOKUP(K41,[1]Sheet1!$A$1:$B$200,2,0),"-")</f>
        <v>Z9</v>
      </c>
      <c r="M41" s="19" t="s">
        <v>273</v>
      </c>
      <c r="N41" s="16" t="str">
        <f>IFERROR(VLOOKUP(M41,[1]Sheet1!$G$2:$H$200,2,0),"-")</f>
        <v>DJSC</v>
      </c>
      <c r="O41" s="27" t="s">
        <v>274</v>
      </c>
      <c r="P41" s="17">
        <v>45995</v>
      </c>
      <c r="Q41" s="20" t="s">
        <v>275</v>
      </c>
      <c r="R41" s="20" t="s">
        <v>276</v>
      </c>
      <c r="S41" s="21" t="str" cm="1">
        <f t="array" ref="S41">IF(
OR(AD41="",ISERROR(AD41)),
"-",
_xlfn.UNIQUE(_xlfn._xlws.FILTER([1]Sheet1!$D$2:$D$200,ISNUMBER(SEARCH(AD41,[1]Sheet1!$D$2:$D$200))))
)</f>
        <v>양양운수(주)</v>
      </c>
      <c r="T41" s="22" t="s">
        <v>277</v>
      </c>
      <c r="U41" s="16" t="str" cm="1">
        <f t="array" ref="U41">IF(
OR(AD41="",ISERROR(AD41)),
"-",
_xlfn.UNIQUE(_xlfn._xlws.FILTER([1]Sheet1!$D$2:$D$200,ISNUMBER(SEARCH(AD41,[1]Sheet1!$D$2:$D$200))))
)</f>
        <v>양양운수(주)</v>
      </c>
      <c r="V41" s="23">
        <v>700000</v>
      </c>
      <c r="W41" s="24">
        <v>651900</v>
      </c>
      <c r="X41" s="23">
        <f t="shared" si="0"/>
        <v>48100</v>
      </c>
      <c r="Y41" s="25" t="s">
        <v>278</v>
      </c>
      <c r="Z41" s="19" t="s">
        <v>51</v>
      </c>
      <c r="AA41" s="19" t="s">
        <v>81</v>
      </c>
      <c r="AB41" s="18" t="s">
        <v>279</v>
      </c>
      <c r="AC41" s="17" t="str">
        <f t="shared" si="1"/>
        <v>Y</v>
      </c>
      <c r="AD41" s="17" t="s">
        <v>238</v>
      </c>
      <c r="AF41" s="27" t="s">
        <v>55</v>
      </c>
      <c r="AG41" s="27" t="s">
        <v>55</v>
      </c>
      <c r="AI41" s="28" t="s">
        <v>228</v>
      </c>
    </row>
    <row r="42" spans="1:35" ht="34.950000000000003" customHeight="1" x14ac:dyDescent="0.4">
      <c r="A42" s="16" t="s">
        <v>36</v>
      </c>
      <c r="B42" s="16" t="s">
        <v>37</v>
      </c>
      <c r="C42" s="17">
        <v>45993</v>
      </c>
      <c r="D42" s="16" t="s">
        <v>280</v>
      </c>
      <c r="E42" s="16" t="s">
        <v>281</v>
      </c>
      <c r="F42" s="16">
        <v>25997</v>
      </c>
      <c r="G42" s="18" t="s">
        <v>282</v>
      </c>
      <c r="H42" s="16" t="s">
        <v>41</v>
      </c>
      <c r="I42" s="19" t="s">
        <v>42</v>
      </c>
      <c r="J42" s="16" t="str">
        <f>IFERROR(VLOOKUP(I42,[1]Sheet1!$A$1:$B$200,2,0),"_")</f>
        <v>P</v>
      </c>
      <c r="K42" s="19" t="s">
        <v>42</v>
      </c>
      <c r="L42" s="16" t="str">
        <f>IFERROR(VLOOKUP(K42,[1]Sheet1!$A$1:$B$200,2,0),"-")</f>
        <v>P</v>
      </c>
      <c r="M42" s="19" t="s">
        <v>77</v>
      </c>
      <c r="N42" s="16" t="str">
        <f>IFERROR(VLOOKUP(M42,[1]Sheet1!$G$2:$H$200,2,0),"-")</f>
        <v>KMTC</v>
      </c>
      <c r="O42" s="27" t="s">
        <v>283</v>
      </c>
      <c r="P42" s="17">
        <v>46000</v>
      </c>
      <c r="Q42" s="20" t="s">
        <v>284</v>
      </c>
      <c r="R42" s="20" t="s">
        <v>285</v>
      </c>
      <c r="S42" s="21" t="str" cm="1">
        <f t="array" ref="S42">IF(
OR(AD42="",ISERROR(AD42)),
"-",
_xlfn.UNIQUE(_xlfn._xlws.FILTER([1]Sheet1!$D$2:$D$200,ISNUMBER(SEARCH(AD42,[1]Sheet1!$D$2:$D$200))))
)</f>
        <v>(주)비에스물류</v>
      </c>
      <c r="T42" s="22" t="s">
        <v>286</v>
      </c>
      <c r="U42" s="16" t="str" cm="1">
        <f t="array" ref="U42">IF(
OR(AD42="",ISERROR(AD42)),
"-",
_xlfn.UNIQUE(_xlfn._xlws.FILTER([1]Sheet1!$D$2:$D$200,ISNUMBER(SEARCH(AD42,[1]Sheet1!$D$2:$D$200))))
)</f>
        <v>(주)비에스물류</v>
      </c>
      <c r="V42" s="23">
        <v>770000</v>
      </c>
      <c r="W42" s="24">
        <v>732000</v>
      </c>
      <c r="X42" s="23">
        <f t="shared" si="0"/>
        <v>38000</v>
      </c>
      <c r="Y42" s="25" t="s">
        <v>287</v>
      </c>
      <c r="Z42" s="19" t="s">
        <v>51</v>
      </c>
      <c r="AA42" s="19" t="s">
        <v>115</v>
      </c>
      <c r="AC42" s="17" t="str">
        <f t="shared" si="1"/>
        <v>Y</v>
      </c>
      <c r="AD42" s="17" t="s">
        <v>288</v>
      </c>
      <c r="AE42" s="26" t="s">
        <v>289</v>
      </c>
      <c r="AF42" s="27" t="s">
        <v>55</v>
      </c>
      <c r="AG42" s="27" t="s">
        <v>55</v>
      </c>
      <c r="AI42" s="28" t="s">
        <v>228</v>
      </c>
    </row>
    <row r="43" spans="1:35" ht="34.950000000000003" customHeight="1" x14ac:dyDescent="0.4">
      <c r="A43" s="16" t="s">
        <v>36</v>
      </c>
      <c r="B43" s="16" t="s">
        <v>37</v>
      </c>
      <c r="C43" s="17">
        <v>45993</v>
      </c>
      <c r="D43" s="16" t="s">
        <v>280</v>
      </c>
      <c r="E43" s="16" t="s">
        <v>281</v>
      </c>
      <c r="F43" s="16">
        <v>25997</v>
      </c>
      <c r="G43" s="18" t="s">
        <v>282</v>
      </c>
      <c r="H43" s="16" t="s">
        <v>41</v>
      </c>
      <c r="I43" s="19" t="s">
        <v>42</v>
      </c>
      <c r="J43" s="16" t="str">
        <f>IFERROR(VLOOKUP(I43,[1]Sheet1!$A$1:$B$200,2,0),"_")</f>
        <v>P</v>
      </c>
      <c r="K43" s="19" t="s">
        <v>42</v>
      </c>
      <c r="L43" s="16" t="str">
        <f>IFERROR(VLOOKUP(K43,[1]Sheet1!$A$1:$B$200,2,0),"-")</f>
        <v>P</v>
      </c>
      <c r="M43" s="19" t="s">
        <v>77</v>
      </c>
      <c r="N43" s="16" t="str">
        <f>IFERROR(VLOOKUP(M43,[1]Sheet1!$G$2:$H$200,2,0),"-")</f>
        <v>KMTC</v>
      </c>
      <c r="O43" s="27" t="s">
        <v>283</v>
      </c>
      <c r="P43" s="17">
        <v>46000</v>
      </c>
      <c r="Q43" s="20" t="s">
        <v>290</v>
      </c>
      <c r="R43" s="20" t="s">
        <v>285</v>
      </c>
      <c r="S43" s="21" t="str" cm="1">
        <f t="array" ref="S43">IF(
OR(AD43="",ISERROR(AD43)),
"-",
_xlfn.UNIQUE(_xlfn._xlws.FILTER([1]Sheet1!$D$2:$D$200,ISNUMBER(SEARCH(AD43,[1]Sheet1!$D$2:$D$200))))
)</f>
        <v>디앤케이물류</v>
      </c>
      <c r="T43" s="22" t="s">
        <v>286</v>
      </c>
      <c r="U43" s="16" t="str" cm="1">
        <f t="array" ref="U43">IF(
OR(AD43="",ISERROR(AD43)),
"-",
_xlfn.UNIQUE(_xlfn._xlws.FILTER([1]Sheet1!$D$2:$D$200,ISNUMBER(SEARCH(AD43,[1]Sheet1!$D$2:$D$200))))
)</f>
        <v>디앤케이물류</v>
      </c>
      <c r="V43" s="23">
        <v>25000</v>
      </c>
      <c r="W43" s="23">
        <v>45000</v>
      </c>
      <c r="X43" s="23">
        <f t="shared" si="0"/>
        <v>-20000</v>
      </c>
      <c r="Y43" s="25" t="s">
        <v>287</v>
      </c>
      <c r="Z43" s="19" t="s">
        <v>51</v>
      </c>
      <c r="AA43" s="19" t="s">
        <v>115</v>
      </c>
      <c r="AB43" s="18" t="s">
        <v>291</v>
      </c>
      <c r="AC43" s="17" t="str">
        <f t="shared" si="1"/>
        <v>Y</v>
      </c>
      <c r="AD43" s="17" t="s">
        <v>292</v>
      </c>
      <c r="AE43" s="26" t="s">
        <v>289</v>
      </c>
      <c r="AF43" s="27" t="s">
        <v>55</v>
      </c>
      <c r="AG43" s="27" t="s">
        <v>55</v>
      </c>
      <c r="AI43" s="28" t="s">
        <v>228</v>
      </c>
    </row>
    <row r="44" spans="1:35" ht="34.950000000000003" customHeight="1" x14ac:dyDescent="0.4">
      <c r="A44" s="16" t="s">
        <v>36</v>
      </c>
      <c r="B44" s="16" t="s">
        <v>37</v>
      </c>
      <c r="C44" s="17">
        <v>45993</v>
      </c>
      <c r="D44" s="16" t="s">
        <v>280</v>
      </c>
      <c r="E44" s="16" t="s">
        <v>281</v>
      </c>
      <c r="F44" s="16">
        <v>25997</v>
      </c>
      <c r="G44" s="18" t="s">
        <v>282</v>
      </c>
      <c r="H44" s="16" t="s">
        <v>41</v>
      </c>
      <c r="I44" s="19" t="s">
        <v>42</v>
      </c>
      <c r="J44" s="16" t="str">
        <f>IFERROR(VLOOKUP(I44,[1]Sheet1!$A$1:$B$200,2,0),"_")</f>
        <v>P</v>
      </c>
      <c r="K44" s="19" t="s">
        <v>42</v>
      </c>
      <c r="L44" s="16" t="str">
        <f>IFERROR(VLOOKUP(K44,[1]Sheet1!$A$1:$B$200,2,0),"-")</f>
        <v>P</v>
      </c>
      <c r="M44" s="19" t="s">
        <v>77</v>
      </c>
      <c r="N44" s="16" t="str">
        <f>IFERROR(VLOOKUP(M44,[1]Sheet1!$G$2:$H$200,2,0),"-")</f>
        <v>KMTC</v>
      </c>
      <c r="O44" s="27" t="s">
        <v>283</v>
      </c>
      <c r="P44" s="17">
        <v>46000</v>
      </c>
      <c r="Q44" s="20" t="s">
        <v>293</v>
      </c>
      <c r="R44" s="20" t="s">
        <v>285</v>
      </c>
      <c r="S44" s="21" t="str" cm="1">
        <f t="array" ref="S44">IF(
OR(AD44="",ISERROR(AD44)),
"-",
_xlfn.UNIQUE(_xlfn._xlws.FILTER([1]Sheet1!$D$2:$D$200,ISNUMBER(SEARCH(AD44,[1]Sheet1!$D$2:$D$200))))
)</f>
        <v>디앤케이물류</v>
      </c>
      <c r="T44" s="22" t="s">
        <v>286</v>
      </c>
      <c r="U44" s="16" t="str" cm="1">
        <f t="array" ref="U44">IF(
OR(AD44="",ISERROR(AD44)),
"-",
_xlfn.UNIQUE(_xlfn._xlws.FILTER([1]Sheet1!$D$2:$D$200,ISNUMBER(SEARCH(AD44,[1]Sheet1!$D$2:$D$200))))
)</f>
        <v>디앤케이물류</v>
      </c>
      <c r="V44" s="23">
        <v>55000</v>
      </c>
      <c r="W44" s="24">
        <v>50000</v>
      </c>
      <c r="X44" s="23">
        <f t="shared" si="0"/>
        <v>5000</v>
      </c>
      <c r="Y44" s="25" t="s">
        <v>287</v>
      </c>
      <c r="Z44" s="19" t="s">
        <v>51</v>
      </c>
      <c r="AA44" s="19" t="s">
        <v>115</v>
      </c>
      <c r="AB44" s="18" t="s">
        <v>291</v>
      </c>
      <c r="AC44" s="17" t="str">
        <f t="shared" si="1"/>
        <v>Y</v>
      </c>
      <c r="AD44" s="17" t="s">
        <v>292</v>
      </c>
      <c r="AE44" s="26" t="s">
        <v>289</v>
      </c>
      <c r="AF44" s="27" t="s">
        <v>55</v>
      </c>
      <c r="AG44" s="27" t="s">
        <v>55</v>
      </c>
      <c r="AI44" s="28" t="s">
        <v>228</v>
      </c>
    </row>
    <row r="45" spans="1:35" ht="34.950000000000003" customHeight="1" x14ac:dyDescent="0.4">
      <c r="A45" s="16" t="s">
        <v>36</v>
      </c>
      <c r="B45" s="16" t="s">
        <v>37</v>
      </c>
      <c r="C45" s="17">
        <v>45993</v>
      </c>
      <c r="D45" s="16" t="s">
        <v>280</v>
      </c>
      <c r="E45" s="16" t="s">
        <v>281</v>
      </c>
      <c r="F45" s="16">
        <v>25997</v>
      </c>
      <c r="G45" s="18" t="s">
        <v>282</v>
      </c>
      <c r="H45" s="16" t="s">
        <v>41</v>
      </c>
      <c r="I45" s="19" t="s">
        <v>42</v>
      </c>
      <c r="J45" s="16" t="str">
        <f>IFERROR(VLOOKUP(I45,[1]Sheet1!$A$1:$B$200,2,0),"_")</f>
        <v>P</v>
      </c>
      <c r="K45" s="19" t="s">
        <v>42</v>
      </c>
      <c r="L45" s="16" t="str">
        <f>IFERROR(VLOOKUP(K45,[1]Sheet1!$A$1:$B$200,2,0),"-")</f>
        <v>P</v>
      </c>
      <c r="M45" s="19" t="s">
        <v>77</v>
      </c>
      <c r="N45" s="16" t="str">
        <f>IFERROR(VLOOKUP(M45,[1]Sheet1!$G$2:$H$200,2,0),"-")</f>
        <v>KMTC</v>
      </c>
      <c r="O45" s="27" t="s">
        <v>283</v>
      </c>
      <c r="P45" s="17">
        <v>46000</v>
      </c>
      <c r="Q45" s="20" t="s">
        <v>294</v>
      </c>
      <c r="R45" s="20" t="s">
        <v>285</v>
      </c>
      <c r="S45" s="21" t="str" cm="1">
        <f t="array" ref="S45">IF(
OR(AD45="",ISERROR(AD45)),
"-",
_xlfn.UNIQUE(_xlfn._xlws.FILTER([1]Sheet1!$D$2:$D$200,ISNUMBER(SEARCH(AD45,[1]Sheet1!$D$2:$D$200))))
)</f>
        <v>디앤케이물류</v>
      </c>
      <c r="T45" s="22" t="s">
        <v>286</v>
      </c>
      <c r="U45" s="16" t="str" cm="1">
        <f t="array" ref="U45">IF(
OR(AD45="",ISERROR(AD45)),
"-",
_xlfn.UNIQUE(_xlfn._xlws.FILTER([1]Sheet1!$D$2:$D$200,ISNUMBER(SEARCH(AD45,[1]Sheet1!$D$2:$D$200))))
)</f>
        <v>디앤케이물류</v>
      </c>
      <c r="V45" s="23">
        <v>45000</v>
      </c>
      <c r="W45" s="24">
        <v>50000</v>
      </c>
      <c r="X45" s="23">
        <f t="shared" si="0"/>
        <v>-5000</v>
      </c>
      <c r="Y45" s="25" t="s">
        <v>287</v>
      </c>
      <c r="Z45" s="19" t="s">
        <v>51</v>
      </c>
      <c r="AA45" s="19" t="s">
        <v>115</v>
      </c>
      <c r="AB45" s="18" t="s">
        <v>291</v>
      </c>
      <c r="AC45" s="17" t="str">
        <f t="shared" si="1"/>
        <v>Y</v>
      </c>
      <c r="AD45" s="17" t="s">
        <v>292</v>
      </c>
      <c r="AE45" s="26" t="s">
        <v>289</v>
      </c>
      <c r="AF45" s="27" t="s">
        <v>55</v>
      </c>
      <c r="AG45" s="27" t="s">
        <v>55</v>
      </c>
      <c r="AI45" s="28" t="s">
        <v>228</v>
      </c>
    </row>
    <row r="46" spans="1:35" ht="34.950000000000003" customHeight="1" x14ac:dyDescent="0.4">
      <c r="A46" s="16" t="s">
        <v>36</v>
      </c>
      <c r="B46" s="16" t="s">
        <v>37</v>
      </c>
      <c r="C46" s="17">
        <v>45993</v>
      </c>
      <c r="D46" s="16" t="s">
        <v>188</v>
      </c>
      <c r="E46" s="16" t="s">
        <v>295</v>
      </c>
      <c r="F46" s="16">
        <v>14449</v>
      </c>
      <c r="G46" s="18" t="s">
        <v>296</v>
      </c>
      <c r="H46" s="16" t="s">
        <v>41</v>
      </c>
      <c r="I46" s="19" t="s">
        <v>42</v>
      </c>
      <c r="J46" s="16" t="str">
        <f>IFERROR(VLOOKUP(I46,[1]Sheet1!$A$1:$B$200,2,0),"_")</f>
        <v>P</v>
      </c>
      <c r="K46" s="19" t="s">
        <v>42</v>
      </c>
      <c r="L46" s="16" t="str">
        <f>IFERROR(VLOOKUP(K46,[1]Sheet1!$A$1:$B$200,2,0),"-")</f>
        <v>P</v>
      </c>
      <c r="M46" s="19" t="s">
        <v>130</v>
      </c>
      <c r="N46" s="16" t="str">
        <f>IFERROR(VLOOKUP(M46,[1]Sheet1!$G$2:$H$200,2,0),"-")</f>
        <v>PCLU</v>
      </c>
      <c r="O46" s="27" t="s">
        <v>297</v>
      </c>
      <c r="P46" s="17">
        <v>45997</v>
      </c>
      <c r="Q46" s="20" t="s">
        <v>298</v>
      </c>
      <c r="R46" s="20" t="s">
        <v>299</v>
      </c>
      <c r="S46" s="21" t="str" cm="1">
        <f t="array" ref="S46">IF(
OR(AD46="",ISERROR(AD46)),
"-",
_xlfn.UNIQUE(_xlfn._xlws.FILTER([1]Sheet1!$D$2:$D$200,ISNUMBER(SEARCH(AD46,[1]Sheet1!$D$2:$D$200))))
)</f>
        <v>에스지로지스틱</v>
      </c>
      <c r="T46" s="22" t="s">
        <v>300</v>
      </c>
      <c r="U46" s="16" t="str" cm="1">
        <f t="array" ref="U46">IF(
OR(AD46="",ISERROR(AD46)),
"-",
_xlfn.UNIQUE(_xlfn._xlws.FILTER([1]Sheet1!$D$2:$D$200,ISNUMBER(SEARCH(AD46,[1]Sheet1!$D$2:$D$200))))
)</f>
        <v>에스지로지스틱</v>
      </c>
      <c r="V46" s="23">
        <v>700000</v>
      </c>
      <c r="W46" s="24">
        <v>608000</v>
      </c>
      <c r="X46" s="23">
        <f t="shared" si="0"/>
        <v>92000</v>
      </c>
      <c r="Y46" s="25" t="s">
        <v>301</v>
      </c>
      <c r="Z46" s="19" t="s">
        <v>51</v>
      </c>
      <c r="AA46" s="19" t="s">
        <v>81</v>
      </c>
      <c r="AC46" s="17" t="str">
        <f t="shared" si="1"/>
        <v>Y</v>
      </c>
      <c r="AD46" s="17" t="s">
        <v>184</v>
      </c>
      <c r="AF46" s="27" t="s">
        <v>55</v>
      </c>
      <c r="AG46" s="27" t="s">
        <v>55</v>
      </c>
      <c r="AI46" s="28" t="s">
        <v>228</v>
      </c>
    </row>
    <row r="47" spans="1:35" ht="34.950000000000003" customHeight="1" x14ac:dyDescent="0.4">
      <c r="A47" s="16" t="s">
        <v>36</v>
      </c>
      <c r="B47" s="16" t="s">
        <v>37</v>
      </c>
      <c r="C47" s="17">
        <v>45993</v>
      </c>
      <c r="D47" s="16" t="s">
        <v>188</v>
      </c>
      <c r="E47" s="16" t="s">
        <v>295</v>
      </c>
      <c r="F47" s="16">
        <v>14449</v>
      </c>
      <c r="G47" s="18" t="s">
        <v>296</v>
      </c>
      <c r="H47" s="16" t="s">
        <v>41</v>
      </c>
      <c r="I47" s="19" t="s">
        <v>42</v>
      </c>
      <c r="J47" s="16" t="str">
        <f>IFERROR(VLOOKUP(I47,[1]Sheet1!$A$1:$B$200,2,0),"_")</f>
        <v>P</v>
      </c>
      <c r="K47" s="19" t="s">
        <v>42</v>
      </c>
      <c r="L47" s="16" t="str">
        <f>IFERROR(VLOOKUP(K47,[1]Sheet1!$A$1:$B$200,2,0),"-")</f>
        <v>P</v>
      </c>
      <c r="M47" s="19" t="s">
        <v>130</v>
      </c>
      <c r="N47" s="16" t="str">
        <f>IFERROR(VLOOKUP(M47,[1]Sheet1!$G$2:$H$200,2,0),"-")</f>
        <v>PCLU</v>
      </c>
      <c r="O47" s="27" t="s">
        <v>297</v>
      </c>
      <c r="P47" s="17">
        <v>45997</v>
      </c>
      <c r="Q47" s="20" t="s">
        <v>298</v>
      </c>
      <c r="R47" s="20" t="s">
        <v>299</v>
      </c>
      <c r="S47" s="21" t="str" cm="1">
        <f t="array" ref="S47">IF(
OR(AD47="",ISERROR(AD47)),
"-",
_xlfn.UNIQUE(_xlfn._xlws.FILTER([1]Sheet1!$D$2:$D$200,ISNUMBER(SEARCH(AD47,[1]Sheet1!$D$2:$D$200))))
)</f>
        <v>디앤케이물류</v>
      </c>
      <c r="T47" s="22" t="s">
        <v>300</v>
      </c>
      <c r="U47" s="16" t="str" cm="1">
        <f t="array" ref="U47">IF(
OR(AD47="",ISERROR(AD47)),
"-",
_xlfn.UNIQUE(_xlfn._xlws.FILTER([1]Sheet1!$D$2:$D$200,ISNUMBER(SEARCH(AD47,[1]Sheet1!$D$2:$D$200))))
)</f>
        <v>디앤케이물류</v>
      </c>
      <c r="V47" s="23">
        <v>140000</v>
      </c>
      <c r="W47" s="24">
        <v>125000</v>
      </c>
      <c r="X47" s="23">
        <f t="shared" si="0"/>
        <v>15000</v>
      </c>
      <c r="Y47" s="25" t="s">
        <v>302</v>
      </c>
      <c r="Z47" s="19" t="s">
        <v>51</v>
      </c>
      <c r="AA47" s="19" t="s">
        <v>81</v>
      </c>
      <c r="AB47" s="18" t="s">
        <v>303</v>
      </c>
      <c r="AC47" s="17" t="str">
        <f t="shared" si="1"/>
        <v>Y</v>
      </c>
      <c r="AD47" s="17" t="s">
        <v>292</v>
      </c>
      <c r="AF47" s="27" t="s">
        <v>55</v>
      </c>
      <c r="AG47" s="27" t="s">
        <v>55</v>
      </c>
      <c r="AI47" s="28" t="s">
        <v>228</v>
      </c>
    </row>
    <row r="48" spans="1:35" ht="34.950000000000003" customHeight="1" x14ac:dyDescent="0.4">
      <c r="A48" s="16" t="s">
        <v>71</v>
      </c>
      <c r="B48" s="16" t="s">
        <v>99</v>
      </c>
      <c r="C48" s="17">
        <v>45993</v>
      </c>
      <c r="D48" s="16" t="s">
        <v>117</v>
      </c>
      <c r="E48" s="16" t="s">
        <v>149</v>
      </c>
      <c r="F48" s="16">
        <v>28090</v>
      </c>
      <c r="G48" s="18" t="s">
        <v>150</v>
      </c>
      <c r="H48" s="16" t="s">
        <v>41</v>
      </c>
      <c r="I48" s="19" t="s">
        <v>76</v>
      </c>
      <c r="J48" s="16" t="str">
        <f>IFERROR(VLOOKUP(I48,[1]Sheet1!$A$1:$B$200,2,0),"_")</f>
        <v>NJ</v>
      </c>
      <c r="K48" s="19" t="s">
        <v>76</v>
      </c>
      <c r="L48" s="16" t="str">
        <f>IFERROR(VLOOKUP(K48,[1]Sheet1!$A$1:$B$200,2,0),"-")</f>
        <v>NJ</v>
      </c>
      <c r="M48" s="19" t="s">
        <v>304</v>
      </c>
      <c r="N48" s="16" t="str">
        <f>IFERROR(VLOOKUP(M48,[1]Sheet1!$G$2:$H$200,2,0),"-")</f>
        <v>DJSC</v>
      </c>
      <c r="O48" s="31" t="s">
        <v>55</v>
      </c>
      <c r="P48" s="17" t="s">
        <v>55</v>
      </c>
      <c r="Q48" s="20" t="s">
        <v>305</v>
      </c>
      <c r="R48" s="20"/>
      <c r="S48" s="21" t="str" cm="1">
        <f t="array" ref="S48">IF(
OR(AD48="",ISERROR(AD48)),
"-",
_xlfn.UNIQUE(_xlfn._xlws.FILTER([1]Sheet1!$D$2:$D$200,ISNUMBER(SEARCH(AD48,[1]Sheet1!$D$2:$D$200))))
)</f>
        <v>태성종합물류</v>
      </c>
      <c r="T48" s="22" t="s">
        <v>306</v>
      </c>
      <c r="U48" s="16" t="str" cm="1">
        <f t="array" ref="U48">IF(
OR(AD48="",ISERROR(AD48)),
"-",
_xlfn.UNIQUE(_xlfn._xlws.FILTER([1]Sheet1!$D$2:$D$200,ISNUMBER(SEARCH(AD48,[1]Sheet1!$D$2:$D$200))))
)</f>
        <v>태성종합물류</v>
      </c>
      <c r="V48" s="23">
        <v>415000</v>
      </c>
      <c r="W48" s="24">
        <v>388200</v>
      </c>
      <c r="X48" s="23">
        <f t="shared" si="0"/>
        <v>26800</v>
      </c>
      <c r="Y48" s="25" t="s">
        <v>307</v>
      </c>
      <c r="Z48" s="19" t="s">
        <v>51</v>
      </c>
      <c r="AA48" s="19" t="s">
        <v>93</v>
      </c>
      <c r="AC48" s="17" t="str">
        <f t="shared" si="1"/>
        <v>Y</v>
      </c>
      <c r="AD48" s="17" t="s">
        <v>82</v>
      </c>
      <c r="AF48" s="27" t="s">
        <v>55</v>
      </c>
      <c r="AG48" s="27" t="s">
        <v>55</v>
      </c>
      <c r="AI48" s="28" t="s">
        <v>57</v>
      </c>
    </row>
    <row r="49" spans="1:35" ht="34.950000000000003" customHeight="1" x14ac:dyDescent="0.4">
      <c r="A49" s="16" t="s">
        <v>71</v>
      </c>
      <c r="B49" s="16" t="s">
        <v>37</v>
      </c>
      <c r="C49" s="17">
        <v>45993</v>
      </c>
      <c r="D49" s="16" t="s">
        <v>308</v>
      </c>
      <c r="E49" s="16" t="s">
        <v>309</v>
      </c>
      <c r="F49" s="16">
        <v>28772</v>
      </c>
      <c r="G49" s="18" t="s">
        <v>310</v>
      </c>
      <c r="H49" s="16" t="s">
        <v>41</v>
      </c>
      <c r="I49" s="19" t="s">
        <v>76</v>
      </c>
      <c r="J49" s="16" t="str">
        <f>IFERROR(VLOOKUP(I49,[1]Sheet1!$A$1:$B$200,2,0),"_")</f>
        <v>NJ</v>
      </c>
      <c r="K49" s="19" t="s">
        <v>76</v>
      </c>
      <c r="L49" s="16" t="str">
        <f>IFERROR(VLOOKUP(K49,[1]Sheet1!$A$1:$B$200,2,0),"-")</f>
        <v>NJ</v>
      </c>
      <c r="M49" s="19" t="s">
        <v>311</v>
      </c>
      <c r="N49" s="16" t="str">
        <f>IFERROR(VLOOKUP(M49,[1]Sheet1!$G$2:$H$200,2,0),"-")</f>
        <v>COSU</v>
      </c>
      <c r="O49" s="31" t="s">
        <v>55</v>
      </c>
      <c r="P49" s="17" t="s">
        <v>55</v>
      </c>
      <c r="Q49" s="20" t="s">
        <v>312</v>
      </c>
      <c r="R49" s="20"/>
      <c r="S49" s="21" t="str" cm="1">
        <f t="array" ref="S49">IF(
OR(AD49="",ISERROR(AD49)),
"-",
_xlfn.UNIQUE(_xlfn._xlws.FILTER([1]Sheet1!$D$2:$D$200,ISNUMBER(SEARCH(AD49,[1]Sheet1!$D$2:$D$200))))
)</f>
        <v>태성종합물류</v>
      </c>
      <c r="T49" s="22" t="s">
        <v>313</v>
      </c>
      <c r="U49" s="16" t="str" cm="1">
        <f t="array" ref="U49">IF(
OR(AD49="",ISERROR(AD49)),
"-",
_xlfn.UNIQUE(_xlfn._xlws.FILTER([1]Sheet1!$D$2:$D$200,ISNUMBER(SEARCH(AD49,[1]Sheet1!$D$2:$D$200))))
)</f>
        <v>태성종합물류</v>
      </c>
      <c r="V49" s="23">
        <v>415000</v>
      </c>
      <c r="W49" s="24">
        <v>388200</v>
      </c>
      <c r="X49" s="23">
        <f t="shared" si="0"/>
        <v>26800</v>
      </c>
      <c r="Y49" s="25" t="s">
        <v>314</v>
      </c>
      <c r="Z49" s="19" t="s">
        <v>51</v>
      </c>
      <c r="AA49" s="19" t="s">
        <v>93</v>
      </c>
      <c r="AC49" s="17" t="str">
        <f t="shared" si="1"/>
        <v>Y</v>
      </c>
      <c r="AD49" s="17" t="s">
        <v>82</v>
      </c>
      <c r="AF49" s="27" t="s">
        <v>55</v>
      </c>
      <c r="AG49" s="27" t="s">
        <v>55</v>
      </c>
      <c r="AI49" s="28" t="s">
        <v>57</v>
      </c>
    </row>
    <row r="50" spans="1:35" ht="34.950000000000003" customHeight="1" x14ac:dyDescent="0.4">
      <c r="A50" s="16" t="s">
        <v>36</v>
      </c>
      <c r="B50" s="16" t="s">
        <v>37</v>
      </c>
      <c r="C50" s="17">
        <v>45993</v>
      </c>
      <c r="D50" s="16" t="s">
        <v>248</v>
      </c>
      <c r="E50" s="16" t="s">
        <v>315</v>
      </c>
      <c r="F50" s="16">
        <v>24022</v>
      </c>
      <c r="G50" s="18" t="s">
        <v>316</v>
      </c>
      <c r="H50" s="16" t="s">
        <v>41</v>
      </c>
      <c r="I50" s="19" t="s">
        <v>317</v>
      </c>
      <c r="J50" s="16" t="str">
        <f>IFERROR(VLOOKUP(I50,[1]Sheet1!$A$1:$B$200,2,0),"_")</f>
        <v>HN</v>
      </c>
      <c r="K50" s="19" t="s">
        <v>317</v>
      </c>
      <c r="L50" s="16" t="str">
        <f>IFERROR(VLOOKUP(K50,[1]Sheet1!$A$1:$B$200,2,0),"-")</f>
        <v>HN</v>
      </c>
      <c r="M50" s="19" t="s">
        <v>318</v>
      </c>
      <c r="N50" s="16" t="str">
        <f>IFERROR(VLOOKUP(M50,[1]Sheet1!$G$2:$H$200,2,0),"-")</f>
        <v>SM</v>
      </c>
      <c r="O50" s="27" t="s">
        <v>319</v>
      </c>
      <c r="P50" s="17">
        <v>46000</v>
      </c>
      <c r="Q50" s="20" t="s">
        <v>320</v>
      </c>
      <c r="R50" s="20" t="s">
        <v>321</v>
      </c>
      <c r="S50" s="21" t="str" cm="1">
        <f t="array" ref="S50">IF(
OR(AD50="",ISERROR(AD50)),
"-",
_xlfn.UNIQUE(_xlfn._xlws.FILTER([1]Sheet1!$D$2:$D$200,ISNUMBER(SEARCH(AD50,[1]Sheet1!$D$2:$D$200))))
)</f>
        <v>에이치엔엘트랜스</v>
      </c>
      <c r="T50" s="22" t="s">
        <v>322</v>
      </c>
      <c r="U50" s="16" t="str" cm="1">
        <f t="array" ref="U50">IF(
OR(AD50="",ISERROR(AD50)),
"-",
_xlfn.UNIQUE(_xlfn._xlws.FILTER([1]Sheet1!$D$2:$D$200,ISNUMBER(SEARCH(AD50,[1]Sheet1!$D$2:$D$200))))
)</f>
        <v>에이치엔엘트랜스</v>
      </c>
      <c r="V50" s="23">
        <v>418000</v>
      </c>
      <c r="W50" s="24">
        <v>385000</v>
      </c>
      <c r="X50" s="23">
        <f t="shared" si="0"/>
        <v>33000</v>
      </c>
      <c r="Y50" s="25" t="s">
        <v>323</v>
      </c>
      <c r="Z50" s="19" t="s">
        <v>51</v>
      </c>
      <c r="AA50" s="19" t="s">
        <v>144</v>
      </c>
      <c r="AC50" s="17" t="str">
        <f t="shared" si="1"/>
        <v>Y</v>
      </c>
      <c r="AD50" s="17" t="s">
        <v>324</v>
      </c>
      <c r="AF50" s="27" t="s">
        <v>55</v>
      </c>
      <c r="AG50" s="27" t="s">
        <v>55</v>
      </c>
      <c r="AI50" s="28" t="s">
        <v>57</v>
      </c>
    </row>
    <row r="51" spans="1:35" ht="34.950000000000003" customHeight="1" x14ac:dyDescent="0.4">
      <c r="A51" s="16" t="s">
        <v>36</v>
      </c>
      <c r="B51" s="16" t="s">
        <v>37</v>
      </c>
      <c r="C51" s="17">
        <v>45993</v>
      </c>
      <c r="D51" s="16" t="s">
        <v>325</v>
      </c>
      <c r="E51" s="16" t="s">
        <v>326</v>
      </c>
      <c r="F51" s="16">
        <v>27461</v>
      </c>
      <c r="G51" s="18" t="s">
        <v>327</v>
      </c>
      <c r="H51" s="16" t="s">
        <v>41</v>
      </c>
      <c r="I51" s="19" t="s">
        <v>328</v>
      </c>
      <c r="J51" s="16" t="str">
        <f>IFERROR(VLOOKUP(I51,[1]Sheet1!$A$1:$B$200,2,0),"_")</f>
        <v>BT</v>
      </c>
      <c r="K51" s="19" t="s">
        <v>328</v>
      </c>
      <c r="L51" s="16" t="str">
        <f>IFERROR(VLOOKUP(K51,[1]Sheet1!$A$1:$B$200,2,0),"-")</f>
        <v>BT</v>
      </c>
      <c r="M51" s="19" t="s">
        <v>211</v>
      </c>
      <c r="N51" s="16" t="str">
        <f>IFERROR(VLOOKUP(M51,[1]Sheet1!$G$2:$H$200,2,0),"-")</f>
        <v>SITC</v>
      </c>
      <c r="O51" s="27" t="s">
        <v>329</v>
      </c>
      <c r="P51" s="17">
        <v>45994</v>
      </c>
      <c r="Q51" s="20" t="s">
        <v>330</v>
      </c>
      <c r="R51" s="20" t="s">
        <v>331</v>
      </c>
      <c r="S51" s="21" t="str" cm="1">
        <f t="array" ref="S51">IF(
OR(AD51="",ISERROR(AD51)),
"-",
_xlfn.UNIQUE(_xlfn._xlws.FILTER([1]Sheet1!$D$2:$D$200,ISNUMBER(SEARCH(AD51,[1]Sheet1!$D$2:$D$200))))
)</f>
        <v>에스지로지스틱</v>
      </c>
      <c r="T51" s="22" t="s">
        <v>332</v>
      </c>
      <c r="U51" s="16" t="str" cm="1">
        <f t="array" ref="U51">IF(
OR(AD51="",ISERROR(AD51)),
"-",
_xlfn.UNIQUE(_xlfn._xlws.FILTER([1]Sheet1!$D$2:$D$200,ISNUMBER(SEARCH(AD51,[1]Sheet1!$D$2:$D$200))))
)</f>
        <v>에스지로지스틱</v>
      </c>
      <c r="V51" s="23">
        <v>270000</v>
      </c>
      <c r="W51" s="24">
        <v>219000</v>
      </c>
      <c r="X51" s="23">
        <f t="shared" si="0"/>
        <v>51000</v>
      </c>
      <c r="Y51" s="25" t="s">
        <v>333</v>
      </c>
      <c r="Z51" s="19" t="s">
        <v>51</v>
      </c>
      <c r="AA51" s="19" t="s">
        <v>93</v>
      </c>
      <c r="AB51" s="18" t="s">
        <v>257</v>
      </c>
      <c r="AC51" s="17" t="str">
        <f t="shared" si="1"/>
        <v>Y</v>
      </c>
      <c r="AD51" s="17" t="s">
        <v>184</v>
      </c>
      <c r="AF51" s="27" t="s">
        <v>55</v>
      </c>
      <c r="AG51" s="27" t="s">
        <v>55</v>
      </c>
      <c r="AI51" s="28" t="s">
        <v>57</v>
      </c>
    </row>
    <row r="52" spans="1:35" ht="34.950000000000003" customHeight="1" x14ac:dyDescent="0.4">
      <c r="A52" s="16" t="s">
        <v>71</v>
      </c>
      <c r="B52" s="16" t="s">
        <v>37</v>
      </c>
      <c r="C52" s="17">
        <v>45993</v>
      </c>
      <c r="D52" s="16" t="s">
        <v>155</v>
      </c>
      <c r="E52" s="16" t="s">
        <v>334</v>
      </c>
      <c r="F52" s="16">
        <v>28518</v>
      </c>
      <c r="G52" s="18" t="s">
        <v>157</v>
      </c>
      <c r="H52" s="16" t="s">
        <v>59</v>
      </c>
      <c r="I52" s="19" t="s">
        <v>62</v>
      </c>
      <c r="J52" s="16" t="str">
        <f>IFERROR(VLOOKUP(I52,[1]Sheet1!$A$1:$B$200,2,0),"_")</f>
        <v>Y1</v>
      </c>
      <c r="K52" s="19" t="s">
        <v>158</v>
      </c>
      <c r="L52" s="16" t="str">
        <f>IFERROR(VLOOKUP(K52,[1]Sheet1!$A$1:$B$200,2,0),"-")</f>
        <v>DG</v>
      </c>
      <c r="M52" s="19" t="s">
        <v>159</v>
      </c>
      <c r="N52" s="16" t="str">
        <f>IFERROR(VLOOKUP(M52,[1]Sheet1!$G$2:$H$200,2,0),"-")</f>
        <v>MAEU</v>
      </c>
      <c r="O52" s="31" t="s">
        <v>55</v>
      </c>
      <c r="P52" s="17" t="s">
        <v>55</v>
      </c>
      <c r="Q52" s="20" t="s">
        <v>160</v>
      </c>
      <c r="R52" s="20"/>
      <c r="S52" s="21" t="str" cm="1">
        <f t="array" ref="S52">IF(
OR(AD52="",ISERROR(AD52)),
"-",
_xlfn.UNIQUE(_xlfn._xlws.FILTER([1]Sheet1!$D$2:$D$200,ISNUMBER(SEARCH(AD52,[1]Sheet1!$D$2:$D$200))))
)</f>
        <v>(주)유진로직스</v>
      </c>
      <c r="T52" s="22" t="s">
        <v>335</v>
      </c>
      <c r="U52" s="16" t="str" cm="1">
        <f t="array" ref="U52">IF(
OR(AD52="",ISERROR(AD52)),
"-",
_xlfn.UNIQUE(_xlfn._xlws.FILTER([1]Sheet1!$D$2:$D$200,ISNUMBER(SEARCH(AD52,[1]Sheet1!$D$2:$D$200))))
)</f>
        <v>(주)유진로직스</v>
      </c>
      <c r="V52" s="23">
        <v>380000</v>
      </c>
      <c r="W52" s="24">
        <v>350000</v>
      </c>
      <c r="X52" s="23">
        <f t="shared" si="0"/>
        <v>30000</v>
      </c>
      <c r="Y52" s="25" t="s">
        <v>336</v>
      </c>
      <c r="Z52" s="19" t="s">
        <v>51</v>
      </c>
      <c r="AA52" s="19" t="s">
        <v>144</v>
      </c>
      <c r="AC52" s="17" t="str">
        <f t="shared" si="1"/>
        <v>Y</v>
      </c>
      <c r="AD52" s="17" t="s">
        <v>70</v>
      </c>
      <c r="AF52" s="27" t="s">
        <v>55</v>
      </c>
      <c r="AG52" s="27" t="s">
        <v>55</v>
      </c>
      <c r="AI52" s="28" t="s">
        <v>57</v>
      </c>
    </row>
    <row r="53" spans="1:35" ht="34.950000000000003" customHeight="1" x14ac:dyDescent="0.4">
      <c r="A53" s="16" t="s">
        <v>71</v>
      </c>
      <c r="B53" s="16" t="s">
        <v>37</v>
      </c>
      <c r="C53" s="17">
        <v>45993</v>
      </c>
      <c r="D53" s="16" t="s">
        <v>155</v>
      </c>
      <c r="E53" s="16" t="s">
        <v>334</v>
      </c>
      <c r="F53" s="16">
        <v>28518</v>
      </c>
      <c r="G53" s="18" t="s">
        <v>157</v>
      </c>
      <c r="H53" s="16" t="s">
        <v>59</v>
      </c>
      <c r="I53" s="19" t="s">
        <v>62</v>
      </c>
      <c r="J53" s="16" t="str">
        <f>IFERROR(VLOOKUP(I53,[1]Sheet1!$A$1:$B$200,2,0),"_")</f>
        <v>Y1</v>
      </c>
      <c r="K53" s="19" t="s">
        <v>158</v>
      </c>
      <c r="L53" s="16" t="str">
        <f>IFERROR(VLOOKUP(K53,[1]Sheet1!$A$1:$B$200,2,0),"-")</f>
        <v>DG</v>
      </c>
      <c r="M53" s="19" t="s">
        <v>159</v>
      </c>
      <c r="N53" s="16" t="str">
        <f>IFERROR(VLOOKUP(M53,[1]Sheet1!$G$2:$H$200,2,0),"-")</f>
        <v>MAEU</v>
      </c>
      <c r="O53" s="31" t="s">
        <v>55</v>
      </c>
      <c r="P53" s="17" t="s">
        <v>55</v>
      </c>
      <c r="Q53" s="20" t="s">
        <v>160</v>
      </c>
      <c r="R53" s="20"/>
      <c r="S53" s="21" t="str" cm="1">
        <f t="array" ref="S53">IF(
OR(AD53="",ISERROR(AD53)),
"-",
_xlfn.UNIQUE(_xlfn._xlws.FILTER([1]Sheet1!$D$2:$D$200,ISNUMBER(SEARCH(AD53,[1]Sheet1!$D$2:$D$200))))
)</f>
        <v>(주)유진로직스</v>
      </c>
      <c r="T53" s="22" t="s">
        <v>337</v>
      </c>
      <c r="U53" s="16" t="str" cm="1">
        <f t="array" ref="U53">IF(
OR(AD53="",ISERROR(AD53)),
"-",
_xlfn.UNIQUE(_xlfn._xlws.FILTER([1]Sheet1!$D$2:$D$200,ISNUMBER(SEARCH(AD53,[1]Sheet1!$D$2:$D$200))))
)</f>
        <v>(주)유진로직스</v>
      </c>
      <c r="V53" s="23">
        <v>380000</v>
      </c>
      <c r="W53" s="24">
        <v>350000</v>
      </c>
      <c r="X53" s="23">
        <f t="shared" si="0"/>
        <v>30000</v>
      </c>
      <c r="Y53" s="25" t="s">
        <v>338</v>
      </c>
      <c r="Z53" s="19" t="s">
        <v>51</v>
      </c>
      <c r="AA53" s="19" t="s">
        <v>144</v>
      </c>
      <c r="AC53" s="17" t="str">
        <f t="shared" si="1"/>
        <v>Y</v>
      </c>
      <c r="AD53" s="17" t="s">
        <v>70</v>
      </c>
      <c r="AF53" s="27" t="s">
        <v>55</v>
      </c>
      <c r="AG53" s="27" t="s">
        <v>55</v>
      </c>
      <c r="AI53" s="28" t="s">
        <v>57</v>
      </c>
    </row>
    <row r="54" spans="1:35" ht="34.950000000000003" customHeight="1" x14ac:dyDescent="0.4">
      <c r="A54" s="16" t="s">
        <v>71</v>
      </c>
      <c r="B54" s="16" t="s">
        <v>37</v>
      </c>
      <c r="C54" s="17">
        <v>45993</v>
      </c>
      <c r="D54" s="16" t="s">
        <v>155</v>
      </c>
      <c r="E54" s="16" t="s">
        <v>156</v>
      </c>
      <c r="F54" s="16">
        <v>28518</v>
      </c>
      <c r="G54" s="18" t="s">
        <v>157</v>
      </c>
      <c r="H54" s="16" t="s">
        <v>59</v>
      </c>
      <c r="I54" s="19" t="s">
        <v>62</v>
      </c>
      <c r="J54" s="16" t="str">
        <f>IFERROR(VLOOKUP(I54,[1]Sheet1!$A$1:$B$200,2,0),"_")</f>
        <v>Y1</v>
      </c>
      <c r="K54" s="19" t="s">
        <v>158</v>
      </c>
      <c r="L54" s="16" t="str">
        <f>IFERROR(VLOOKUP(K54,[1]Sheet1!$A$1:$B$200,2,0),"-")</f>
        <v>DG</v>
      </c>
      <c r="M54" s="19" t="s">
        <v>159</v>
      </c>
      <c r="N54" s="16" t="str">
        <f>IFERROR(VLOOKUP(M54,[1]Sheet1!$G$2:$H$200,2,0),"-")</f>
        <v>MAEU</v>
      </c>
      <c r="O54" s="31" t="s">
        <v>55</v>
      </c>
      <c r="P54" s="17" t="s">
        <v>55</v>
      </c>
      <c r="Q54" s="20" t="s">
        <v>160</v>
      </c>
      <c r="R54" s="20"/>
      <c r="S54" s="21" t="str" cm="1">
        <f t="array" ref="S54">IF(
OR(AD54="",ISERROR(AD54)),
"-",
_xlfn.UNIQUE(_xlfn._xlws.FILTER([1]Sheet1!$D$2:$D$200,ISNUMBER(SEARCH(AD54,[1]Sheet1!$D$2:$D$200))))
)</f>
        <v>(주)유진로직스</v>
      </c>
      <c r="T54" s="22" t="s">
        <v>339</v>
      </c>
      <c r="U54" s="16" t="str" cm="1">
        <f t="array" ref="U54">IF(
OR(AD54="",ISERROR(AD54)),
"-",
_xlfn.UNIQUE(_xlfn._xlws.FILTER([1]Sheet1!$D$2:$D$200,ISNUMBER(SEARCH(AD54,[1]Sheet1!$D$2:$D$200))))
)</f>
        <v>(주)유진로직스</v>
      </c>
      <c r="V54" s="23">
        <v>380000</v>
      </c>
      <c r="W54" s="24">
        <v>350000</v>
      </c>
      <c r="X54" s="23">
        <f t="shared" si="0"/>
        <v>30000</v>
      </c>
      <c r="Y54" s="25" t="s">
        <v>340</v>
      </c>
      <c r="Z54" s="19" t="s">
        <v>51</v>
      </c>
      <c r="AA54" s="19" t="s">
        <v>144</v>
      </c>
      <c r="AC54" s="17" t="str">
        <f t="shared" si="1"/>
        <v>Y</v>
      </c>
      <c r="AD54" s="17" t="s">
        <v>70</v>
      </c>
      <c r="AF54" s="27" t="s">
        <v>55</v>
      </c>
      <c r="AG54" s="27" t="s">
        <v>55</v>
      </c>
      <c r="AI54" s="28" t="s">
        <v>57</v>
      </c>
    </row>
    <row r="55" spans="1:35" ht="34.950000000000003" customHeight="1" x14ac:dyDescent="0.4">
      <c r="A55" s="16" t="s">
        <v>71</v>
      </c>
      <c r="B55" s="16" t="s">
        <v>37</v>
      </c>
      <c r="C55" s="17">
        <v>45993</v>
      </c>
      <c r="D55" s="16" t="s">
        <v>155</v>
      </c>
      <c r="E55" s="16" t="s">
        <v>156</v>
      </c>
      <c r="F55" s="16">
        <v>28518</v>
      </c>
      <c r="G55" s="18" t="s">
        <v>157</v>
      </c>
      <c r="H55" s="16" t="s">
        <v>59</v>
      </c>
      <c r="I55" s="19" t="s">
        <v>62</v>
      </c>
      <c r="J55" s="16" t="str">
        <f>IFERROR(VLOOKUP(I55,[1]Sheet1!$A$1:$B$200,2,0),"_")</f>
        <v>Y1</v>
      </c>
      <c r="K55" s="19" t="s">
        <v>158</v>
      </c>
      <c r="L55" s="16" t="str">
        <f>IFERROR(VLOOKUP(K55,[1]Sheet1!$A$1:$B$200,2,0),"-")</f>
        <v>DG</v>
      </c>
      <c r="M55" s="19" t="s">
        <v>159</v>
      </c>
      <c r="N55" s="16" t="str">
        <f>IFERROR(VLOOKUP(M55,[1]Sheet1!$G$2:$H$200,2,0),"-")</f>
        <v>MAEU</v>
      </c>
      <c r="O55" s="31" t="s">
        <v>55</v>
      </c>
      <c r="P55" s="17" t="s">
        <v>55</v>
      </c>
      <c r="Q55" s="20" t="s">
        <v>160</v>
      </c>
      <c r="R55" s="20"/>
      <c r="S55" s="21" t="str" cm="1">
        <f t="array" ref="S55">IF(
OR(AD55="",ISERROR(AD55)),
"-",
_xlfn.UNIQUE(_xlfn._xlws.FILTER([1]Sheet1!$D$2:$D$200,ISNUMBER(SEARCH(AD55,[1]Sheet1!$D$2:$D$200))))
)</f>
        <v>(주)유진로직스</v>
      </c>
      <c r="T55" s="22" t="s">
        <v>341</v>
      </c>
      <c r="U55" s="16" t="str" cm="1">
        <f t="array" ref="U55">IF(
OR(AD55="",ISERROR(AD55)),
"-",
_xlfn.UNIQUE(_xlfn._xlws.FILTER([1]Sheet1!$D$2:$D$200,ISNUMBER(SEARCH(AD55,[1]Sheet1!$D$2:$D$200))))
)</f>
        <v>(주)유진로직스</v>
      </c>
      <c r="V55" s="23">
        <v>380000</v>
      </c>
      <c r="W55" s="24">
        <v>350000</v>
      </c>
      <c r="X55" s="23">
        <f t="shared" si="0"/>
        <v>30000</v>
      </c>
      <c r="Y55" s="25" t="s">
        <v>342</v>
      </c>
      <c r="Z55" s="19" t="s">
        <v>51</v>
      </c>
      <c r="AA55" s="19" t="s">
        <v>144</v>
      </c>
      <c r="AC55" s="17" t="str">
        <f t="shared" si="1"/>
        <v>Y</v>
      </c>
      <c r="AD55" s="17" t="s">
        <v>70</v>
      </c>
      <c r="AF55" s="27" t="s">
        <v>55</v>
      </c>
      <c r="AG55" s="27" t="s">
        <v>55</v>
      </c>
      <c r="AI55" s="28" t="s">
        <v>57</v>
      </c>
    </row>
    <row r="56" spans="1:35" ht="34.950000000000003" customHeight="1" x14ac:dyDescent="0.4">
      <c r="A56" s="16" t="s">
        <v>71</v>
      </c>
      <c r="B56" s="16" t="s">
        <v>37</v>
      </c>
      <c r="C56" s="17">
        <v>45993</v>
      </c>
      <c r="D56" s="16" t="s">
        <v>155</v>
      </c>
      <c r="E56" s="16" t="s">
        <v>334</v>
      </c>
      <c r="F56" s="16">
        <v>28518</v>
      </c>
      <c r="G56" s="18" t="s">
        <v>157</v>
      </c>
      <c r="H56" s="16" t="s">
        <v>59</v>
      </c>
      <c r="I56" s="19" t="s">
        <v>62</v>
      </c>
      <c r="J56" s="16" t="str">
        <f>IFERROR(VLOOKUP(I56,[1]Sheet1!$A$1:$B$200,2,0),"_")</f>
        <v>Y1</v>
      </c>
      <c r="K56" s="19" t="s">
        <v>158</v>
      </c>
      <c r="L56" s="16" t="str">
        <f>IFERROR(VLOOKUP(K56,[1]Sheet1!$A$1:$B$200,2,0),"-")</f>
        <v>DG</v>
      </c>
      <c r="M56" s="19" t="s">
        <v>159</v>
      </c>
      <c r="N56" s="16" t="str">
        <f>IFERROR(VLOOKUP(M56,[1]Sheet1!$G$2:$H$200,2,0),"-")</f>
        <v>MAEU</v>
      </c>
      <c r="O56" s="31" t="s">
        <v>55</v>
      </c>
      <c r="P56" s="17" t="s">
        <v>55</v>
      </c>
      <c r="Q56" s="20" t="s">
        <v>160</v>
      </c>
      <c r="R56" s="20"/>
      <c r="S56" s="21" t="str" cm="1">
        <f t="array" ref="S56">IF(
OR(AD56="",ISERROR(AD56)),
"-",
_xlfn.UNIQUE(_xlfn._xlws.FILTER([1]Sheet1!$D$2:$D$200,ISNUMBER(SEARCH(AD56,[1]Sheet1!$D$2:$D$200))))
)</f>
        <v>(주)유진로직스</v>
      </c>
      <c r="T56" s="22" t="s">
        <v>335</v>
      </c>
      <c r="U56" s="16" t="str" cm="1">
        <f t="array" ref="U56">IF(
OR(AD56="",ISERROR(AD56)),
"-",
_xlfn.UNIQUE(_xlfn._xlws.FILTER([1]Sheet1!$D$2:$D$200,ISNUMBER(SEARCH(AD56,[1]Sheet1!$D$2:$D$200))))
)</f>
        <v>(주)유진로직스</v>
      </c>
      <c r="V56" s="23">
        <v>50000</v>
      </c>
      <c r="W56" s="24">
        <v>50000</v>
      </c>
      <c r="X56" s="23">
        <f t="shared" si="0"/>
        <v>0</v>
      </c>
      <c r="Y56" s="25" t="s">
        <v>343</v>
      </c>
      <c r="Z56" s="19" t="s">
        <v>51</v>
      </c>
      <c r="AA56" s="19" t="s">
        <v>144</v>
      </c>
      <c r="AC56" s="17" t="str">
        <f t="shared" si="1"/>
        <v>Y</v>
      </c>
      <c r="AD56" s="17" t="s">
        <v>70</v>
      </c>
      <c r="AF56" s="27" t="s">
        <v>55</v>
      </c>
      <c r="AG56" s="27" t="s">
        <v>55</v>
      </c>
      <c r="AI56" s="28" t="s">
        <v>57</v>
      </c>
    </row>
    <row r="57" spans="1:35" ht="34.950000000000003" customHeight="1" x14ac:dyDescent="0.4">
      <c r="A57" s="16" t="s">
        <v>71</v>
      </c>
      <c r="B57" s="16" t="s">
        <v>37</v>
      </c>
      <c r="C57" s="17">
        <v>45993</v>
      </c>
      <c r="D57" s="16" t="s">
        <v>155</v>
      </c>
      <c r="E57" s="16" t="s">
        <v>334</v>
      </c>
      <c r="F57" s="16">
        <v>28518</v>
      </c>
      <c r="G57" s="18" t="s">
        <v>157</v>
      </c>
      <c r="H57" s="16" t="s">
        <v>59</v>
      </c>
      <c r="I57" s="19" t="s">
        <v>62</v>
      </c>
      <c r="J57" s="16" t="str">
        <f>IFERROR(VLOOKUP(I57,[1]Sheet1!$A$1:$B$200,2,0),"_")</f>
        <v>Y1</v>
      </c>
      <c r="K57" s="19" t="s">
        <v>158</v>
      </c>
      <c r="L57" s="16" t="str">
        <f>IFERROR(VLOOKUP(K57,[1]Sheet1!$A$1:$B$200,2,0),"-")</f>
        <v>DG</v>
      </c>
      <c r="M57" s="19" t="s">
        <v>159</v>
      </c>
      <c r="N57" s="16" t="str">
        <f>IFERROR(VLOOKUP(M57,[1]Sheet1!$G$2:$H$200,2,0),"-")</f>
        <v>MAEU</v>
      </c>
      <c r="O57" s="31" t="s">
        <v>55</v>
      </c>
      <c r="P57" s="17" t="s">
        <v>55</v>
      </c>
      <c r="Q57" s="20" t="s">
        <v>160</v>
      </c>
      <c r="R57" s="20"/>
      <c r="S57" s="21" t="str" cm="1">
        <f t="array" ref="S57">IF(
OR(AD57="",ISERROR(AD57)),
"-",
_xlfn.UNIQUE(_xlfn._xlws.FILTER([1]Sheet1!$D$2:$D$200,ISNUMBER(SEARCH(AD57,[1]Sheet1!$D$2:$D$200))))
)</f>
        <v>(주)유진로직스</v>
      </c>
      <c r="T57" s="22" t="s">
        <v>337</v>
      </c>
      <c r="U57" s="16" t="str" cm="1">
        <f t="array" ref="U57">IF(
OR(AD57="",ISERROR(AD57)),
"-",
_xlfn.UNIQUE(_xlfn._xlws.FILTER([1]Sheet1!$D$2:$D$200,ISNUMBER(SEARCH(AD57,[1]Sheet1!$D$2:$D$200))))
)</f>
        <v>(주)유진로직스</v>
      </c>
      <c r="V57" s="23">
        <v>50000</v>
      </c>
      <c r="W57" s="24">
        <v>50000</v>
      </c>
      <c r="X57" s="23">
        <f t="shared" si="0"/>
        <v>0</v>
      </c>
      <c r="Y57" s="25" t="s">
        <v>344</v>
      </c>
      <c r="Z57" s="19" t="s">
        <v>51</v>
      </c>
      <c r="AA57" s="19" t="s">
        <v>144</v>
      </c>
      <c r="AC57" s="17" t="str">
        <f t="shared" si="1"/>
        <v>Y</v>
      </c>
      <c r="AD57" s="17" t="s">
        <v>70</v>
      </c>
      <c r="AF57" s="27" t="s">
        <v>55</v>
      </c>
      <c r="AG57" s="27" t="s">
        <v>55</v>
      </c>
      <c r="AI57" s="28" t="s">
        <v>57</v>
      </c>
    </row>
    <row r="58" spans="1:35" ht="34.950000000000003" customHeight="1" x14ac:dyDescent="0.4">
      <c r="A58" s="16" t="s">
        <v>71</v>
      </c>
      <c r="B58" s="16" t="s">
        <v>37</v>
      </c>
      <c r="C58" s="17">
        <v>45993</v>
      </c>
      <c r="D58" s="16" t="s">
        <v>155</v>
      </c>
      <c r="E58" s="16" t="s">
        <v>156</v>
      </c>
      <c r="F58" s="16">
        <v>28518</v>
      </c>
      <c r="G58" s="18" t="s">
        <v>157</v>
      </c>
      <c r="H58" s="16" t="s">
        <v>59</v>
      </c>
      <c r="I58" s="19" t="s">
        <v>62</v>
      </c>
      <c r="J58" s="16" t="str">
        <f>IFERROR(VLOOKUP(I58,[1]Sheet1!$A$1:$B$200,2,0),"_")</f>
        <v>Y1</v>
      </c>
      <c r="K58" s="19" t="s">
        <v>158</v>
      </c>
      <c r="L58" s="16" t="str">
        <f>IFERROR(VLOOKUP(K58,[1]Sheet1!$A$1:$B$200,2,0),"-")</f>
        <v>DG</v>
      </c>
      <c r="M58" s="19" t="s">
        <v>159</v>
      </c>
      <c r="N58" s="16" t="str">
        <f>IFERROR(VLOOKUP(M58,[1]Sheet1!$G$2:$H$200,2,0),"-")</f>
        <v>MAEU</v>
      </c>
      <c r="O58" s="31" t="s">
        <v>55</v>
      </c>
      <c r="P58" s="17" t="s">
        <v>55</v>
      </c>
      <c r="Q58" s="20" t="s">
        <v>160</v>
      </c>
      <c r="R58" s="20"/>
      <c r="S58" s="21" t="str" cm="1">
        <f t="array" ref="S58">IF(
OR(AD58="",ISERROR(AD58)),
"-",
_xlfn.UNIQUE(_xlfn._xlws.FILTER([1]Sheet1!$D$2:$D$200,ISNUMBER(SEARCH(AD58,[1]Sheet1!$D$2:$D$200))))
)</f>
        <v>(주)유진로직스</v>
      </c>
      <c r="T58" s="22" t="s">
        <v>339</v>
      </c>
      <c r="U58" s="16" t="str" cm="1">
        <f t="array" ref="U58">IF(
OR(AD58="",ISERROR(AD58)),
"-",
_xlfn.UNIQUE(_xlfn._xlws.FILTER([1]Sheet1!$D$2:$D$200,ISNUMBER(SEARCH(AD58,[1]Sheet1!$D$2:$D$200))))
)</f>
        <v>(주)유진로직스</v>
      </c>
      <c r="V58" s="23">
        <v>50000</v>
      </c>
      <c r="W58" s="24">
        <v>50000</v>
      </c>
      <c r="X58" s="23">
        <f t="shared" si="0"/>
        <v>0</v>
      </c>
      <c r="Y58" s="25" t="s">
        <v>345</v>
      </c>
      <c r="Z58" s="19" t="s">
        <v>51</v>
      </c>
      <c r="AA58" s="19" t="s">
        <v>144</v>
      </c>
      <c r="AC58" s="17" t="str">
        <f t="shared" si="1"/>
        <v>Y</v>
      </c>
      <c r="AD58" s="17" t="s">
        <v>70</v>
      </c>
      <c r="AF58" s="27" t="s">
        <v>55</v>
      </c>
      <c r="AG58" s="27" t="s">
        <v>55</v>
      </c>
      <c r="AI58" s="28" t="s">
        <v>57</v>
      </c>
    </row>
    <row r="59" spans="1:35" ht="34.950000000000003" customHeight="1" x14ac:dyDescent="0.4">
      <c r="A59" s="16" t="s">
        <v>71</v>
      </c>
      <c r="B59" s="16" t="s">
        <v>37</v>
      </c>
      <c r="C59" s="17">
        <v>45993</v>
      </c>
      <c r="D59" s="16" t="s">
        <v>155</v>
      </c>
      <c r="E59" s="16" t="s">
        <v>156</v>
      </c>
      <c r="F59" s="16">
        <v>28518</v>
      </c>
      <c r="G59" s="18" t="s">
        <v>157</v>
      </c>
      <c r="H59" s="16" t="s">
        <v>59</v>
      </c>
      <c r="I59" s="19" t="s">
        <v>62</v>
      </c>
      <c r="J59" s="16" t="str">
        <f>IFERROR(VLOOKUP(I59,[1]Sheet1!$A$1:$B$200,2,0),"_")</f>
        <v>Y1</v>
      </c>
      <c r="K59" s="19" t="s">
        <v>158</v>
      </c>
      <c r="L59" s="16" t="str">
        <f>IFERROR(VLOOKUP(K59,[1]Sheet1!$A$1:$B$200,2,0),"-")</f>
        <v>DG</v>
      </c>
      <c r="M59" s="19" t="s">
        <v>159</v>
      </c>
      <c r="N59" s="16" t="str">
        <f>IFERROR(VLOOKUP(M59,[1]Sheet1!$G$2:$H$200,2,0),"-")</f>
        <v>MAEU</v>
      </c>
      <c r="O59" s="31" t="s">
        <v>55</v>
      </c>
      <c r="P59" s="17" t="s">
        <v>55</v>
      </c>
      <c r="Q59" s="20" t="s">
        <v>160</v>
      </c>
      <c r="R59" s="20"/>
      <c r="S59" s="21" t="str" cm="1">
        <f t="array" ref="S59">IF(
OR(AD59="",ISERROR(AD59)),
"-",
_xlfn.UNIQUE(_xlfn._xlws.FILTER([1]Sheet1!$D$2:$D$200,ISNUMBER(SEARCH(AD59,[1]Sheet1!$D$2:$D$200))))
)</f>
        <v>(주)유진로직스</v>
      </c>
      <c r="T59" s="22" t="s">
        <v>341</v>
      </c>
      <c r="U59" s="16" t="str" cm="1">
        <f t="array" ref="U59">IF(
OR(AD59="",ISERROR(AD59)),
"-",
_xlfn.UNIQUE(_xlfn._xlws.FILTER([1]Sheet1!$D$2:$D$200,ISNUMBER(SEARCH(AD59,[1]Sheet1!$D$2:$D$200))))
)</f>
        <v>(주)유진로직스</v>
      </c>
      <c r="V59" s="23">
        <v>50000</v>
      </c>
      <c r="W59" s="24">
        <v>50000</v>
      </c>
      <c r="X59" s="23">
        <f t="shared" si="0"/>
        <v>0</v>
      </c>
      <c r="Y59" s="25" t="s">
        <v>346</v>
      </c>
      <c r="Z59" s="19" t="s">
        <v>51</v>
      </c>
      <c r="AA59" s="19" t="s">
        <v>144</v>
      </c>
      <c r="AC59" s="17" t="str">
        <f t="shared" si="1"/>
        <v>Y</v>
      </c>
      <c r="AD59" s="17" t="s">
        <v>70</v>
      </c>
      <c r="AF59" s="27" t="s">
        <v>55</v>
      </c>
      <c r="AG59" s="27" t="s">
        <v>55</v>
      </c>
      <c r="AI59" s="28" t="s">
        <v>57</v>
      </c>
    </row>
    <row r="60" spans="1:35" ht="34.950000000000003" customHeight="1" x14ac:dyDescent="0.4">
      <c r="A60" s="16" t="s">
        <v>36</v>
      </c>
      <c r="B60" s="16" t="s">
        <v>37</v>
      </c>
      <c r="C60" s="17">
        <v>45994</v>
      </c>
      <c r="D60" s="16" t="s">
        <v>229</v>
      </c>
      <c r="E60" s="16" t="s">
        <v>229</v>
      </c>
      <c r="F60" s="16">
        <v>3641</v>
      </c>
      <c r="G60" s="18" t="s">
        <v>230</v>
      </c>
      <c r="H60" s="16" t="s">
        <v>210</v>
      </c>
      <c r="I60" s="19" t="s">
        <v>231</v>
      </c>
      <c r="J60" s="16" t="str">
        <f>IFERROR(VLOOKUP(I60,[1]Sheet1!$A$1:$B$200,2,0),"_")</f>
        <v>IS</v>
      </c>
      <c r="K60" s="19" t="s">
        <v>42</v>
      </c>
      <c r="L60" s="16" t="str">
        <f>IFERROR(VLOOKUP(K60,[1]Sheet1!$A$1:$B$200,2,0),"-")</f>
        <v>P</v>
      </c>
      <c r="M60" s="19" t="s">
        <v>347</v>
      </c>
      <c r="N60" s="16" t="str">
        <f>IFERROR(VLOOKUP(M60,[1]Sheet1!$G$2:$H$200,2,0),"-")</f>
        <v>FESU</v>
      </c>
      <c r="O60" s="27" t="s">
        <v>348</v>
      </c>
      <c r="P60" s="17">
        <v>45994</v>
      </c>
      <c r="Q60" s="20" t="s">
        <v>349</v>
      </c>
      <c r="R60" s="20" t="s">
        <v>350</v>
      </c>
      <c r="S60" s="21" t="str" cm="1">
        <f t="array" ref="S60">IF(
OR(AD60="",ISERROR(AD60)),
"-",
_xlfn.UNIQUE(_xlfn._xlws.FILTER([1]Sheet1!$D$2:$D$200,ISNUMBER(SEARCH(AD60,[1]Sheet1!$D$2:$D$200))))
)</f>
        <v>양양운수(주)</v>
      </c>
      <c r="T60" s="22" t="s">
        <v>351</v>
      </c>
      <c r="U60" s="16" t="str" cm="1">
        <f t="array" ref="U60">IF(
OR(AD60="",ISERROR(AD60)),
"-",
_xlfn.UNIQUE(_xlfn._xlws.FILTER([1]Sheet1!$D$2:$D$200,ISNUMBER(SEARCH(AD60,[1]Sheet1!$D$2:$D$200))))
)</f>
        <v>양양운수(주)</v>
      </c>
      <c r="V60" s="23">
        <v>760000</v>
      </c>
      <c r="W60" s="24">
        <v>684400</v>
      </c>
      <c r="X60" s="23">
        <f t="shared" si="0"/>
        <v>75600</v>
      </c>
      <c r="Y60" s="25" t="s">
        <v>352</v>
      </c>
      <c r="Z60" s="19" t="s">
        <v>51</v>
      </c>
      <c r="AA60" s="19" t="s">
        <v>81</v>
      </c>
      <c r="AB60" s="18" t="s">
        <v>353</v>
      </c>
      <c r="AC60" s="17" t="str">
        <f t="shared" si="1"/>
        <v>Y</v>
      </c>
      <c r="AD60" s="17" t="s">
        <v>238</v>
      </c>
      <c r="AF60" s="27" t="s">
        <v>55</v>
      </c>
      <c r="AG60" s="27" t="s">
        <v>55</v>
      </c>
      <c r="AI60" s="28" t="s">
        <v>57</v>
      </c>
    </row>
    <row r="61" spans="1:35" ht="34.950000000000003" customHeight="1" x14ac:dyDescent="0.4">
      <c r="A61" s="16" t="s">
        <v>36</v>
      </c>
      <c r="B61" s="16" t="s">
        <v>37</v>
      </c>
      <c r="C61" s="17">
        <v>45994</v>
      </c>
      <c r="D61" s="16" t="s">
        <v>229</v>
      </c>
      <c r="E61" s="16" t="s">
        <v>229</v>
      </c>
      <c r="F61" s="16">
        <v>3641</v>
      </c>
      <c r="G61" s="18" t="s">
        <v>230</v>
      </c>
      <c r="H61" s="16" t="s">
        <v>210</v>
      </c>
      <c r="I61" s="19" t="s">
        <v>231</v>
      </c>
      <c r="J61" s="16" t="str">
        <f>IFERROR(VLOOKUP(I61,[1]Sheet1!$A$1:$B$200,2,0),"_")</f>
        <v>IS</v>
      </c>
      <c r="K61" s="19" t="s">
        <v>42</v>
      </c>
      <c r="L61" s="16" t="str">
        <f>IFERROR(VLOOKUP(K61,[1]Sheet1!$A$1:$B$200,2,0),"-")</f>
        <v>P</v>
      </c>
      <c r="M61" s="19" t="s">
        <v>347</v>
      </c>
      <c r="N61" s="16" t="str">
        <f>IFERROR(VLOOKUP(M61,[1]Sheet1!$G$2:$H$200,2,0),"-")</f>
        <v>FESU</v>
      </c>
      <c r="O61" s="27" t="s">
        <v>348</v>
      </c>
      <c r="P61" s="17">
        <v>45994</v>
      </c>
      <c r="Q61" s="20" t="s">
        <v>349</v>
      </c>
      <c r="R61" s="20" t="s">
        <v>350</v>
      </c>
      <c r="S61" s="21" t="str" cm="1">
        <f t="array" ref="S61">IF(
OR(AD61="",ISERROR(AD61)),
"-",
_xlfn.UNIQUE(_xlfn._xlws.FILTER([1]Sheet1!$D$2:$D$200,ISNUMBER(SEARCH(AD61,[1]Sheet1!$D$2:$D$200))))
)</f>
        <v>양양운수(주)</v>
      </c>
      <c r="T61" s="22" t="s">
        <v>351</v>
      </c>
      <c r="U61" s="16" t="str" cm="1">
        <f t="array" ref="U61">IF(
OR(AD61="",ISERROR(AD61)),
"-",
_xlfn.UNIQUE(_xlfn._xlws.FILTER([1]Sheet1!$D$2:$D$200,ISNUMBER(SEARCH(AD61,[1]Sheet1!$D$2:$D$200))))
)</f>
        <v>양양운수(주)</v>
      </c>
      <c r="V61" s="23">
        <v>100000</v>
      </c>
      <c r="W61" s="24">
        <v>83000</v>
      </c>
      <c r="X61" s="23">
        <f t="shared" si="0"/>
        <v>17000</v>
      </c>
      <c r="Y61" s="25" t="s">
        <v>354</v>
      </c>
      <c r="Z61" s="19" t="s">
        <v>51</v>
      </c>
      <c r="AA61" s="19" t="s">
        <v>81</v>
      </c>
      <c r="AC61" s="17" t="str">
        <f t="shared" si="1"/>
        <v>Y</v>
      </c>
      <c r="AD61" s="17" t="s">
        <v>238</v>
      </c>
      <c r="AF61" s="27" t="s">
        <v>55</v>
      </c>
      <c r="AG61" s="27" t="s">
        <v>55</v>
      </c>
      <c r="AI61" s="28" t="s">
        <v>57</v>
      </c>
    </row>
    <row r="62" spans="1:35" ht="34.950000000000003" customHeight="1" x14ac:dyDescent="0.4">
      <c r="A62" s="16" t="s">
        <v>71</v>
      </c>
      <c r="B62" s="16" t="s">
        <v>99</v>
      </c>
      <c r="C62" s="17">
        <v>45994</v>
      </c>
      <c r="D62" s="16" t="s">
        <v>126</v>
      </c>
      <c r="E62" s="16" t="s">
        <v>199</v>
      </c>
      <c r="F62" s="16">
        <v>22141</v>
      </c>
      <c r="G62" s="18" t="s">
        <v>200</v>
      </c>
      <c r="H62" s="16" t="s">
        <v>41</v>
      </c>
      <c r="I62" s="19" t="s">
        <v>76</v>
      </c>
      <c r="J62" s="16" t="str">
        <f>IFERROR(VLOOKUP(I62,[1]Sheet1!$A$1:$B$200,2,0),"_")</f>
        <v>NJ</v>
      </c>
      <c r="K62" s="19" t="s">
        <v>76</v>
      </c>
      <c r="L62" s="16" t="str">
        <f>IFERROR(VLOOKUP(K62,[1]Sheet1!$A$1:$B$200,2,0),"-")</f>
        <v>NJ</v>
      </c>
      <c r="M62" s="19" t="s">
        <v>151</v>
      </c>
      <c r="N62" s="16" t="str">
        <f>IFERROR(VLOOKUP(M62,[1]Sheet1!$G$2:$H$200,2,0),"-")</f>
        <v>NSSL</v>
      </c>
      <c r="O62" s="31" t="s">
        <v>55</v>
      </c>
      <c r="P62" s="17" t="s">
        <v>55</v>
      </c>
      <c r="Q62" s="20" t="s">
        <v>355</v>
      </c>
      <c r="R62" s="20"/>
      <c r="S62" s="21" t="str" cm="1">
        <f t="array" ref="S62">IF(
OR(AD62="",ISERROR(AD62)),
"-",
_xlfn.UNIQUE(_xlfn._xlws.FILTER([1]Sheet1!$D$2:$D$200,ISNUMBER(SEARCH(AD62,[1]Sheet1!$D$2:$D$200))))
)</f>
        <v>로지아이솔루션</v>
      </c>
      <c r="T62" s="22" t="s">
        <v>356</v>
      </c>
      <c r="U62" s="16" t="str" cm="1">
        <f t="array" ref="U62">IF(
OR(AD62="",ISERROR(AD62)),
"-",
_xlfn.UNIQUE(_xlfn._xlws.FILTER([1]Sheet1!$D$2:$D$200,ISNUMBER(SEARCH(AD62,[1]Sheet1!$D$2:$D$200))))
)</f>
        <v>로지아이솔루션</v>
      </c>
      <c r="V62" s="23">
        <v>270000</v>
      </c>
      <c r="W62" s="24">
        <v>259850</v>
      </c>
      <c r="X62" s="23">
        <f t="shared" si="0"/>
        <v>10150</v>
      </c>
      <c r="Y62" s="25" t="s">
        <v>357</v>
      </c>
      <c r="Z62" s="19" t="s">
        <v>51</v>
      </c>
      <c r="AA62" s="19" t="s">
        <v>81</v>
      </c>
      <c r="AB62" s="18" t="s">
        <v>205</v>
      </c>
      <c r="AC62" s="17" t="str">
        <f t="shared" si="1"/>
        <v>Y</v>
      </c>
      <c r="AD62" s="17" t="s">
        <v>206</v>
      </c>
      <c r="AF62" s="27" t="s">
        <v>55</v>
      </c>
      <c r="AG62" s="27" t="s">
        <v>55</v>
      </c>
      <c r="AI62" s="28" t="s">
        <v>57</v>
      </c>
    </row>
    <row r="63" spans="1:35" ht="34.950000000000003" customHeight="1" x14ac:dyDescent="0.4">
      <c r="A63" s="16" t="s">
        <v>71</v>
      </c>
      <c r="B63" s="16" t="s">
        <v>99</v>
      </c>
      <c r="C63" s="17">
        <v>45994</v>
      </c>
      <c r="D63" s="16" t="s">
        <v>126</v>
      </c>
      <c r="E63" s="16" t="s">
        <v>199</v>
      </c>
      <c r="F63" s="16">
        <v>22141</v>
      </c>
      <c r="G63" s="18" t="s">
        <v>200</v>
      </c>
      <c r="H63" s="16" t="s">
        <v>41</v>
      </c>
      <c r="I63" s="19" t="s">
        <v>76</v>
      </c>
      <c r="J63" s="16" t="str">
        <f>IFERROR(VLOOKUP(I63,[1]Sheet1!$A$1:$B$200,2,0),"_")</f>
        <v>NJ</v>
      </c>
      <c r="K63" s="19" t="s">
        <v>76</v>
      </c>
      <c r="L63" s="16" t="str">
        <f>IFERROR(VLOOKUP(K63,[1]Sheet1!$A$1:$B$200,2,0),"-")</f>
        <v>NJ</v>
      </c>
      <c r="M63" s="19" t="s">
        <v>151</v>
      </c>
      <c r="N63" s="16" t="str">
        <f>IFERROR(VLOOKUP(M63,[1]Sheet1!$G$2:$H$200,2,0),"-")</f>
        <v>NSSL</v>
      </c>
      <c r="O63" s="31" t="s">
        <v>55</v>
      </c>
      <c r="P63" s="17" t="s">
        <v>55</v>
      </c>
      <c r="Q63" s="20" t="s">
        <v>358</v>
      </c>
      <c r="R63" s="20"/>
      <c r="S63" s="21" t="str" cm="1">
        <f t="array" ref="S63">IF(
OR(AD63="",ISERROR(AD63)),
"-",
_xlfn.UNIQUE(_xlfn._xlws.FILTER([1]Sheet1!$D$2:$D$200,ISNUMBER(SEARCH(AD63,[1]Sheet1!$D$2:$D$200))))
)</f>
        <v>로지아이솔루션</v>
      </c>
      <c r="T63" s="22" t="s">
        <v>359</v>
      </c>
      <c r="U63" s="16" t="str" cm="1">
        <f t="array" ref="U63">IF(
OR(AD63="",ISERROR(AD63)),
"-",
_xlfn.UNIQUE(_xlfn._xlws.FILTER([1]Sheet1!$D$2:$D$200,ISNUMBER(SEARCH(AD63,[1]Sheet1!$D$2:$D$200))))
)</f>
        <v>로지아이솔루션</v>
      </c>
      <c r="V63" s="23">
        <v>270000</v>
      </c>
      <c r="W63" s="24">
        <v>259850</v>
      </c>
      <c r="X63" s="23">
        <f t="shared" si="0"/>
        <v>10150</v>
      </c>
      <c r="Y63" s="25" t="s">
        <v>357</v>
      </c>
      <c r="Z63" s="19" t="s">
        <v>51</v>
      </c>
      <c r="AA63" s="19" t="s">
        <v>81</v>
      </c>
      <c r="AB63" s="18" t="s">
        <v>205</v>
      </c>
      <c r="AC63" s="17" t="str">
        <f t="shared" si="1"/>
        <v>Y</v>
      </c>
      <c r="AD63" s="17" t="s">
        <v>206</v>
      </c>
      <c r="AF63" s="27" t="s">
        <v>55</v>
      </c>
      <c r="AG63" s="27" t="s">
        <v>55</v>
      </c>
      <c r="AI63" s="28" t="s">
        <v>57</v>
      </c>
    </row>
    <row r="64" spans="1:35" ht="34.950000000000003" customHeight="1" x14ac:dyDescent="0.4">
      <c r="A64" s="16" t="s">
        <v>71</v>
      </c>
      <c r="B64" s="16" t="s">
        <v>37</v>
      </c>
      <c r="C64" s="17">
        <v>45994</v>
      </c>
      <c r="D64" s="16" t="s">
        <v>360</v>
      </c>
      <c r="E64" s="16" t="s">
        <v>361</v>
      </c>
      <c r="F64" s="16">
        <v>28789</v>
      </c>
      <c r="G64" s="18" t="s">
        <v>362</v>
      </c>
      <c r="H64" s="16" t="s">
        <v>75</v>
      </c>
      <c r="I64" s="19" t="s">
        <v>137</v>
      </c>
      <c r="J64" s="16" t="str">
        <f>IFERROR(VLOOKUP(I64,[1]Sheet1!$A$1:$B$200,2,0),"_")</f>
        <v>BE</v>
      </c>
      <c r="K64" s="19" t="s">
        <v>363</v>
      </c>
      <c r="L64" s="16" t="str">
        <f>IFERROR(VLOOKUP(K64,[1]Sheet1!$A$1:$B$200,2,0),"-")</f>
        <v>BB</v>
      </c>
      <c r="M64" s="19" t="s">
        <v>364</v>
      </c>
      <c r="N64" s="16" t="str">
        <f>IFERROR(VLOOKUP(M64,[1]Sheet1!$G$2:$H$200,2,0),"-")</f>
        <v>CMAL</v>
      </c>
      <c r="O64" s="18" t="s">
        <v>55</v>
      </c>
      <c r="P64" s="17" t="s">
        <v>55</v>
      </c>
      <c r="Q64" s="20" t="s">
        <v>365</v>
      </c>
      <c r="R64" s="20"/>
      <c r="S64" s="21" t="str" cm="1">
        <f t="array" ref="S64">IF(
OR(AD64="",ISERROR(AD64)),
"-",
_xlfn.UNIQUE(_xlfn._xlws.FILTER([1]Sheet1!$D$2:$D$200,ISNUMBER(SEARCH(AD64,[1]Sheet1!$D$2:$D$200))))
)</f>
        <v>율세</v>
      </c>
      <c r="T64" s="22" t="s">
        <v>366</v>
      </c>
      <c r="U64" s="16" t="str" cm="1">
        <f t="array" ref="U64">IF(
OR(AD64="",ISERROR(AD64)),
"-",
_xlfn.UNIQUE(_xlfn._xlws.FILTER([1]Sheet1!$D$2:$D$200,ISNUMBER(SEARCH(AD64,[1]Sheet1!$D$2:$D$200))))
)</f>
        <v>율세</v>
      </c>
      <c r="V64" s="23">
        <v>515000</v>
      </c>
      <c r="W64" s="24">
        <v>473700</v>
      </c>
      <c r="X64" s="23">
        <f t="shared" si="0"/>
        <v>41300</v>
      </c>
      <c r="Y64" s="25" t="s">
        <v>367</v>
      </c>
      <c r="Z64" s="19" t="s">
        <v>51</v>
      </c>
      <c r="AA64" s="19" t="s">
        <v>115</v>
      </c>
      <c r="AC64" s="17" t="str">
        <f t="shared" si="1"/>
        <v>Y</v>
      </c>
      <c r="AD64" s="17" t="s">
        <v>123</v>
      </c>
      <c r="AF64" s="27" t="s">
        <v>55</v>
      </c>
      <c r="AG64" s="27" t="s">
        <v>55</v>
      </c>
      <c r="AI64" s="28" t="s">
        <v>57</v>
      </c>
    </row>
    <row r="65" spans="1:35" ht="34.950000000000003" customHeight="1" x14ac:dyDescent="0.4">
      <c r="A65" s="16" t="s">
        <v>71</v>
      </c>
      <c r="B65" s="16" t="s">
        <v>37</v>
      </c>
      <c r="C65" s="17">
        <v>45994</v>
      </c>
      <c r="D65" s="16" t="s">
        <v>360</v>
      </c>
      <c r="E65" s="16" t="s">
        <v>361</v>
      </c>
      <c r="F65" s="16">
        <v>28789</v>
      </c>
      <c r="G65" s="18" t="s">
        <v>362</v>
      </c>
      <c r="H65" s="16" t="s">
        <v>75</v>
      </c>
      <c r="I65" s="19" t="s">
        <v>137</v>
      </c>
      <c r="J65" s="16" t="str">
        <f>IFERROR(VLOOKUP(I65,[1]Sheet1!$A$1:$B$200,2,0),"_")</f>
        <v>BE</v>
      </c>
      <c r="K65" s="19" t="s">
        <v>363</v>
      </c>
      <c r="L65" s="16" t="str">
        <f>IFERROR(VLOOKUP(K65,[1]Sheet1!$A$1:$B$200,2,0),"-")</f>
        <v>BB</v>
      </c>
      <c r="M65" s="19" t="s">
        <v>364</v>
      </c>
      <c r="N65" s="16" t="str">
        <f>IFERROR(VLOOKUP(M65,[1]Sheet1!$G$2:$H$200,2,0),"-")</f>
        <v>CMAL</v>
      </c>
      <c r="O65" s="18" t="s">
        <v>55</v>
      </c>
      <c r="P65" s="17" t="s">
        <v>55</v>
      </c>
      <c r="Q65" s="20" t="s">
        <v>365</v>
      </c>
      <c r="R65" s="20"/>
      <c r="S65" s="21" t="str" cm="1">
        <f t="array" ref="S65">IF(
OR(AD65="",ISERROR(AD65)),
"-",
_xlfn.UNIQUE(_xlfn._xlws.FILTER([1]Sheet1!$D$2:$D$200,ISNUMBER(SEARCH(AD65,[1]Sheet1!$D$2:$D$200))))
)</f>
        <v>율세</v>
      </c>
      <c r="T65" s="22" t="s">
        <v>366</v>
      </c>
      <c r="U65" s="16" t="str" cm="1">
        <f t="array" ref="U65">IF(
OR(AD65="",ISERROR(AD65)),
"-",
_xlfn.UNIQUE(_xlfn._xlws.FILTER([1]Sheet1!$D$2:$D$200,ISNUMBER(SEARCH(AD65,[1]Sheet1!$D$2:$D$200))))
)</f>
        <v>율세</v>
      </c>
      <c r="V65" s="23">
        <v>100000</v>
      </c>
      <c r="W65" s="23">
        <v>100000</v>
      </c>
      <c r="X65" s="23">
        <f t="shared" si="0"/>
        <v>0</v>
      </c>
      <c r="Y65" s="25" t="s">
        <v>368</v>
      </c>
      <c r="Z65" s="19" t="s">
        <v>51</v>
      </c>
      <c r="AA65" s="19" t="s">
        <v>115</v>
      </c>
      <c r="AC65" s="17" t="str">
        <f t="shared" si="1"/>
        <v>Y</v>
      </c>
      <c r="AD65" s="17" t="s">
        <v>123</v>
      </c>
      <c r="AF65" s="27" t="s">
        <v>55</v>
      </c>
      <c r="AG65" s="27" t="s">
        <v>55</v>
      </c>
      <c r="AI65" s="28" t="s">
        <v>57</v>
      </c>
    </row>
    <row r="66" spans="1:35" ht="34.950000000000003" customHeight="1" x14ac:dyDescent="0.4">
      <c r="A66" s="16" t="s">
        <v>36</v>
      </c>
      <c r="B66" s="16" t="s">
        <v>37</v>
      </c>
      <c r="C66" s="17">
        <v>45994</v>
      </c>
      <c r="D66" s="16" t="s">
        <v>369</v>
      </c>
      <c r="E66" s="16" t="s">
        <v>370</v>
      </c>
      <c r="F66" s="16">
        <v>25248</v>
      </c>
      <c r="G66" s="18" t="s">
        <v>371</v>
      </c>
      <c r="H66" s="16" t="s">
        <v>75</v>
      </c>
      <c r="I66" s="16" t="s">
        <v>42</v>
      </c>
      <c r="J66" s="16" t="str">
        <f>IFERROR(VLOOKUP(I66,[1]Sheet1!$A$1:$B$200,2,0),"_")</f>
        <v>P</v>
      </c>
      <c r="K66" s="16" t="s">
        <v>42</v>
      </c>
      <c r="L66" s="16" t="str">
        <f>IFERROR(VLOOKUP(K66,[1]Sheet1!$A$1:$B$200,2,0),"-")</f>
        <v>P</v>
      </c>
      <c r="M66" s="16" t="s">
        <v>191</v>
      </c>
      <c r="N66" s="16" t="str">
        <f>IFERROR(VLOOKUP(M66,[1]Sheet1!$G$2:$H$200,2,0),"-")</f>
        <v>HASL</v>
      </c>
      <c r="O66" s="18" t="s">
        <v>372</v>
      </c>
      <c r="P66" s="17">
        <v>45996</v>
      </c>
      <c r="Q66" s="20" t="s">
        <v>373</v>
      </c>
      <c r="R66" s="20" t="s">
        <v>374</v>
      </c>
      <c r="S66" s="21" t="str" cm="1">
        <f t="array" ref="S66">IF(
OR(AD66="",ISERROR(AD66)),
"-",
_xlfn.UNIQUE(_xlfn._xlws.FILTER([1]Sheet1!$D$2:$D$200,ISNUMBER(SEARCH(AD66,[1]Sheet1!$D$2:$D$200))))
)</f>
        <v>백승운수</v>
      </c>
      <c r="T66" s="33" t="s">
        <v>91</v>
      </c>
      <c r="U66" s="16" t="str" cm="1">
        <f t="array" ref="U66">IF(
OR(AD66="",ISERROR(AD66)),
"-",
_xlfn.UNIQUE(_xlfn._xlws.FILTER([1]Sheet1!$D$2:$D$200,ISNUMBER(SEARCH(AD66,[1]Sheet1!$D$2:$D$200))))
)</f>
        <v>백승운수</v>
      </c>
      <c r="V66" s="23">
        <v>446000</v>
      </c>
      <c r="W66" s="23">
        <v>409000</v>
      </c>
      <c r="X66" s="23">
        <f t="shared" si="0"/>
        <v>37000</v>
      </c>
      <c r="Y66" s="25" t="s">
        <v>375</v>
      </c>
      <c r="Z66" s="19" t="s">
        <v>51</v>
      </c>
      <c r="AA66" s="16" t="s">
        <v>115</v>
      </c>
      <c r="AC66" s="17" t="str">
        <f t="shared" si="1"/>
        <v>Y</v>
      </c>
      <c r="AD66" s="16" t="s">
        <v>95</v>
      </c>
      <c r="AF66" s="27" t="s">
        <v>55</v>
      </c>
      <c r="AG66" s="27" t="s">
        <v>55</v>
      </c>
      <c r="AI66" s="28" t="s">
        <v>57</v>
      </c>
    </row>
    <row r="67" spans="1:35" ht="34.950000000000003" customHeight="1" x14ac:dyDescent="0.4">
      <c r="A67" s="16" t="s">
        <v>36</v>
      </c>
      <c r="B67" s="16" t="s">
        <v>37</v>
      </c>
      <c r="C67" s="17">
        <v>45994</v>
      </c>
      <c r="D67" s="16" t="s">
        <v>369</v>
      </c>
      <c r="E67" s="16" t="s">
        <v>370</v>
      </c>
      <c r="F67" s="16">
        <v>25248</v>
      </c>
      <c r="G67" s="18" t="s">
        <v>371</v>
      </c>
      <c r="H67" s="16" t="s">
        <v>75</v>
      </c>
      <c r="I67" s="16" t="s">
        <v>42</v>
      </c>
      <c r="J67" s="16" t="str">
        <f>IFERROR(VLOOKUP(I67,[1]Sheet1!$A$1:$B$200,2,0),"_")</f>
        <v>P</v>
      </c>
      <c r="K67" s="16" t="s">
        <v>42</v>
      </c>
      <c r="L67" s="16" t="str">
        <f>IFERROR(VLOOKUP(K67,[1]Sheet1!$A$1:$B$200,2,0),"-")</f>
        <v>P</v>
      </c>
      <c r="M67" s="16" t="s">
        <v>191</v>
      </c>
      <c r="N67" s="16" t="str">
        <f>IFERROR(VLOOKUP(M67,[1]Sheet1!$G$2:$H$200,2,0),"-")</f>
        <v>HASL</v>
      </c>
      <c r="O67" s="18" t="s">
        <v>372</v>
      </c>
      <c r="P67" s="17">
        <v>45996</v>
      </c>
      <c r="Q67" s="20" t="s">
        <v>373</v>
      </c>
      <c r="R67" s="20" t="s">
        <v>374</v>
      </c>
      <c r="S67" s="21" t="str" cm="1">
        <f t="array" ref="S67">IF(
OR(AD67="",ISERROR(AD67)),
"-",
_xlfn.UNIQUE(_xlfn._xlws.FILTER([1]Sheet1!$D$2:$D$200,ISNUMBER(SEARCH(AD67,[1]Sheet1!$D$2:$D$200))))
)</f>
        <v>백승운수</v>
      </c>
      <c r="T67" s="33" t="s">
        <v>91</v>
      </c>
      <c r="U67" s="16" t="str" cm="1">
        <f t="array" ref="U67">IF(
OR(AD67="",ISERROR(AD67)),
"-",
_xlfn.UNIQUE(_xlfn._xlws.FILTER([1]Sheet1!$D$2:$D$200,ISNUMBER(SEARCH(AD67,[1]Sheet1!$D$2:$D$200))))
)</f>
        <v>백승운수</v>
      </c>
      <c r="V67" s="23">
        <v>10000</v>
      </c>
      <c r="W67" s="23">
        <v>10000</v>
      </c>
      <c r="X67" s="23">
        <f t="shared" ref="X67:X130" si="2">V67-W67</f>
        <v>0</v>
      </c>
      <c r="Y67" s="25" t="s">
        <v>376</v>
      </c>
      <c r="Z67" s="19" t="s">
        <v>51</v>
      </c>
      <c r="AA67" s="16" t="s">
        <v>115</v>
      </c>
      <c r="AC67" s="17" t="str">
        <f t="shared" si="1"/>
        <v>Y</v>
      </c>
      <c r="AD67" s="16" t="s">
        <v>95</v>
      </c>
      <c r="AF67" s="27" t="s">
        <v>55</v>
      </c>
      <c r="AG67" s="27" t="s">
        <v>55</v>
      </c>
      <c r="AI67" s="28" t="s">
        <v>57</v>
      </c>
    </row>
    <row r="68" spans="1:35" ht="34.950000000000003" customHeight="1" x14ac:dyDescent="0.4">
      <c r="A68" s="16" t="s">
        <v>36</v>
      </c>
      <c r="B68" s="16" t="s">
        <v>37</v>
      </c>
      <c r="C68" s="17">
        <v>45994</v>
      </c>
      <c r="D68" s="16" t="s">
        <v>248</v>
      </c>
      <c r="E68" s="16" t="s">
        <v>249</v>
      </c>
      <c r="F68" s="16">
        <v>21577</v>
      </c>
      <c r="G68" s="18" t="s">
        <v>250</v>
      </c>
      <c r="H68" s="16" t="s">
        <v>41</v>
      </c>
      <c r="I68" s="19" t="s">
        <v>42</v>
      </c>
      <c r="J68" s="16" t="str">
        <f>IFERROR(VLOOKUP(I68,[1]Sheet1!$A$1:$B$200,2,0),"_")</f>
        <v>P</v>
      </c>
      <c r="K68" s="19" t="s">
        <v>42</v>
      </c>
      <c r="L68" s="16" t="str">
        <f>IFERROR(VLOOKUP(K68,[1]Sheet1!$A$1:$B$200,2,0),"-")</f>
        <v>P</v>
      </c>
      <c r="M68" s="19" t="s">
        <v>251</v>
      </c>
      <c r="N68" s="16" t="str">
        <f>IFERROR(VLOOKUP(M68,[1]Sheet1!$G$2:$H$200,2,0),"-")</f>
        <v>SNKO</v>
      </c>
      <c r="O68" s="32" t="s">
        <v>252</v>
      </c>
      <c r="P68" s="17">
        <v>46000</v>
      </c>
      <c r="Q68" s="20" t="s">
        <v>377</v>
      </c>
      <c r="R68" s="20" t="s">
        <v>378</v>
      </c>
      <c r="S68" s="21" t="str" cm="1">
        <f t="array" ref="S68">IF(
OR(AD68="",ISERROR(AD68)),
"-",
_xlfn.UNIQUE(_xlfn._xlws.FILTER([1]Sheet1!$D$2:$D$200,ISNUMBER(SEARCH(AD68,[1]Sheet1!$D$2:$D$200))))
)</f>
        <v>에스지로지스틱</v>
      </c>
      <c r="T68" s="22" t="s">
        <v>255</v>
      </c>
      <c r="U68" s="16" t="str" cm="1">
        <f t="array" ref="U68">IF(
OR(AD68="",ISERROR(AD68)),
"-",
_xlfn.UNIQUE(_xlfn._xlws.FILTER([1]Sheet1!$D$2:$D$200,ISNUMBER(SEARCH(AD68,[1]Sheet1!$D$2:$D$200))))
)</f>
        <v>에스지로지스틱</v>
      </c>
      <c r="V68" s="23">
        <v>390000</v>
      </c>
      <c r="W68" s="24">
        <v>357000</v>
      </c>
      <c r="X68" s="23">
        <f t="shared" si="2"/>
        <v>33000</v>
      </c>
      <c r="Y68" s="25" t="s">
        <v>256</v>
      </c>
      <c r="Z68" s="19" t="s">
        <v>51</v>
      </c>
      <c r="AA68" s="19" t="s">
        <v>144</v>
      </c>
      <c r="AB68" s="18" t="s">
        <v>257</v>
      </c>
      <c r="AC68" s="17" t="str">
        <f t="shared" si="1"/>
        <v>Y</v>
      </c>
      <c r="AD68" s="17" t="s">
        <v>184</v>
      </c>
      <c r="AF68" s="27" t="s">
        <v>55</v>
      </c>
      <c r="AG68" s="27" t="s">
        <v>55</v>
      </c>
      <c r="AI68" s="28" t="s">
        <v>57</v>
      </c>
    </row>
    <row r="69" spans="1:35" ht="34.950000000000003" customHeight="1" x14ac:dyDescent="0.4">
      <c r="A69" s="16" t="s">
        <v>71</v>
      </c>
      <c r="B69" s="16" t="s">
        <v>37</v>
      </c>
      <c r="C69" s="17">
        <v>45994</v>
      </c>
      <c r="D69" s="16" t="s">
        <v>126</v>
      </c>
      <c r="E69" s="16" t="s">
        <v>379</v>
      </c>
      <c r="F69" s="16">
        <v>23737</v>
      </c>
      <c r="G69" s="18" t="s">
        <v>380</v>
      </c>
      <c r="H69" s="16" t="s">
        <v>75</v>
      </c>
      <c r="I69" s="19" t="s">
        <v>381</v>
      </c>
      <c r="J69" s="16" t="str">
        <f>IFERROR(VLOOKUP(I69,[1]Sheet1!$A$1:$B$200,2,0),"_")</f>
        <v>PT</v>
      </c>
      <c r="K69" s="19" t="s">
        <v>381</v>
      </c>
      <c r="L69" s="16" t="str">
        <f>IFERROR(VLOOKUP(K69,[1]Sheet1!$A$1:$B$200,2,0),"-")</f>
        <v>PT</v>
      </c>
      <c r="M69" s="19" t="s">
        <v>382</v>
      </c>
      <c r="N69" s="16" t="str">
        <f>IFERROR(VLOOKUP(M69,[1]Sheet1!$G$2:$H$200,2,0),"-")</f>
        <v>EASL</v>
      </c>
      <c r="O69" s="18" t="s">
        <v>55</v>
      </c>
      <c r="P69" s="17" t="s">
        <v>55</v>
      </c>
      <c r="Q69" s="20" t="s">
        <v>383</v>
      </c>
      <c r="R69" s="20"/>
      <c r="S69" s="21" t="str" cm="1">
        <f t="array" ref="S69">IF(
OR(AD69="",ISERROR(AD69)),
"-",
_xlfn.UNIQUE(_xlfn._xlws.FILTER([1]Sheet1!$D$2:$D$200,ISNUMBER(SEARCH(AD69,[1]Sheet1!$D$2:$D$200))))
)</f>
        <v>더로지스 주식회사</v>
      </c>
      <c r="T69" s="22" t="s">
        <v>384</v>
      </c>
      <c r="U69" s="16" t="str" cm="1">
        <f t="array" ref="U69">IF(
OR(AD69="",ISERROR(AD69)),
"-",
_xlfn.UNIQUE(_xlfn._xlws.FILTER([1]Sheet1!$D$2:$D$200,ISNUMBER(SEARCH(AD69,[1]Sheet1!$D$2:$D$200))))
)</f>
        <v>더로지스 주식회사</v>
      </c>
      <c r="V69" s="23">
        <v>252000</v>
      </c>
      <c r="W69" s="23">
        <v>236000</v>
      </c>
      <c r="X69" s="23">
        <f t="shared" si="2"/>
        <v>16000</v>
      </c>
      <c r="Y69" s="25" t="s">
        <v>385</v>
      </c>
      <c r="Z69" s="19" t="s">
        <v>51</v>
      </c>
      <c r="AA69" s="19" t="s">
        <v>81</v>
      </c>
      <c r="AC69" s="17" t="str">
        <f t="shared" ref="AC69:AC132" si="3">IF(AI69="ㅇ", "Y", IF(Z69="강다영", "", "Y"))</f>
        <v>Y</v>
      </c>
      <c r="AD69" s="17" t="s">
        <v>386</v>
      </c>
      <c r="AF69" s="27" t="s">
        <v>55</v>
      </c>
      <c r="AG69" s="27" t="s">
        <v>55</v>
      </c>
      <c r="AI69" s="28" t="s">
        <v>57</v>
      </c>
    </row>
    <row r="70" spans="1:35" ht="34.799999999999997" customHeight="1" x14ac:dyDescent="0.4">
      <c r="A70" s="16" t="s">
        <v>36</v>
      </c>
      <c r="B70" s="16" t="s">
        <v>99</v>
      </c>
      <c r="C70" s="17">
        <v>45994</v>
      </c>
      <c r="D70" s="16" t="s">
        <v>216</v>
      </c>
      <c r="E70" s="16" t="s">
        <v>387</v>
      </c>
      <c r="F70" s="16">
        <v>28814</v>
      </c>
      <c r="G70" s="18" t="s">
        <v>388</v>
      </c>
      <c r="H70" s="16" t="s">
        <v>41</v>
      </c>
      <c r="I70" s="19" t="s">
        <v>219</v>
      </c>
      <c r="J70" s="16" t="str">
        <f>IFERROR(VLOOKUP(I70,[1]Sheet1!$A$1:$B$200,2,0),"_")</f>
        <v>NN</v>
      </c>
      <c r="K70" s="19" t="s">
        <v>219</v>
      </c>
      <c r="L70" s="16" t="str">
        <f>IFERROR(VLOOKUP(K70,[1]Sheet1!$A$1:$B$200,2,0),"-")</f>
        <v>NN</v>
      </c>
      <c r="M70" s="19" t="s">
        <v>221</v>
      </c>
      <c r="N70" s="16" t="str">
        <f>IFERROR(VLOOKUP(M70,[1]Sheet1!$G$2:$H$200,2,0),"-")</f>
        <v>DOOW</v>
      </c>
      <c r="O70" s="18" t="s">
        <v>389</v>
      </c>
      <c r="P70" s="17">
        <v>45998</v>
      </c>
      <c r="Q70" s="20" t="s">
        <v>390</v>
      </c>
      <c r="R70" s="20" t="s">
        <v>391</v>
      </c>
      <c r="S70" s="21" t="str" cm="1">
        <f t="array" ref="S70">IF(
OR(AD70="",ISERROR(AD70)),
"-",
_xlfn.UNIQUE(_xlfn._xlws.FILTER([1]Sheet1!$D$2:$D$200,ISNUMBER(SEARCH(AD70,[1]Sheet1!$D$2:$D$200))))
)</f>
        <v>태성종합물류</v>
      </c>
      <c r="T70" s="22" t="s">
        <v>392</v>
      </c>
      <c r="U70" s="16" t="str" cm="1">
        <f t="array" ref="U70">IF(
OR(AD70="",ISERROR(AD70)),
"-",
_xlfn.UNIQUE(_xlfn._xlws.FILTER([1]Sheet1!$D$2:$D$200,ISNUMBER(SEARCH(AD70,[1]Sheet1!$D$2:$D$200))))
)</f>
        <v>태성종합물류</v>
      </c>
      <c r="V70" s="23">
        <v>359000</v>
      </c>
      <c r="W70" s="23">
        <v>334800</v>
      </c>
      <c r="X70" s="23">
        <f t="shared" si="2"/>
        <v>24200</v>
      </c>
      <c r="Y70" s="25" t="s">
        <v>393</v>
      </c>
      <c r="Z70" s="19" t="s">
        <v>51</v>
      </c>
      <c r="AA70" s="19" t="s">
        <v>93</v>
      </c>
      <c r="AB70" s="18" t="s">
        <v>257</v>
      </c>
      <c r="AC70" s="17" t="str">
        <f t="shared" si="3"/>
        <v>Y</v>
      </c>
      <c r="AD70" s="17" t="s">
        <v>82</v>
      </c>
      <c r="AF70" s="27" t="s">
        <v>55</v>
      </c>
      <c r="AG70" s="27" t="s">
        <v>55</v>
      </c>
      <c r="AI70" s="28" t="s">
        <v>57</v>
      </c>
    </row>
    <row r="71" spans="1:35" ht="34.950000000000003" customHeight="1" x14ac:dyDescent="0.4">
      <c r="A71" s="16" t="s">
        <v>36</v>
      </c>
      <c r="B71" s="16" t="s">
        <v>99</v>
      </c>
      <c r="C71" s="17">
        <v>45994</v>
      </c>
      <c r="D71" s="16" t="s">
        <v>216</v>
      </c>
      <c r="E71" s="16" t="s">
        <v>387</v>
      </c>
      <c r="F71" s="16">
        <v>28814</v>
      </c>
      <c r="G71" s="18" t="s">
        <v>388</v>
      </c>
      <c r="H71" s="16" t="s">
        <v>41</v>
      </c>
      <c r="I71" s="19" t="s">
        <v>219</v>
      </c>
      <c r="J71" s="16" t="str">
        <f>IFERROR(VLOOKUP(I71,[1]Sheet1!$A$1:$B$200,2,0),"_")</f>
        <v>NN</v>
      </c>
      <c r="K71" s="19" t="s">
        <v>219</v>
      </c>
      <c r="L71" s="16" t="str">
        <f>IFERROR(VLOOKUP(K71,[1]Sheet1!$A$1:$B$200,2,0),"-")</f>
        <v>NN</v>
      </c>
      <c r="M71" s="19" t="s">
        <v>221</v>
      </c>
      <c r="N71" s="16" t="str">
        <f>IFERROR(VLOOKUP(M71,[1]Sheet1!$G$2:$H$200,2,0),"-")</f>
        <v>DOOW</v>
      </c>
      <c r="O71" s="18" t="s">
        <v>389</v>
      </c>
      <c r="P71" s="17">
        <v>45998</v>
      </c>
      <c r="Q71" s="20" t="s">
        <v>390</v>
      </c>
      <c r="R71" s="20" t="s">
        <v>391</v>
      </c>
      <c r="S71" s="21" t="str" cm="1">
        <f t="array" ref="S71">IF(
OR(AD71="",ISERROR(AD71)),
"-",
_xlfn.UNIQUE(_xlfn._xlws.FILTER([1]Sheet1!$D$2:$D$200,ISNUMBER(SEARCH(AD71,[1]Sheet1!$D$2:$D$200))))
)</f>
        <v>태성종합물류</v>
      </c>
      <c r="T71" s="22" t="s">
        <v>392</v>
      </c>
      <c r="U71" s="16" t="str" cm="1">
        <f t="array" ref="U71">IF(
OR(AD71="",ISERROR(AD71)),
"-",
_xlfn.UNIQUE(_xlfn._xlws.FILTER([1]Sheet1!$D$2:$D$200,ISNUMBER(SEARCH(AD71,[1]Sheet1!$D$2:$D$200))))
)</f>
        <v>태성종합물류</v>
      </c>
      <c r="V71" s="23">
        <v>10000</v>
      </c>
      <c r="W71" s="23">
        <v>10000</v>
      </c>
      <c r="X71" s="23">
        <f t="shared" si="2"/>
        <v>0</v>
      </c>
      <c r="Y71" s="25" t="s">
        <v>394</v>
      </c>
      <c r="Z71" s="19" t="s">
        <v>51</v>
      </c>
      <c r="AA71" s="19" t="s">
        <v>93</v>
      </c>
      <c r="AB71" s="18" t="s">
        <v>395</v>
      </c>
      <c r="AC71" s="17" t="str">
        <f t="shared" si="3"/>
        <v>Y</v>
      </c>
      <c r="AD71" s="17" t="s">
        <v>82</v>
      </c>
      <c r="AF71" s="27" t="s">
        <v>55</v>
      </c>
      <c r="AG71" s="27" t="s">
        <v>55</v>
      </c>
      <c r="AI71" s="28" t="s">
        <v>57</v>
      </c>
    </row>
    <row r="72" spans="1:35" ht="34.950000000000003" customHeight="1" x14ac:dyDescent="0.4">
      <c r="A72" s="16" t="s">
        <v>36</v>
      </c>
      <c r="B72" s="16" t="s">
        <v>37</v>
      </c>
      <c r="C72" s="17">
        <v>45994</v>
      </c>
      <c r="D72" s="16" t="s">
        <v>396</v>
      </c>
      <c r="E72" s="16" t="s">
        <v>397</v>
      </c>
      <c r="F72" s="16">
        <v>16502</v>
      </c>
      <c r="G72" s="18" t="s">
        <v>398</v>
      </c>
      <c r="H72" s="16" t="s">
        <v>41</v>
      </c>
      <c r="I72" s="19" t="s">
        <v>86</v>
      </c>
      <c r="J72" s="16" t="str">
        <f>IFERROR(VLOOKUP(I72,[1]Sheet1!$A$1:$B$200,2,0),"_")</f>
        <v>HP</v>
      </c>
      <c r="K72" s="19" t="s">
        <v>86</v>
      </c>
      <c r="L72" s="16" t="str">
        <f>IFERROR(VLOOKUP(K72,[1]Sheet1!$A$1:$B$200,2,0),"-")</f>
        <v>HP</v>
      </c>
      <c r="M72" s="19" t="s">
        <v>87</v>
      </c>
      <c r="N72" s="16" t="str">
        <f>IFERROR(VLOOKUP(M72,[1]Sheet1!$G$2:$H$200,2,0),"-")</f>
        <v>HDMU</v>
      </c>
      <c r="O72" s="18" t="s">
        <v>399</v>
      </c>
      <c r="P72" s="17"/>
      <c r="Q72" s="20" t="s">
        <v>400</v>
      </c>
      <c r="R72" s="20" t="s">
        <v>401</v>
      </c>
      <c r="S72" s="21" t="str" cm="1">
        <f t="array" ref="S72">IF(
OR(AD72="",ISERROR(AD72)),
"-",
_xlfn.UNIQUE(_xlfn._xlws.FILTER([1]Sheet1!$D$2:$D$200,ISNUMBER(SEARCH(AD72,[1]Sheet1!$D$2:$D$200))))
)</f>
        <v>동방 익스프레스</v>
      </c>
      <c r="T72" s="22" t="s">
        <v>402</v>
      </c>
      <c r="U72" s="16" t="str" cm="1">
        <f t="array" ref="U72">IF(
OR(AD72="",ISERROR(AD72)),
"-",
_xlfn.UNIQUE(_xlfn._xlws.FILTER([1]Sheet1!$D$2:$D$200,ISNUMBER(SEARCH(AD72,[1]Sheet1!$D$2:$D$200))))
)</f>
        <v>동방 익스프레스</v>
      </c>
      <c r="V72" s="23">
        <v>720000</v>
      </c>
      <c r="W72" s="23">
        <v>650600</v>
      </c>
      <c r="X72" s="23">
        <f t="shared" si="2"/>
        <v>69400</v>
      </c>
      <c r="Y72" s="25" t="s">
        <v>403</v>
      </c>
      <c r="Z72" s="19" t="s">
        <v>51</v>
      </c>
      <c r="AA72" s="19" t="s">
        <v>52</v>
      </c>
      <c r="AC72" s="17" t="str">
        <f t="shared" si="3"/>
        <v>Y</v>
      </c>
      <c r="AD72" s="17" t="s">
        <v>116</v>
      </c>
      <c r="AF72" s="27" t="s">
        <v>55</v>
      </c>
      <c r="AG72" s="27" t="s">
        <v>55</v>
      </c>
      <c r="AI72" s="28" t="s">
        <v>228</v>
      </c>
    </row>
    <row r="73" spans="1:35" ht="34.950000000000003" customHeight="1" x14ac:dyDescent="0.4">
      <c r="A73" s="16" t="s">
        <v>36</v>
      </c>
      <c r="B73" s="16" t="s">
        <v>37</v>
      </c>
      <c r="C73" s="17">
        <v>45994</v>
      </c>
      <c r="D73" s="16" t="s">
        <v>396</v>
      </c>
      <c r="E73" s="16" t="s">
        <v>397</v>
      </c>
      <c r="F73" s="16">
        <v>16502</v>
      </c>
      <c r="G73" s="18" t="s">
        <v>398</v>
      </c>
      <c r="H73" s="16" t="s">
        <v>41</v>
      </c>
      <c r="I73" s="19" t="s">
        <v>86</v>
      </c>
      <c r="J73" s="16" t="str">
        <f>IFERROR(VLOOKUP(I73,[1]Sheet1!$A$1:$B$200,2,0),"_")</f>
        <v>HP</v>
      </c>
      <c r="K73" s="19" t="s">
        <v>86</v>
      </c>
      <c r="L73" s="16" t="str">
        <f>IFERROR(VLOOKUP(K73,[1]Sheet1!$A$1:$B$200,2,0),"-")</f>
        <v>HP</v>
      </c>
      <c r="M73" s="19" t="s">
        <v>87</v>
      </c>
      <c r="N73" s="16" t="str">
        <f>IFERROR(VLOOKUP(M73,[1]Sheet1!$G$2:$H$200,2,0),"-")</f>
        <v>HDMU</v>
      </c>
      <c r="O73" s="18" t="s">
        <v>399</v>
      </c>
      <c r="P73" s="17"/>
      <c r="Q73" s="20" t="s">
        <v>400</v>
      </c>
      <c r="R73" s="20" t="s">
        <v>401</v>
      </c>
      <c r="S73" s="21" t="str" cm="1">
        <f t="array" ref="S73">IF(
OR(AD73="",ISERROR(AD73)),
"-",
_xlfn.UNIQUE(_xlfn._xlws.FILTER([1]Sheet1!$D$2:$D$200,ISNUMBER(SEARCH(AD73,[1]Sheet1!$D$2:$D$200))))
)</f>
        <v>(주)금길종합운수</v>
      </c>
      <c r="T73" s="22" t="s">
        <v>402</v>
      </c>
      <c r="U73" s="16" t="str" cm="1">
        <f t="array" ref="U73">IF(
OR(AD73="",ISERROR(AD73)),
"-",
_xlfn.UNIQUE(_xlfn._xlws.FILTER([1]Sheet1!$D$2:$D$200,ISNUMBER(SEARCH(AD73,[1]Sheet1!$D$2:$D$200))))
)</f>
        <v>(주)금길종합운수</v>
      </c>
      <c r="V73" s="23">
        <v>43000</v>
      </c>
      <c r="W73" s="23">
        <v>43000</v>
      </c>
      <c r="X73" s="23">
        <f t="shared" si="2"/>
        <v>0</v>
      </c>
      <c r="Y73" s="25" t="s">
        <v>404</v>
      </c>
      <c r="Z73" s="19" t="s">
        <v>51</v>
      </c>
      <c r="AA73" s="19" t="s">
        <v>52</v>
      </c>
      <c r="AC73" s="17" t="str">
        <f t="shared" si="3"/>
        <v>Y</v>
      </c>
      <c r="AD73" s="17" t="s">
        <v>98</v>
      </c>
      <c r="AF73" s="27" t="s">
        <v>55</v>
      </c>
      <c r="AG73" s="27" t="s">
        <v>55</v>
      </c>
      <c r="AI73" s="28" t="s">
        <v>228</v>
      </c>
    </row>
    <row r="74" spans="1:35" ht="34.950000000000003" customHeight="1" x14ac:dyDescent="0.4">
      <c r="A74" s="16" t="s">
        <v>36</v>
      </c>
      <c r="B74" s="16" t="s">
        <v>37</v>
      </c>
      <c r="C74" s="17">
        <v>45994</v>
      </c>
      <c r="D74" s="16" t="s">
        <v>248</v>
      </c>
      <c r="E74" s="16" t="s">
        <v>249</v>
      </c>
      <c r="F74" s="16">
        <v>21577</v>
      </c>
      <c r="G74" s="18" t="s">
        <v>250</v>
      </c>
      <c r="H74" s="16" t="s">
        <v>41</v>
      </c>
      <c r="I74" s="19" t="s">
        <v>42</v>
      </c>
      <c r="J74" s="16" t="str">
        <f>IFERROR(VLOOKUP(I74,[1]Sheet1!$A$1:$B$200,2,0),"_")</f>
        <v>P</v>
      </c>
      <c r="K74" s="19" t="s">
        <v>42</v>
      </c>
      <c r="L74" s="16" t="str">
        <f>IFERROR(VLOOKUP(K74,[1]Sheet1!$A$1:$B$200,2,0),"-")</f>
        <v>P</v>
      </c>
      <c r="M74" s="19" t="s">
        <v>251</v>
      </c>
      <c r="N74" s="16" t="str">
        <f>IFERROR(VLOOKUP(M74,[1]Sheet1!$G$2:$H$200,2,0),"-")</f>
        <v>SNKO</v>
      </c>
      <c r="O74" s="29" t="s">
        <v>252</v>
      </c>
      <c r="P74" s="17">
        <v>46000</v>
      </c>
      <c r="Q74" s="20" t="s">
        <v>405</v>
      </c>
      <c r="R74" s="20" t="s">
        <v>406</v>
      </c>
      <c r="S74" s="21" t="str" cm="1">
        <f t="array" ref="S74">IF(
OR(AD74="",ISERROR(AD74)),
"-",
_xlfn.UNIQUE(_xlfn._xlws.FILTER([1]Sheet1!$D$2:$D$200,ISNUMBER(SEARCH(AD74,[1]Sheet1!$D$2:$D$200))))
)</f>
        <v>에스지로지스틱</v>
      </c>
      <c r="T74" s="22" t="s">
        <v>407</v>
      </c>
      <c r="U74" s="16" t="str" cm="1">
        <f t="array" ref="U74">IF(
OR(AD74="",ISERROR(AD74)),
"-",
_xlfn.UNIQUE(_xlfn._xlws.FILTER([1]Sheet1!$D$2:$D$200,ISNUMBER(SEARCH(AD74,[1]Sheet1!$D$2:$D$200))))
)</f>
        <v>에스지로지스틱</v>
      </c>
      <c r="V74" s="23">
        <v>390000</v>
      </c>
      <c r="W74" s="24">
        <v>357000</v>
      </c>
      <c r="X74" s="23">
        <f t="shared" si="2"/>
        <v>33000</v>
      </c>
      <c r="Y74" s="25" t="s">
        <v>256</v>
      </c>
      <c r="Z74" s="19" t="s">
        <v>51</v>
      </c>
      <c r="AA74" s="19" t="s">
        <v>144</v>
      </c>
      <c r="AB74" s="18" t="s">
        <v>257</v>
      </c>
      <c r="AC74" s="17" t="str">
        <f t="shared" si="3"/>
        <v>Y</v>
      </c>
      <c r="AD74" s="17" t="s">
        <v>184</v>
      </c>
      <c r="AF74" s="27" t="s">
        <v>55</v>
      </c>
      <c r="AG74" s="27" t="s">
        <v>55</v>
      </c>
      <c r="AI74" s="28" t="s">
        <v>228</v>
      </c>
    </row>
    <row r="75" spans="1:35" ht="34.950000000000003" customHeight="1" x14ac:dyDescent="0.4">
      <c r="A75" s="16" t="s">
        <v>71</v>
      </c>
      <c r="B75" s="16" t="s">
        <v>99</v>
      </c>
      <c r="C75" s="17">
        <v>45994</v>
      </c>
      <c r="D75" s="16" t="s">
        <v>126</v>
      </c>
      <c r="E75" s="16" t="s">
        <v>199</v>
      </c>
      <c r="F75" s="16">
        <v>22141</v>
      </c>
      <c r="G75" s="18" t="s">
        <v>200</v>
      </c>
      <c r="H75" s="16" t="s">
        <v>41</v>
      </c>
      <c r="I75" s="19" t="s">
        <v>219</v>
      </c>
      <c r="J75" s="16" t="str">
        <f>IFERROR(VLOOKUP(I75,[1]Sheet1!$A$1:$B$200,2,0),"_")</f>
        <v>NN</v>
      </c>
      <c r="K75" s="19" t="s">
        <v>219</v>
      </c>
      <c r="L75" s="16" t="str">
        <f>IFERROR(VLOOKUP(K75,[1]Sheet1!$A$1:$B$200,2,0),"-")</f>
        <v>NN</v>
      </c>
      <c r="M75" s="19" t="s">
        <v>77</v>
      </c>
      <c r="N75" s="16" t="str">
        <f>IFERROR(VLOOKUP(M75,[1]Sheet1!$G$2:$H$200,2,0),"-")</f>
        <v>KMTC</v>
      </c>
      <c r="O75" s="18" t="s">
        <v>55</v>
      </c>
      <c r="P75" s="17" t="s">
        <v>55</v>
      </c>
      <c r="Q75" s="20" t="s">
        <v>408</v>
      </c>
      <c r="R75" s="20"/>
      <c r="S75" s="21" t="str" cm="1">
        <f t="array" ref="S75">IF(
OR(AD75="",ISERROR(AD75)),
"-",
_xlfn.UNIQUE(_xlfn._xlws.FILTER([1]Sheet1!$D$2:$D$200,ISNUMBER(SEARCH(AD75,[1]Sheet1!$D$2:$D$200))))
)</f>
        <v>로지아이솔루션</v>
      </c>
      <c r="T75" s="22" t="s">
        <v>409</v>
      </c>
      <c r="U75" s="16" t="str" cm="1">
        <f t="array" ref="U75">IF(
OR(AD75="",ISERROR(AD75)),
"-",
_xlfn.UNIQUE(_xlfn._xlws.FILTER([1]Sheet1!$D$2:$D$200,ISNUMBER(SEARCH(AD75,[1]Sheet1!$D$2:$D$200))))
)</f>
        <v>로지아이솔루션</v>
      </c>
      <c r="V75" s="23">
        <v>270000</v>
      </c>
      <c r="W75" s="24">
        <v>259850</v>
      </c>
      <c r="X75" s="23">
        <f t="shared" si="2"/>
        <v>10150</v>
      </c>
      <c r="Y75" s="25" t="s">
        <v>410</v>
      </c>
      <c r="Z75" s="19" t="s">
        <v>51</v>
      </c>
      <c r="AA75" s="19" t="s">
        <v>81</v>
      </c>
      <c r="AB75" s="18" t="s">
        <v>205</v>
      </c>
      <c r="AC75" s="17" t="str">
        <f t="shared" si="3"/>
        <v>Y</v>
      </c>
      <c r="AD75" s="17" t="s">
        <v>206</v>
      </c>
      <c r="AF75" s="27" t="s">
        <v>55</v>
      </c>
      <c r="AG75" s="27" t="s">
        <v>55</v>
      </c>
      <c r="AI75" s="28" t="s">
        <v>228</v>
      </c>
    </row>
    <row r="76" spans="1:35" ht="34.950000000000003" customHeight="1" x14ac:dyDescent="0.4">
      <c r="A76" s="16" t="s">
        <v>36</v>
      </c>
      <c r="B76" s="16" t="s">
        <v>37</v>
      </c>
      <c r="C76" s="17">
        <v>45994</v>
      </c>
      <c r="D76" s="16" t="s">
        <v>248</v>
      </c>
      <c r="E76" s="16" t="s">
        <v>411</v>
      </c>
      <c r="F76" s="16">
        <v>850</v>
      </c>
      <c r="G76" s="18" t="s">
        <v>412</v>
      </c>
      <c r="H76" s="16" t="s">
        <v>41</v>
      </c>
      <c r="I76" s="19" t="s">
        <v>86</v>
      </c>
      <c r="J76" s="16" t="str">
        <f>IFERROR(VLOOKUP(I76,[1]Sheet1!$A$1:$B$200,2,0),"_")</f>
        <v>HP</v>
      </c>
      <c r="K76" s="19" t="s">
        <v>86</v>
      </c>
      <c r="L76" s="16" t="str">
        <f>IFERROR(VLOOKUP(K76,[1]Sheet1!$A$1:$B$200,2,0),"-")</f>
        <v>HP</v>
      </c>
      <c r="M76" s="19" t="s">
        <v>87</v>
      </c>
      <c r="N76" s="16" t="str">
        <f>IFERROR(VLOOKUP(M76,[1]Sheet1!$G$2:$H$200,2,0),"-")</f>
        <v>HDMU</v>
      </c>
      <c r="P76" s="17"/>
      <c r="Q76" s="20" t="s">
        <v>413</v>
      </c>
      <c r="R76" s="20" t="s">
        <v>414</v>
      </c>
      <c r="S76" s="21" t="str" cm="1">
        <f t="array" ref="S76">IF(
OR(AD76="",ISERROR(AD76)),
"-",
_xlfn.UNIQUE(_xlfn._xlws.FILTER([1]Sheet1!$D$2:$D$200,ISNUMBER(SEARCH(AD76,[1]Sheet1!$D$2:$D$200))))
)</f>
        <v>(주)부강에너지</v>
      </c>
      <c r="T76" s="22" t="s">
        <v>415</v>
      </c>
      <c r="U76" s="16" t="str" cm="1">
        <f t="array" ref="U76">IF(
OR(AD76="",ISERROR(AD76)),
"-",
_xlfn.UNIQUE(_xlfn._xlws.FILTER([1]Sheet1!$D$2:$D$200,ISNUMBER(SEARCH(AD76,[1]Sheet1!$D$2:$D$200))))
)</f>
        <v>(주)부강에너지</v>
      </c>
      <c r="V76" s="23">
        <v>316000</v>
      </c>
      <c r="W76" s="23">
        <v>275600</v>
      </c>
      <c r="X76" s="23">
        <f t="shared" si="2"/>
        <v>40400</v>
      </c>
      <c r="Y76" s="25" t="s">
        <v>416</v>
      </c>
      <c r="Z76" s="19" t="s">
        <v>51</v>
      </c>
      <c r="AA76" s="19" t="s">
        <v>144</v>
      </c>
      <c r="AB76" s="18" t="s">
        <v>257</v>
      </c>
      <c r="AC76" s="17" t="str">
        <f t="shared" si="3"/>
        <v>Y</v>
      </c>
      <c r="AD76" s="17" t="s">
        <v>197</v>
      </c>
      <c r="AF76" s="27" t="s">
        <v>55</v>
      </c>
      <c r="AG76" s="27" t="s">
        <v>55</v>
      </c>
      <c r="AI76" s="28" t="s">
        <v>228</v>
      </c>
    </row>
    <row r="77" spans="1:35" ht="34.950000000000003" customHeight="1" x14ac:dyDescent="0.4">
      <c r="A77" s="16" t="s">
        <v>36</v>
      </c>
      <c r="B77" s="16" t="s">
        <v>37</v>
      </c>
      <c r="C77" s="17">
        <v>45994</v>
      </c>
      <c r="D77" s="16" t="s">
        <v>248</v>
      </c>
      <c r="E77" s="16" t="s">
        <v>411</v>
      </c>
      <c r="F77" s="16">
        <v>850</v>
      </c>
      <c r="G77" s="18" t="s">
        <v>412</v>
      </c>
      <c r="H77" s="16" t="s">
        <v>41</v>
      </c>
      <c r="I77" s="19" t="s">
        <v>86</v>
      </c>
      <c r="J77" s="16" t="str">
        <f>IFERROR(VLOOKUP(I77,[1]Sheet1!$A$1:$B$200,2,0),"_")</f>
        <v>HP</v>
      </c>
      <c r="K77" s="19" t="s">
        <v>86</v>
      </c>
      <c r="L77" s="16" t="str">
        <f>IFERROR(VLOOKUP(K77,[1]Sheet1!$A$1:$B$200,2,0),"-")</f>
        <v>HP</v>
      </c>
      <c r="M77" s="19" t="s">
        <v>87</v>
      </c>
      <c r="N77" s="16" t="str">
        <f>IFERROR(VLOOKUP(M77,[1]Sheet1!$G$2:$H$200,2,0),"-")</f>
        <v>HDMU</v>
      </c>
      <c r="P77" s="17"/>
      <c r="Q77" s="20" t="s">
        <v>413</v>
      </c>
      <c r="R77" s="20" t="s">
        <v>414</v>
      </c>
      <c r="S77" s="21" t="str" cm="1">
        <f t="array" ref="S77">IF(
OR(AD77="",ISERROR(AD77)),
"-",
_xlfn.UNIQUE(_xlfn._xlws.FILTER([1]Sheet1!$D$2:$D$200,ISNUMBER(SEARCH(AD77,[1]Sheet1!$D$2:$D$200))))
)</f>
        <v>(주)부강에너지</v>
      </c>
      <c r="T77" s="22" t="s">
        <v>415</v>
      </c>
      <c r="U77" s="16" t="str" cm="1">
        <f t="array" ref="U77">IF(
OR(AD77="",ISERROR(AD77)),
"-",
_xlfn.UNIQUE(_xlfn._xlws.FILTER([1]Sheet1!$D$2:$D$200,ISNUMBER(SEARCH(AD77,[1]Sheet1!$D$2:$D$200))))
)</f>
        <v>(주)부강에너지</v>
      </c>
      <c r="V77" s="23">
        <v>43000</v>
      </c>
      <c r="W77" s="23">
        <v>43000</v>
      </c>
      <c r="X77" s="23">
        <f t="shared" si="2"/>
        <v>0</v>
      </c>
      <c r="Y77" s="25" t="s">
        <v>417</v>
      </c>
      <c r="Z77" s="19" t="s">
        <v>51</v>
      </c>
      <c r="AA77" s="19" t="s">
        <v>144</v>
      </c>
      <c r="AC77" s="17" t="str">
        <f t="shared" si="3"/>
        <v>Y</v>
      </c>
      <c r="AD77" s="17" t="s">
        <v>197</v>
      </c>
      <c r="AF77" s="27" t="s">
        <v>55</v>
      </c>
      <c r="AG77" s="27" t="s">
        <v>55</v>
      </c>
      <c r="AI77" s="28" t="s">
        <v>228</v>
      </c>
    </row>
    <row r="78" spans="1:35" ht="34.950000000000003" customHeight="1" x14ac:dyDescent="0.4">
      <c r="A78" s="16" t="s">
        <v>36</v>
      </c>
      <c r="B78" s="16" t="s">
        <v>37</v>
      </c>
      <c r="C78" s="17">
        <v>45994</v>
      </c>
      <c r="D78" s="16" t="s">
        <v>248</v>
      </c>
      <c r="E78" s="16" t="s">
        <v>411</v>
      </c>
      <c r="F78" s="16">
        <v>850</v>
      </c>
      <c r="G78" s="18" t="s">
        <v>412</v>
      </c>
      <c r="H78" s="16" t="s">
        <v>41</v>
      </c>
      <c r="I78" s="19" t="s">
        <v>86</v>
      </c>
      <c r="J78" s="16" t="str">
        <f>IFERROR(VLOOKUP(I78,[1]Sheet1!$A$1:$B$200,2,0),"_")</f>
        <v>HP</v>
      </c>
      <c r="K78" s="19" t="s">
        <v>86</v>
      </c>
      <c r="L78" s="16" t="str">
        <f>IFERROR(VLOOKUP(K78,[1]Sheet1!$A$1:$B$200,2,0),"-")</f>
        <v>HP</v>
      </c>
      <c r="M78" s="19" t="s">
        <v>87</v>
      </c>
      <c r="N78" s="16" t="str">
        <f>IFERROR(VLOOKUP(M78,[1]Sheet1!$G$2:$H$200,2,0),"-")</f>
        <v>HDMU</v>
      </c>
      <c r="P78" s="17"/>
      <c r="Q78" s="20" t="s">
        <v>413</v>
      </c>
      <c r="R78" s="20" t="s">
        <v>414</v>
      </c>
      <c r="S78" s="21" t="str" cm="1">
        <f t="array" ref="S78">IF(
OR(AD78="",ISERROR(AD78)),
"-",
_xlfn.UNIQUE(_xlfn._xlws.FILTER([1]Sheet1!$D$2:$D$200,ISNUMBER(SEARCH(AD78,[1]Sheet1!$D$2:$D$200))))
)</f>
        <v>(주)부강에너지</v>
      </c>
      <c r="T78" s="22" t="s">
        <v>415</v>
      </c>
      <c r="U78" s="16" t="str" cm="1">
        <f t="array" ref="U78">IF(
OR(AD78="",ISERROR(AD78)),
"-",
_xlfn.UNIQUE(_xlfn._xlws.FILTER([1]Sheet1!$D$2:$D$200,ISNUMBER(SEARCH(AD78,[1]Sheet1!$D$2:$D$200))))
)</f>
        <v>(주)부강에너지</v>
      </c>
      <c r="V78" s="23">
        <v>10000</v>
      </c>
      <c r="W78" s="23">
        <v>10000</v>
      </c>
      <c r="X78" s="23">
        <f t="shared" si="2"/>
        <v>0</v>
      </c>
      <c r="Y78" s="25" t="s">
        <v>418</v>
      </c>
      <c r="Z78" s="19" t="s">
        <v>51</v>
      </c>
      <c r="AA78" s="19" t="s">
        <v>144</v>
      </c>
      <c r="AC78" s="17" t="str">
        <f t="shared" si="3"/>
        <v>Y</v>
      </c>
      <c r="AD78" s="17" t="s">
        <v>197</v>
      </c>
      <c r="AF78" s="27" t="s">
        <v>55</v>
      </c>
      <c r="AG78" s="27" t="s">
        <v>55</v>
      </c>
      <c r="AI78" s="28" t="s">
        <v>228</v>
      </c>
    </row>
    <row r="79" spans="1:35" ht="34.950000000000003" customHeight="1" x14ac:dyDescent="0.4">
      <c r="A79" s="16" t="s">
        <v>71</v>
      </c>
      <c r="B79" s="16" t="s">
        <v>37</v>
      </c>
      <c r="C79" s="17">
        <v>45994</v>
      </c>
      <c r="D79" s="16" t="s">
        <v>155</v>
      </c>
      <c r="E79" s="16" t="s">
        <v>156</v>
      </c>
      <c r="F79" s="16">
        <v>28518</v>
      </c>
      <c r="G79" s="18" t="s">
        <v>157</v>
      </c>
      <c r="H79" s="16" t="s">
        <v>59</v>
      </c>
      <c r="I79" s="19" t="s">
        <v>62</v>
      </c>
      <c r="J79" s="16" t="str">
        <f>IFERROR(VLOOKUP(I79,[1]Sheet1!$A$1:$B$200,2,0),"_")</f>
        <v>Y1</v>
      </c>
      <c r="K79" s="19" t="s">
        <v>158</v>
      </c>
      <c r="L79" s="16" t="str">
        <f>IFERROR(VLOOKUP(K79,[1]Sheet1!$A$1:$B$200,2,0),"-")</f>
        <v>DG</v>
      </c>
      <c r="M79" s="19" t="s">
        <v>159</v>
      </c>
      <c r="N79" s="16" t="str">
        <f>IFERROR(VLOOKUP(M79,[1]Sheet1!$G$2:$H$200,2,0),"-")</f>
        <v>MAEU</v>
      </c>
      <c r="O79" s="31" t="s">
        <v>55</v>
      </c>
      <c r="P79" s="17" t="s">
        <v>55</v>
      </c>
      <c r="Q79" s="20" t="s">
        <v>160</v>
      </c>
      <c r="R79" s="20"/>
      <c r="S79" s="21" t="str" cm="1">
        <f t="array" ref="S79">IF(
OR(AD79="",ISERROR(AD79)),
"-",
_xlfn.UNIQUE(_xlfn._xlws.FILTER([1]Sheet1!$D$2:$D$200,ISNUMBER(SEARCH(AD79,[1]Sheet1!$D$2:$D$200))))
)</f>
        <v>(주)유진로직스</v>
      </c>
      <c r="T79" s="22" t="s">
        <v>419</v>
      </c>
      <c r="U79" s="16" t="str" cm="1">
        <f t="array" ref="U79">IF(
OR(AD79="",ISERROR(AD79)),
"-",
_xlfn.UNIQUE(_xlfn._xlws.FILTER([1]Sheet1!$D$2:$D$200,ISNUMBER(SEARCH(AD79,[1]Sheet1!$D$2:$D$200))))
)</f>
        <v>(주)유진로직스</v>
      </c>
      <c r="V79" s="23">
        <v>310000</v>
      </c>
      <c r="W79" s="24">
        <v>280000</v>
      </c>
      <c r="X79" s="23">
        <f t="shared" si="2"/>
        <v>30000</v>
      </c>
      <c r="Y79" s="25" t="s">
        <v>420</v>
      </c>
      <c r="Z79" s="19" t="s">
        <v>51</v>
      </c>
      <c r="AA79" s="19" t="s">
        <v>144</v>
      </c>
      <c r="AB79" s="18" t="s">
        <v>421</v>
      </c>
      <c r="AC79" s="17" t="str">
        <f t="shared" si="3"/>
        <v>Y</v>
      </c>
      <c r="AD79" s="17" t="s">
        <v>70</v>
      </c>
      <c r="AF79" s="27" t="s">
        <v>55</v>
      </c>
      <c r="AG79" s="27" t="s">
        <v>55</v>
      </c>
      <c r="AI79" s="28" t="s">
        <v>228</v>
      </c>
    </row>
    <row r="80" spans="1:35" ht="34.950000000000003" customHeight="1" x14ac:dyDescent="0.4">
      <c r="A80" s="16" t="s">
        <v>71</v>
      </c>
      <c r="B80" s="16" t="s">
        <v>37</v>
      </c>
      <c r="C80" s="17">
        <v>45994</v>
      </c>
      <c r="D80" s="16" t="s">
        <v>155</v>
      </c>
      <c r="E80" s="16" t="s">
        <v>156</v>
      </c>
      <c r="F80" s="16">
        <v>28518</v>
      </c>
      <c r="G80" s="18" t="s">
        <v>157</v>
      </c>
      <c r="H80" s="16" t="s">
        <v>59</v>
      </c>
      <c r="I80" s="19" t="s">
        <v>62</v>
      </c>
      <c r="J80" s="16" t="str">
        <f>IFERROR(VLOOKUP(I80,[1]Sheet1!$A$1:$B$200,2,0),"_")</f>
        <v>Y1</v>
      </c>
      <c r="K80" s="19" t="s">
        <v>158</v>
      </c>
      <c r="L80" s="16" t="str">
        <f>IFERROR(VLOOKUP(K80,[1]Sheet1!$A$1:$B$200,2,0),"-")</f>
        <v>DG</v>
      </c>
      <c r="M80" s="19" t="s">
        <v>159</v>
      </c>
      <c r="N80" s="16" t="str">
        <f>IFERROR(VLOOKUP(M80,[1]Sheet1!$G$2:$H$200,2,0),"-")</f>
        <v>MAEU</v>
      </c>
      <c r="O80" s="31" t="s">
        <v>55</v>
      </c>
      <c r="P80" s="17" t="s">
        <v>55</v>
      </c>
      <c r="Q80" s="20" t="s">
        <v>160</v>
      </c>
      <c r="R80" s="20"/>
      <c r="S80" s="21" t="str" cm="1">
        <f t="array" ref="S80">IF(
OR(AD80="",ISERROR(AD80)),
"-",
_xlfn.UNIQUE(_xlfn._xlws.FILTER([1]Sheet1!$D$2:$D$200,ISNUMBER(SEARCH(AD80,[1]Sheet1!$D$2:$D$200))))
)</f>
        <v>(주)유진로직스</v>
      </c>
      <c r="T80" s="22" t="s">
        <v>419</v>
      </c>
      <c r="U80" s="16" t="str" cm="1">
        <f t="array" ref="U80">IF(
OR(AD80="",ISERROR(AD80)),
"-",
_xlfn.UNIQUE(_xlfn._xlws.FILTER([1]Sheet1!$D$2:$D$200,ISNUMBER(SEARCH(AD80,[1]Sheet1!$D$2:$D$200))))
)</f>
        <v>(주)유진로직스</v>
      </c>
      <c r="V80" s="23">
        <v>50000</v>
      </c>
      <c r="W80" s="24">
        <v>50000</v>
      </c>
      <c r="X80" s="23">
        <f t="shared" si="2"/>
        <v>0</v>
      </c>
      <c r="Y80" s="25" t="s">
        <v>422</v>
      </c>
      <c r="Z80" s="19" t="s">
        <v>51</v>
      </c>
      <c r="AA80" s="19" t="s">
        <v>144</v>
      </c>
      <c r="AC80" s="17" t="str">
        <f t="shared" si="3"/>
        <v>Y</v>
      </c>
      <c r="AD80" s="17" t="s">
        <v>70</v>
      </c>
      <c r="AF80" s="27" t="s">
        <v>55</v>
      </c>
      <c r="AG80" s="27" t="s">
        <v>55</v>
      </c>
      <c r="AI80" s="28" t="s">
        <v>228</v>
      </c>
    </row>
    <row r="81" spans="1:35" ht="34.950000000000003" customHeight="1" x14ac:dyDescent="0.4">
      <c r="A81" s="16" t="s">
        <v>36</v>
      </c>
      <c r="B81" s="16" t="s">
        <v>37</v>
      </c>
      <c r="C81" s="17">
        <v>45994</v>
      </c>
      <c r="D81" s="16" t="s">
        <v>188</v>
      </c>
      <c r="E81" s="16" t="s">
        <v>189</v>
      </c>
      <c r="F81" s="16">
        <v>16725</v>
      </c>
      <c r="G81" s="18" t="s">
        <v>190</v>
      </c>
      <c r="H81" s="16" t="s">
        <v>41</v>
      </c>
      <c r="I81" s="19" t="s">
        <v>42</v>
      </c>
      <c r="J81" s="16" t="str">
        <f>IFERROR(VLOOKUP(I81,[1]Sheet1!$A$1:$B$200,2,0),"_")</f>
        <v>P</v>
      </c>
      <c r="K81" s="19" t="s">
        <v>42</v>
      </c>
      <c r="L81" s="16" t="str">
        <f>IFERROR(VLOOKUP(K81,[1]Sheet1!$A$1:$B$200,2,0),"-")</f>
        <v>P</v>
      </c>
      <c r="M81" s="19" t="s">
        <v>191</v>
      </c>
      <c r="N81" s="16" t="str">
        <f>IFERROR(VLOOKUP(M81,[1]Sheet1!$G$2:$H$200,2,0),"-")</f>
        <v>HASL</v>
      </c>
      <c r="O81" s="27" t="s">
        <v>423</v>
      </c>
      <c r="P81" s="17">
        <v>45999</v>
      </c>
      <c r="Q81" s="20" t="s">
        <v>424</v>
      </c>
      <c r="R81" s="20" t="s">
        <v>425</v>
      </c>
      <c r="S81" s="21" t="str" cm="1">
        <f t="array" ref="S81">IF(
OR(AD81="",ISERROR(AD81)),
"-",
_xlfn.UNIQUE(_xlfn._xlws.FILTER([1]Sheet1!$D$2:$D$200,ISNUMBER(SEARCH(AD81,[1]Sheet1!$D$2:$D$200))))
)</f>
        <v>(주)부강에너지</v>
      </c>
      <c r="T81" s="22" t="s">
        <v>426</v>
      </c>
      <c r="U81" s="16" t="str" cm="1">
        <f t="array" ref="U81">IF(
OR(AD81="",ISERROR(AD81)),
"-",
_xlfn.UNIQUE(_xlfn._xlws.FILTER([1]Sheet1!$D$2:$D$200,ISNUMBER(SEARCH(AD81,[1]Sheet1!$D$2:$D$200))))
)</f>
        <v>(주)부강에너지</v>
      </c>
      <c r="V81" s="23">
        <v>250000</v>
      </c>
      <c r="W81" s="24">
        <v>220000</v>
      </c>
      <c r="X81" s="23">
        <f t="shared" si="2"/>
        <v>30000</v>
      </c>
      <c r="Y81" s="25" t="s">
        <v>195</v>
      </c>
      <c r="Z81" s="19" t="s">
        <v>51</v>
      </c>
      <c r="AA81" s="19" t="s">
        <v>81</v>
      </c>
      <c r="AC81" s="17" t="str">
        <f t="shared" si="3"/>
        <v>Y</v>
      </c>
      <c r="AD81" s="17" t="s">
        <v>197</v>
      </c>
      <c r="AF81" s="27" t="s">
        <v>55</v>
      </c>
      <c r="AG81" s="27" t="s">
        <v>55</v>
      </c>
      <c r="AI81" s="28" t="s">
        <v>228</v>
      </c>
    </row>
    <row r="82" spans="1:35" ht="34.950000000000003" customHeight="1" x14ac:dyDescent="0.4">
      <c r="A82" s="16" t="s">
        <v>71</v>
      </c>
      <c r="B82" s="16" t="s">
        <v>37</v>
      </c>
      <c r="C82" s="17">
        <v>45995</v>
      </c>
      <c r="D82" s="16" t="s">
        <v>207</v>
      </c>
      <c r="E82" s="16" t="s">
        <v>427</v>
      </c>
      <c r="F82" s="16">
        <v>24391</v>
      </c>
      <c r="G82" s="18" t="s">
        <v>428</v>
      </c>
      <c r="H82" s="16" t="s">
        <v>41</v>
      </c>
      <c r="I82" s="19" t="s">
        <v>42</v>
      </c>
      <c r="J82" s="16" t="str">
        <f>IFERROR(VLOOKUP(I82,[1]Sheet1!$A$1:$B$200,2,0),"_")</f>
        <v>P</v>
      </c>
      <c r="K82" s="19" t="s">
        <v>42</v>
      </c>
      <c r="L82" s="16" t="str">
        <f>IFERROR(VLOOKUP(K82,[1]Sheet1!$A$1:$B$200,2,0),"-")</f>
        <v>P</v>
      </c>
      <c r="M82" s="19" t="s">
        <v>191</v>
      </c>
      <c r="N82" s="16" t="str">
        <f>IFERROR(VLOOKUP(M82,[1]Sheet1!$G$2:$H$200,2,0),"-")</f>
        <v>HASL</v>
      </c>
      <c r="O82" s="31" t="s">
        <v>55</v>
      </c>
      <c r="P82" s="17" t="s">
        <v>55</v>
      </c>
      <c r="Q82" s="20" t="s">
        <v>429</v>
      </c>
      <c r="R82" s="20"/>
      <c r="S82" s="21" t="str" cm="1">
        <f t="array" ref="S82">IF(
OR(AD82="",ISERROR(AD82)),
"-",
_xlfn.UNIQUE(_xlfn._xlws.FILTER([1]Sheet1!$D$2:$D$200,ISNUMBER(SEARCH(AD82,[1]Sheet1!$D$2:$D$200))))
)</f>
        <v>동방 익스프레스</v>
      </c>
      <c r="T82" s="22" t="s">
        <v>430</v>
      </c>
      <c r="U82" s="16" t="str" cm="1">
        <f t="array" ref="U82">IF(
OR(AD82="",ISERROR(AD82)),
"-",
_xlfn.UNIQUE(_xlfn._xlws.FILTER([1]Sheet1!$D$2:$D$200,ISNUMBER(SEARCH(AD82,[1]Sheet1!$D$2:$D$200))))
)</f>
        <v>동방 익스프레스</v>
      </c>
      <c r="V82" s="23">
        <v>379000</v>
      </c>
      <c r="W82" s="23">
        <v>355000</v>
      </c>
      <c r="X82" s="23">
        <f t="shared" si="2"/>
        <v>24000</v>
      </c>
      <c r="Y82" s="25" t="s">
        <v>431</v>
      </c>
      <c r="Z82" s="19" t="s">
        <v>51</v>
      </c>
      <c r="AA82" s="19" t="s">
        <v>115</v>
      </c>
      <c r="AC82" s="17" t="str">
        <f t="shared" si="3"/>
        <v>Y</v>
      </c>
      <c r="AD82" s="17" t="s">
        <v>116</v>
      </c>
      <c r="AF82" s="27" t="s">
        <v>55</v>
      </c>
      <c r="AG82" s="27" t="s">
        <v>55</v>
      </c>
      <c r="AI82" s="28" t="s">
        <v>228</v>
      </c>
    </row>
    <row r="83" spans="1:35" ht="34.950000000000003" customHeight="1" x14ac:dyDescent="0.4">
      <c r="A83" s="16" t="s">
        <v>71</v>
      </c>
      <c r="B83" s="16" t="s">
        <v>37</v>
      </c>
      <c r="C83" s="17">
        <v>45995</v>
      </c>
      <c r="D83" s="16" t="s">
        <v>109</v>
      </c>
      <c r="E83" s="16" t="s">
        <v>110</v>
      </c>
      <c r="F83" s="16">
        <v>12650</v>
      </c>
      <c r="G83" s="18" t="s">
        <v>111</v>
      </c>
      <c r="H83" s="16" t="s">
        <v>75</v>
      </c>
      <c r="I83" s="19" t="s">
        <v>272</v>
      </c>
      <c r="J83" s="16" t="str">
        <f>IFERROR(VLOOKUP(I83,[1]Sheet1!$A$1:$B$200,2,0),"_")</f>
        <v>Z9</v>
      </c>
      <c r="K83" s="19" t="s">
        <v>272</v>
      </c>
      <c r="L83" s="16" t="str">
        <f>IFERROR(VLOOKUP(K83,[1]Sheet1!$A$1:$B$200,2,0),"-")</f>
        <v>Z9</v>
      </c>
      <c r="M83" s="19" t="s">
        <v>432</v>
      </c>
      <c r="N83" s="16" t="str">
        <f>IFERROR(VLOOKUP(M83,[1]Sheet1!$G$2:$H$200,2,0),"-")</f>
        <v>CKCO</v>
      </c>
      <c r="O83" s="18" t="s">
        <v>55</v>
      </c>
      <c r="P83" s="17" t="s">
        <v>55</v>
      </c>
      <c r="Q83" s="20" t="s">
        <v>433</v>
      </c>
      <c r="R83" s="20"/>
      <c r="S83" s="21" t="str" cm="1">
        <f t="array" ref="S83">IF(
OR(AD83="",ISERROR(AD83)),
"-",
_xlfn.UNIQUE(_xlfn._xlws.FILTER([1]Sheet1!$D$2:$D$200,ISNUMBER(SEARCH(AD83,[1]Sheet1!$D$2:$D$200))))
)</f>
        <v>백승운수</v>
      </c>
      <c r="T83" s="22" t="s">
        <v>434</v>
      </c>
      <c r="U83" s="16" t="str" cm="1">
        <f t="array" ref="U83">IF(
OR(AD83="",ISERROR(AD83)),
"-",
_xlfn.UNIQUE(_xlfn._xlws.FILTER([1]Sheet1!$D$2:$D$200,ISNUMBER(SEARCH(AD83,[1]Sheet1!$D$2:$D$200))))
)</f>
        <v>백승운수</v>
      </c>
      <c r="V83" s="23">
        <v>365000</v>
      </c>
      <c r="W83" s="24">
        <v>342000</v>
      </c>
      <c r="X83" s="23">
        <f t="shared" si="2"/>
        <v>23000</v>
      </c>
      <c r="Y83" s="25" t="s">
        <v>435</v>
      </c>
      <c r="Z83" s="19" t="s">
        <v>51</v>
      </c>
      <c r="AA83" s="19" t="s">
        <v>115</v>
      </c>
      <c r="AC83" s="17" t="str">
        <f t="shared" si="3"/>
        <v>Y</v>
      </c>
      <c r="AD83" s="17" t="s">
        <v>95</v>
      </c>
      <c r="AF83" s="27" t="s">
        <v>55</v>
      </c>
      <c r="AG83" s="27" t="s">
        <v>55</v>
      </c>
      <c r="AI83" s="28" t="s">
        <v>228</v>
      </c>
    </row>
    <row r="84" spans="1:35" ht="34.950000000000003" customHeight="1" x14ac:dyDescent="0.4">
      <c r="A84" s="16" t="s">
        <v>36</v>
      </c>
      <c r="B84" s="16" t="s">
        <v>37</v>
      </c>
      <c r="C84" s="17">
        <v>45995</v>
      </c>
      <c r="D84" s="16" t="s">
        <v>436</v>
      </c>
      <c r="E84" s="16" t="s">
        <v>229</v>
      </c>
      <c r="F84" s="16">
        <v>3641</v>
      </c>
      <c r="G84" s="18" t="s">
        <v>230</v>
      </c>
      <c r="H84" s="16" t="s">
        <v>41</v>
      </c>
      <c r="I84" s="19" t="s">
        <v>137</v>
      </c>
      <c r="J84" s="16" t="str">
        <f>IFERROR(VLOOKUP(I84,[1]Sheet1!$A$1:$B$200,2,0),"_")</f>
        <v>BE</v>
      </c>
      <c r="K84" s="19" t="s">
        <v>42</v>
      </c>
      <c r="L84" s="16" t="str">
        <f>IFERROR(VLOOKUP(K84,[1]Sheet1!$A$1:$B$200,2,0),"-")</f>
        <v>P</v>
      </c>
      <c r="M84" s="19" t="s">
        <v>191</v>
      </c>
      <c r="N84" s="16" t="str">
        <f>IFERROR(VLOOKUP(M84,[1]Sheet1!$G$2:$H$200,2,0),"-")</f>
        <v>HASL</v>
      </c>
      <c r="O84" s="18" t="s">
        <v>437</v>
      </c>
      <c r="P84" s="17">
        <v>46000</v>
      </c>
      <c r="Q84" s="20" t="s">
        <v>438</v>
      </c>
      <c r="R84" s="20" t="s">
        <v>439</v>
      </c>
      <c r="S84" s="21" t="str" cm="1">
        <f t="array" ref="S84">IF(
OR(AD84="",ISERROR(AD84)),
"-",
_xlfn.UNIQUE(_xlfn._xlws.FILTER([1]Sheet1!$D$2:$D$200,ISNUMBER(SEARCH(AD84,[1]Sheet1!$D$2:$D$200))))
)</f>
        <v>양양운수(주)</v>
      </c>
      <c r="T84" s="22" t="s">
        <v>440</v>
      </c>
      <c r="U84" s="16" t="str" cm="1">
        <f t="array" ref="U84">IF(
OR(AD84="",ISERROR(AD84)),
"-",
_xlfn.UNIQUE(_xlfn._xlws.FILTER([1]Sheet1!$D$2:$D$200,ISNUMBER(SEARCH(AD84,[1]Sheet1!$D$2:$D$200))))
)</f>
        <v>양양운수(주)</v>
      </c>
      <c r="V84" s="23">
        <v>455000</v>
      </c>
      <c r="W84" s="23">
        <v>412150</v>
      </c>
      <c r="X84" s="23">
        <f t="shared" si="2"/>
        <v>42850</v>
      </c>
      <c r="Y84" s="25" t="s">
        <v>441</v>
      </c>
      <c r="Z84" s="19" t="s">
        <v>51</v>
      </c>
      <c r="AA84" s="19" t="s">
        <v>81</v>
      </c>
      <c r="AC84" s="17" t="str">
        <f t="shared" si="3"/>
        <v>Y</v>
      </c>
      <c r="AD84" s="17" t="s">
        <v>238</v>
      </c>
      <c r="AF84" s="27" t="s">
        <v>55</v>
      </c>
      <c r="AG84" s="27" t="s">
        <v>55</v>
      </c>
      <c r="AI84" s="28" t="s">
        <v>57</v>
      </c>
    </row>
    <row r="85" spans="1:35" ht="34.950000000000003" customHeight="1" x14ac:dyDescent="0.4">
      <c r="A85" s="16" t="s">
        <v>36</v>
      </c>
      <c r="B85" s="16" t="s">
        <v>37</v>
      </c>
      <c r="C85" s="17">
        <v>45995</v>
      </c>
      <c r="D85" s="16" t="s">
        <v>436</v>
      </c>
      <c r="E85" s="16" t="s">
        <v>442</v>
      </c>
      <c r="F85" s="16">
        <v>2707</v>
      </c>
      <c r="G85" s="18" t="s">
        <v>230</v>
      </c>
      <c r="H85" s="16" t="s">
        <v>41</v>
      </c>
      <c r="I85" s="19" t="s">
        <v>137</v>
      </c>
      <c r="J85" s="16" t="str">
        <f>IFERROR(VLOOKUP(I85,[1]Sheet1!$A$1:$B$200,2,0),"_")</f>
        <v>BE</v>
      </c>
      <c r="K85" s="19" t="s">
        <v>42</v>
      </c>
      <c r="L85" s="16" t="str">
        <f>IFERROR(VLOOKUP(K85,[1]Sheet1!$A$1:$B$200,2,0),"-")</f>
        <v>P</v>
      </c>
      <c r="M85" s="19" t="s">
        <v>191</v>
      </c>
      <c r="N85" s="16" t="str">
        <f>IFERROR(VLOOKUP(M85,[1]Sheet1!$G$2:$H$200,2,0),"-")</f>
        <v>HASL</v>
      </c>
      <c r="O85" s="18" t="s">
        <v>437</v>
      </c>
      <c r="P85" s="17">
        <v>46000</v>
      </c>
      <c r="Q85" s="20" t="s">
        <v>438</v>
      </c>
      <c r="R85" s="20" t="s">
        <v>439</v>
      </c>
      <c r="S85" s="21" t="str" cm="1">
        <f t="array" ref="S85">IF(
OR(AD85="",ISERROR(AD85)),
"-",
_xlfn.UNIQUE(_xlfn._xlws.FILTER([1]Sheet1!$D$2:$D$200,ISNUMBER(SEARCH(AD85,[1]Sheet1!$D$2:$D$200))))
)</f>
        <v>양양운수(주)</v>
      </c>
      <c r="T85" s="22" t="s">
        <v>440</v>
      </c>
      <c r="U85" s="16" t="str" cm="1">
        <f t="array" ref="U85">IF(
OR(AD85="",ISERROR(AD85)),
"-",
_xlfn.UNIQUE(_xlfn._xlws.FILTER([1]Sheet1!$D$2:$D$200,ISNUMBER(SEARCH(AD85,[1]Sheet1!$D$2:$D$200))))
)</f>
        <v>양양운수(주)</v>
      </c>
      <c r="V85" s="23">
        <v>455000</v>
      </c>
      <c r="W85" s="23">
        <v>412150</v>
      </c>
      <c r="X85" s="23">
        <f t="shared" si="2"/>
        <v>42850</v>
      </c>
      <c r="Y85" s="25" t="s">
        <v>443</v>
      </c>
      <c r="Z85" s="19" t="s">
        <v>51</v>
      </c>
      <c r="AA85" s="19" t="s">
        <v>81</v>
      </c>
      <c r="AC85" s="17" t="str">
        <f t="shared" si="3"/>
        <v>Y</v>
      </c>
      <c r="AD85" s="17" t="s">
        <v>238</v>
      </c>
      <c r="AF85" s="27" t="s">
        <v>55</v>
      </c>
      <c r="AG85" s="27" t="s">
        <v>55</v>
      </c>
      <c r="AI85" s="28" t="s">
        <v>57</v>
      </c>
    </row>
    <row r="86" spans="1:35" ht="34.950000000000003" customHeight="1" x14ac:dyDescent="0.4">
      <c r="A86" s="16" t="s">
        <v>36</v>
      </c>
      <c r="B86" s="16" t="s">
        <v>37</v>
      </c>
      <c r="C86" s="17">
        <v>45995</v>
      </c>
      <c r="D86" s="16" t="s">
        <v>261</v>
      </c>
      <c r="E86" s="16" t="s">
        <v>444</v>
      </c>
      <c r="F86" s="16">
        <v>27174</v>
      </c>
      <c r="G86" s="18" t="s">
        <v>445</v>
      </c>
      <c r="H86" s="16" t="s">
        <v>41</v>
      </c>
      <c r="I86" s="19" t="s">
        <v>381</v>
      </c>
      <c r="J86" s="16" t="str">
        <f>IFERROR(VLOOKUP(I86,[1]Sheet1!$A$1:$B$200,2,0),"_")</f>
        <v>PT</v>
      </c>
      <c r="K86" s="19" t="s">
        <v>381</v>
      </c>
      <c r="L86" s="16" t="str">
        <f>IFERROR(VLOOKUP(K86,[1]Sheet1!$A$1:$B$200,2,0),"-")</f>
        <v>PT</v>
      </c>
      <c r="M86" s="19" t="s">
        <v>251</v>
      </c>
      <c r="N86" s="16" t="str">
        <f>IFERROR(VLOOKUP(M86,[1]Sheet1!$G$2:$H$200,2,0),"-")</f>
        <v>SNKO</v>
      </c>
      <c r="O86" s="18" t="s">
        <v>446</v>
      </c>
      <c r="P86" s="17">
        <v>46000</v>
      </c>
      <c r="Q86" s="20" t="s">
        <v>447</v>
      </c>
      <c r="R86" s="20" t="s">
        <v>448</v>
      </c>
      <c r="S86" s="21" t="str" cm="1">
        <f t="array" ref="S86">IF(
OR(AD86="",ISERROR(AD86)),
"-",
_xlfn.UNIQUE(_xlfn._xlws.FILTER([1]Sheet1!$D$2:$D$200,ISNUMBER(SEARCH(AD86,[1]Sheet1!$D$2:$D$200))))
)</f>
        <v>더로지스 주식회사</v>
      </c>
      <c r="T86" s="22" t="s">
        <v>449</v>
      </c>
      <c r="U86" s="16" t="str" cm="1">
        <f t="array" ref="U86">IF(
OR(AD86="",ISERROR(AD86)),
"-",
_xlfn.UNIQUE(_xlfn._xlws.FILTER([1]Sheet1!$D$2:$D$200,ISNUMBER(SEARCH(AD86,[1]Sheet1!$D$2:$D$200))))
)</f>
        <v>더로지스 주식회사</v>
      </c>
      <c r="V86" s="23">
        <v>205000</v>
      </c>
      <c r="W86" s="23">
        <v>190000</v>
      </c>
      <c r="X86" s="23">
        <f t="shared" si="2"/>
        <v>15000</v>
      </c>
      <c r="Y86" s="25" t="s">
        <v>450</v>
      </c>
      <c r="Z86" s="19" t="s">
        <v>51</v>
      </c>
      <c r="AA86" s="19" t="s">
        <v>93</v>
      </c>
      <c r="AC86" s="17" t="str">
        <f t="shared" si="3"/>
        <v>Y</v>
      </c>
      <c r="AD86" s="17" t="s">
        <v>386</v>
      </c>
      <c r="AF86" s="27" t="s">
        <v>55</v>
      </c>
      <c r="AG86" s="27" t="s">
        <v>55</v>
      </c>
      <c r="AI86" s="28" t="s">
        <v>228</v>
      </c>
    </row>
    <row r="87" spans="1:35" ht="34.950000000000003" customHeight="1" x14ac:dyDescent="0.4">
      <c r="A87" s="16" t="s">
        <v>36</v>
      </c>
      <c r="B87" s="16" t="s">
        <v>37</v>
      </c>
      <c r="C87" s="17">
        <v>45995</v>
      </c>
      <c r="D87" s="16" t="s">
        <v>261</v>
      </c>
      <c r="E87" s="16" t="s">
        <v>444</v>
      </c>
      <c r="F87" s="16">
        <v>27174</v>
      </c>
      <c r="G87" s="18" t="s">
        <v>445</v>
      </c>
      <c r="H87" s="16" t="s">
        <v>41</v>
      </c>
      <c r="I87" s="19" t="s">
        <v>381</v>
      </c>
      <c r="J87" s="16" t="str">
        <f>IFERROR(VLOOKUP(I87,[1]Sheet1!$A$1:$B$200,2,0),"_")</f>
        <v>PT</v>
      </c>
      <c r="K87" s="19" t="s">
        <v>381</v>
      </c>
      <c r="L87" s="16" t="str">
        <f>IFERROR(VLOOKUP(K87,[1]Sheet1!$A$1:$B$200,2,0),"-")</f>
        <v>PT</v>
      </c>
      <c r="M87" s="19" t="s">
        <v>251</v>
      </c>
      <c r="N87" s="16" t="str">
        <f>IFERROR(VLOOKUP(M87,[1]Sheet1!$G$2:$H$200,2,0),"-")</f>
        <v>SNKO</v>
      </c>
      <c r="O87" s="18" t="s">
        <v>446</v>
      </c>
      <c r="P87" s="17">
        <v>46000</v>
      </c>
      <c r="Q87" s="20" t="s">
        <v>447</v>
      </c>
      <c r="R87" s="20" t="s">
        <v>448</v>
      </c>
      <c r="S87" s="21" t="str" cm="1">
        <f t="array" ref="S87">IF(
OR(AD87="",ISERROR(AD87)),
"-",
_xlfn.UNIQUE(_xlfn._xlws.FILTER([1]Sheet1!$D$2:$D$200,ISNUMBER(SEARCH(AD87,[1]Sheet1!$D$2:$D$200))))
)</f>
        <v>더로지스 주식회사</v>
      </c>
      <c r="T87" s="22" t="s">
        <v>449</v>
      </c>
      <c r="U87" s="16" t="str" cm="1">
        <f t="array" ref="U87">IF(
OR(AD87="",ISERROR(AD87)),
"-",
_xlfn.UNIQUE(_xlfn._xlws.FILTER([1]Sheet1!$D$2:$D$200,ISNUMBER(SEARCH(AD87,[1]Sheet1!$D$2:$D$200))))
)</f>
        <v>더로지스 주식회사</v>
      </c>
      <c r="V87" s="23">
        <v>10000</v>
      </c>
      <c r="W87" s="23">
        <v>10000</v>
      </c>
      <c r="X87" s="23">
        <f t="shared" si="2"/>
        <v>0</v>
      </c>
      <c r="Y87" s="25" t="s">
        <v>451</v>
      </c>
      <c r="Z87" s="19" t="s">
        <v>51</v>
      </c>
      <c r="AA87" s="19" t="s">
        <v>93</v>
      </c>
      <c r="AC87" s="17" t="str">
        <f t="shared" si="3"/>
        <v>Y</v>
      </c>
      <c r="AD87" s="17" t="s">
        <v>386</v>
      </c>
      <c r="AF87" s="27" t="s">
        <v>55</v>
      </c>
      <c r="AG87" s="27" t="s">
        <v>55</v>
      </c>
      <c r="AI87" s="28" t="s">
        <v>228</v>
      </c>
    </row>
    <row r="88" spans="1:35" ht="34.950000000000003" customHeight="1" x14ac:dyDescent="0.4">
      <c r="A88" s="16" t="s">
        <v>71</v>
      </c>
      <c r="B88" s="16" t="s">
        <v>37</v>
      </c>
      <c r="C88" s="17">
        <v>45995</v>
      </c>
      <c r="D88" s="16" t="s">
        <v>452</v>
      </c>
      <c r="E88" s="16" t="s">
        <v>453</v>
      </c>
      <c r="F88" s="16">
        <v>28143</v>
      </c>
      <c r="G88" s="18" t="s">
        <v>454</v>
      </c>
      <c r="H88" s="16" t="s">
        <v>41</v>
      </c>
      <c r="I88" s="19" t="s">
        <v>455</v>
      </c>
      <c r="J88" s="16" t="str">
        <f>IFERROR(VLOOKUP(I88,[1]Sheet1!$A$1:$B$200,2,0),"_")</f>
        <v>BT</v>
      </c>
      <c r="K88" s="19" t="s">
        <v>455</v>
      </c>
      <c r="L88" s="16" t="str">
        <f>IFERROR(VLOOKUP(K88,[1]Sheet1!$A$1:$B$200,2,0),"-")</f>
        <v>BT</v>
      </c>
      <c r="M88" s="19" t="s">
        <v>382</v>
      </c>
      <c r="N88" s="16" t="str">
        <f>IFERROR(VLOOKUP(M88,[1]Sheet1!$G$2:$H$200,2,0),"-")</f>
        <v>EASL</v>
      </c>
      <c r="O88" s="18" t="s">
        <v>55</v>
      </c>
      <c r="P88" s="17" t="s">
        <v>55</v>
      </c>
      <c r="Q88" s="20" t="s">
        <v>456</v>
      </c>
      <c r="R88" s="20"/>
      <c r="S88" s="21" t="str" cm="1">
        <f t="array" ref="S88">IF(
OR(AD88="",ISERROR(AD88)),
"-",
_xlfn.UNIQUE(_xlfn._xlws.FILTER([1]Sheet1!$D$2:$D$200,ISNUMBER(SEARCH(AD88,[1]Sheet1!$D$2:$D$200))))
)</f>
        <v>에스지로지스틱</v>
      </c>
      <c r="T88" s="22" t="s">
        <v>457</v>
      </c>
      <c r="U88" s="16" t="str" cm="1">
        <f t="array" ref="U88">IF(
OR(AD88="",ISERROR(AD88)),
"-",
_xlfn.UNIQUE(_xlfn._xlws.FILTER([1]Sheet1!$D$2:$D$200,ISNUMBER(SEARCH(AD88,[1]Sheet1!$D$2:$D$200))))
)</f>
        <v>에스지로지스틱</v>
      </c>
      <c r="V88" s="23">
        <v>225000</v>
      </c>
      <c r="W88" s="23">
        <v>205000</v>
      </c>
      <c r="X88" s="23">
        <f t="shared" si="2"/>
        <v>20000</v>
      </c>
      <c r="Y88" s="25" t="s">
        <v>458</v>
      </c>
      <c r="Z88" s="19" t="s">
        <v>51</v>
      </c>
      <c r="AA88" s="19" t="s">
        <v>115</v>
      </c>
      <c r="AC88" s="17" t="str">
        <f t="shared" si="3"/>
        <v>Y</v>
      </c>
      <c r="AD88" s="17" t="s">
        <v>184</v>
      </c>
      <c r="AF88" s="27" t="s">
        <v>55</v>
      </c>
      <c r="AG88" s="27" t="s">
        <v>55</v>
      </c>
      <c r="AI88" s="28" t="s">
        <v>228</v>
      </c>
    </row>
    <row r="89" spans="1:35" ht="34.950000000000003" customHeight="1" x14ac:dyDescent="0.4">
      <c r="A89" s="16" t="s">
        <v>71</v>
      </c>
      <c r="B89" s="16" t="s">
        <v>37</v>
      </c>
      <c r="C89" s="17">
        <v>45995</v>
      </c>
      <c r="D89" s="16" t="s">
        <v>216</v>
      </c>
      <c r="E89" s="16" t="s">
        <v>459</v>
      </c>
      <c r="F89" s="16">
        <v>26699</v>
      </c>
      <c r="G89" s="18" t="s">
        <v>460</v>
      </c>
      <c r="H89" s="16" t="s">
        <v>41</v>
      </c>
      <c r="I89" s="19" t="s">
        <v>328</v>
      </c>
      <c r="J89" s="16" t="str">
        <f>IFERROR(VLOOKUP(I89,[1]Sheet1!$A$1:$B$200,2,0),"_")</f>
        <v>BT</v>
      </c>
      <c r="K89" s="19" t="s">
        <v>42</v>
      </c>
      <c r="L89" s="16" t="str">
        <f>IFERROR(VLOOKUP(K89,[1]Sheet1!$A$1:$B$200,2,0),"-")</f>
        <v>P</v>
      </c>
      <c r="M89" s="19" t="s">
        <v>151</v>
      </c>
      <c r="N89" s="16" t="str">
        <f>IFERROR(VLOOKUP(M89,[1]Sheet1!$G$2:$H$200,2,0),"-")</f>
        <v>NSSL</v>
      </c>
      <c r="O89" s="18" t="s">
        <v>55</v>
      </c>
      <c r="P89" s="17" t="s">
        <v>55</v>
      </c>
      <c r="Q89" s="20" t="s">
        <v>461</v>
      </c>
      <c r="R89" s="20"/>
      <c r="S89" s="21" t="str" cm="1">
        <f t="array" ref="S89">IF(
OR(AD89="",ISERROR(AD89)),
"-",
_xlfn.UNIQUE(_xlfn._xlws.FILTER([1]Sheet1!$D$2:$D$200,ISNUMBER(SEARCH(AD89,[1]Sheet1!$D$2:$D$200))))
)</f>
        <v>에스지로지스틱</v>
      </c>
      <c r="T89" s="22" t="s">
        <v>462</v>
      </c>
      <c r="U89" s="16" t="str" cm="1">
        <f t="array" ref="U89">IF(
OR(AD89="",ISERROR(AD89)),
"-",
_xlfn.UNIQUE(_xlfn._xlws.FILTER([1]Sheet1!$D$2:$D$200,ISNUMBER(SEARCH(AD89,[1]Sheet1!$D$2:$D$200))))
)</f>
        <v>에스지로지스틱</v>
      </c>
      <c r="V89" s="23">
        <v>350000</v>
      </c>
      <c r="W89" s="23">
        <v>337000</v>
      </c>
      <c r="X89" s="23">
        <f t="shared" si="2"/>
        <v>13000</v>
      </c>
      <c r="Y89" s="25" t="s">
        <v>463</v>
      </c>
      <c r="Z89" s="19" t="s">
        <v>51</v>
      </c>
      <c r="AA89" s="19" t="s">
        <v>93</v>
      </c>
      <c r="AC89" s="17" t="str">
        <f t="shared" si="3"/>
        <v>Y</v>
      </c>
      <c r="AD89" s="17" t="s">
        <v>184</v>
      </c>
      <c r="AF89" s="27" t="s">
        <v>55</v>
      </c>
      <c r="AG89" s="27" t="s">
        <v>55</v>
      </c>
      <c r="AI89" s="28" t="s">
        <v>228</v>
      </c>
    </row>
    <row r="90" spans="1:35" ht="34.950000000000003" customHeight="1" x14ac:dyDescent="0.4">
      <c r="A90" s="16" t="s">
        <v>36</v>
      </c>
      <c r="B90" s="16" t="s">
        <v>37</v>
      </c>
      <c r="C90" s="17">
        <v>45995</v>
      </c>
      <c r="D90" s="16" t="s">
        <v>464</v>
      </c>
      <c r="E90" s="16" t="s">
        <v>465</v>
      </c>
      <c r="F90" s="16">
        <v>28409</v>
      </c>
      <c r="G90" s="18" t="s">
        <v>466</v>
      </c>
      <c r="H90" s="16" t="s">
        <v>75</v>
      </c>
      <c r="I90" s="19" t="s">
        <v>219</v>
      </c>
      <c r="J90" s="16" t="str">
        <f>IFERROR(VLOOKUP(I90,[1]Sheet1!$A$1:$B$200,2,0),"_")</f>
        <v>NN</v>
      </c>
      <c r="K90" s="19" t="s">
        <v>42</v>
      </c>
      <c r="L90" s="16" t="str">
        <f>IFERROR(VLOOKUP(K90,[1]Sheet1!$A$1:$B$200,2,0),"-")</f>
        <v>P</v>
      </c>
      <c r="M90" s="19" t="s">
        <v>467</v>
      </c>
      <c r="N90" s="16" t="str">
        <f>IFERROR(VLOOKUP(M90,[1]Sheet1!$G$2:$H$200,2,0),"-")</f>
        <v>IALU</v>
      </c>
      <c r="P90" s="17"/>
      <c r="Q90" s="20" t="s">
        <v>468</v>
      </c>
      <c r="R90" s="20" t="s">
        <v>469</v>
      </c>
      <c r="S90" s="21" t="str" cm="1">
        <f t="array" ref="S90">IF(
OR(AD90="",ISERROR(AD90)),
"-",
_xlfn.UNIQUE(_xlfn._xlws.FILTER([1]Sheet1!$D$2:$D$200,ISNUMBER(SEARCH(AD90,[1]Sheet1!$D$2:$D$200))))
)</f>
        <v>(주)천경</v>
      </c>
      <c r="T90" s="22" t="s">
        <v>470</v>
      </c>
      <c r="U90" s="16" t="str" cm="1">
        <f t="array" ref="U90">IF(
OR(AD90="",ISERROR(AD90)),
"-",
_xlfn.UNIQUE(_xlfn._xlws.FILTER([1]Sheet1!$D$2:$D$200,ISNUMBER(SEARCH(AD90,[1]Sheet1!$D$2:$D$200))))
)</f>
        <v>(주)천경</v>
      </c>
      <c r="V90" s="23">
        <v>692000</v>
      </c>
      <c r="W90" s="23">
        <v>625200</v>
      </c>
      <c r="X90" s="23">
        <f t="shared" si="2"/>
        <v>66800</v>
      </c>
      <c r="Y90" s="25" t="s">
        <v>471</v>
      </c>
      <c r="Z90" s="19" t="s">
        <v>51</v>
      </c>
      <c r="AA90" s="19" t="s">
        <v>472</v>
      </c>
      <c r="AB90" s="18" t="s">
        <v>257</v>
      </c>
      <c r="AC90" s="17" t="str">
        <f t="shared" si="3"/>
        <v>Y</v>
      </c>
      <c r="AD90" s="17" t="s">
        <v>473</v>
      </c>
      <c r="AF90" s="27" t="s">
        <v>55</v>
      </c>
      <c r="AG90" s="27" t="s">
        <v>55</v>
      </c>
      <c r="AI90" s="28" t="s">
        <v>228</v>
      </c>
    </row>
    <row r="91" spans="1:35" ht="34.950000000000003" customHeight="1" x14ac:dyDescent="0.4">
      <c r="A91" s="16" t="s">
        <v>36</v>
      </c>
      <c r="B91" s="16" t="s">
        <v>37</v>
      </c>
      <c r="C91" s="17">
        <v>45995</v>
      </c>
      <c r="D91" s="16" t="s">
        <v>464</v>
      </c>
      <c r="E91" s="16" t="s">
        <v>465</v>
      </c>
      <c r="F91" s="16">
        <v>28409</v>
      </c>
      <c r="G91" s="18" t="s">
        <v>466</v>
      </c>
      <c r="H91" s="16" t="s">
        <v>75</v>
      </c>
      <c r="I91" s="19" t="s">
        <v>219</v>
      </c>
      <c r="J91" s="16" t="str">
        <f>IFERROR(VLOOKUP(I91,[1]Sheet1!$A$1:$B$200,2,0),"_")</f>
        <v>NN</v>
      </c>
      <c r="K91" s="19" t="s">
        <v>42</v>
      </c>
      <c r="L91" s="16" t="str">
        <f>IFERROR(VLOOKUP(K91,[1]Sheet1!$A$1:$B$200,2,0),"-")</f>
        <v>P</v>
      </c>
      <c r="M91" s="19" t="s">
        <v>467</v>
      </c>
      <c r="N91" s="16" t="str">
        <f>IFERROR(VLOOKUP(M91,[1]Sheet1!$G$2:$H$200,2,0),"-")</f>
        <v>IALU</v>
      </c>
      <c r="P91" s="17"/>
      <c r="Q91" s="20" t="s">
        <v>468</v>
      </c>
      <c r="R91" s="20" t="s">
        <v>469</v>
      </c>
      <c r="S91" s="21" t="str" cm="1">
        <f t="array" ref="S91">IF(
OR(AD91="",ISERROR(AD91)),
"-",
_xlfn.UNIQUE(_xlfn._xlws.FILTER([1]Sheet1!$D$2:$D$200,ISNUMBER(SEARCH(AD91,[1]Sheet1!$D$2:$D$200))))
)</f>
        <v>(주)천경</v>
      </c>
      <c r="T91" s="22" t="s">
        <v>470</v>
      </c>
      <c r="U91" s="16" t="str" cm="1">
        <f t="array" ref="U91">IF(
OR(AD91="",ISERROR(AD91)),
"-",
_xlfn.UNIQUE(_xlfn._xlws.FILTER([1]Sheet1!$D$2:$D$200,ISNUMBER(SEARCH(AD91,[1]Sheet1!$D$2:$D$200))))
)</f>
        <v>(주)천경</v>
      </c>
      <c r="V91" s="23">
        <v>80000</v>
      </c>
      <c r="W91" s="23">
        <v>80000</v>
      </c>
      <c r="X91" s="23">
        <f t="shared" si="2"/>
        <v>0</v>
      </c>
      <c r="Y91" s="25" t="s">
        <v>474</v>
      </c>
      <c r="Z91" s="19" t="s">
        <v>51</v>
      </c>
      <c r="AA91" s="19" t="s">
        <v>472</v>
      </c>
      <c r="AB91" s="18" t="s">
        <v>257</v>
      </c>
      <c r="AC91" s="17" t="str">
        <f t="shared" si="3"/>
        <v>Y</v>
      </c>
      <c r="AD91" s="17" t="s">
        <v>473</v>
      </c>
      <c r="AF91" s="27" t="s">
        <v>55</v>
      </c>
      <c r="AG91" s="27" t="s">
        <v>55</v>
      </c>
      <c r="AI91" s="28" t="s">
        <v>228</v>
      </c>
    </row>
    <row r="92" spans="1:35" ht="34.950000000000003" customHeight="1" x14ac:dyDescent="0.4">
      <c r="A92" s="16" t="s">
        <v>36</v>
      </c>
      <c r="B92" s="16" t="s">
        <v>37</v>
      </c>
      <c r="C92" s="17">
        <v>45995</v>
      </c>
      <c r="D92" s="16" t="s">
        <v>248</v>
      </c>
      <c r="E92" s="16" t="s">
        <v>249</v>
      </c>
      <c r="F92" s="16">
        <v>21577</v>
      </c>
      <c r="G92" s="18" t="s">
        <v>250</v>
      </c>
      <c r="H92" s="16" t="s">
        <v>41</v>
      </c>
      <c r="I92" s="19" t="s">
        <v>42</v>
      </c>
      <c r="J92" s="16" t="str">
        <f>IFERROR(VLOOKUP(I92,[1]Sheet1!$A$1:$B$200,2,0),"_")</f>
        <v>P</v>
      </c>
      <c r="K92" s="19" t="s">
        <v>42</v>
      </c>
      <c r="L92" s="16" t="str">
        <f>IFERROR(VLOOKUP(K92,[1]Sheet1!$A$1:$B$200,2,0),"-")</f>
        <v>P</v>
      </c>
      <c r="M92" s="19" t="s">
        <v>251</v>
      </c>
      <c r="N92" s="16" t="str">
        <f>IFERROR(VLOOKUP(M92,[1]Sheet1!$G$2:$H$200,2,0),"-")</f>
        <v>SNKO</v>
      </c>
      <c r="O92" s="29" t="s">
        <v>252</v>
      </c>
      <c r="P92" s="17">
        <v>46000</v>
      </c>
      <c r="Q92" s="20" t="s">
        <v>429</v>
      </c>
      <c r="R92" s="20" t="s">
        <v>475</v>
      </c>
      <c r="S92" s="21" t="str" cm="1">
        <f t="array" ref="S92">IF(
OR(AD92="",ISERROR(AD92)),
"-",
_xlfn.UNIQUE(_xlfn._xlws.FILTER([1]Sheet1!$D$2:$D$200,ISNUMBER(SEARCH(AD92,[1]Sheet1!$D$2:$D$200))))
)</f>
        <v>동방 익스프레스</v>
      </c>
      <c r="T92" s="22" t="s">
        <v>402</v>
      </c>
      <c r="U92" s="16" t="str" cm="1">
        <f t="array" ref="U92">IF(
OR(AD92="",ISERROR(AD92)),
"-",
_xlfn.UNIQUE(_xlfn._xlws.FILTER([1]Sheet1!$D$2:$D$200,ISNUMBER(SEARCH(AD92,[1]Sheet1!$D$2:$D$200))))
)</f>
        <v>동방 익스프레스</v>
      </c>
      <c r="V92" s="23">
        <v>390000</v>
      </c>
      <c r="W92" s="24">
        <v>357000</v>
      </c>
      <c r="X92" s="23">
        <f t="shared" si="2"/>
        <v>33000</v>
      </c>
      <c r="Y92" s="25" t="s">
        <v>256</v>
      </c>
      <c r="Z92" s="19" t="s">
        <v>51</v>
      </c>
      <c r="AA92" s="19" t="s">
        <v>144</v>
      </c>
      <c r="AB92" s="18" t="s">
        <v>257</v>
      </c>
      <c r="AC92" s="17" t="str">
        <f t="shared" si="3"/>
        <v>Y</v>
      </c>
      <c r="AD92" s="17" t="s">
        <v>116</v>
      </c>
      <c r="AF92" s="27" t="s">
        <v>55</v>
      </c>
      <c r="AG92" s="27" t="s">
        <v>55</v>
      </c>
      <c r="AI92" s="28" t="s">
        <v>57</v>
      </c>
    </row>
    <row r="93" spans="1:35" ht="34.950000000000003" customHeight="1" x14ac:dyDescent="0.4">
      <c r="A93" s="16" t="s">
        <v>36</v>
      </c>
      <c r="B93" s="16" t="s">
        <v>37</v>
      </c>
      <c r="C93" s="17">
        <v>45995</v>
      </c>
      <c r="D93" s="16" t="s">
        <v>58</v>
      </c>
      <c r="E93" s="16" t="s">
        <v>39</v>
      </c>
      <c r="F93" s="16">
        <v>27636</v>
      </c>
      <c r="G93" s="18" t="s">
        <v>40</v>
      </c>
      <c r="H93" s="16" t="s">
        <v>59</v>
      </c>
      <c r="I93" s="19" t="s">
        <v>60</v>
      </c>
      <c r="J93" s="16" t="str">
        <f>IFERROR(VLOOKUP(I93,[1]Sheet1!$A$1:$B$200,2,0),"_")</f>
        <v>KQ</v>
      </c>
      <c r="K93" s="19" t="s">
        <v>62</v>
      </c>
      <c r="L93" s="16" t="str">
        <f>IFERROR(VLOOKUP(K93,[1]Sheet1!$A$1:$B$200,2,0),"-")</f>
        <v>Y1</v>
      </c>
      <c r="M93" s="19" t="s">
        <v>64</v>
      </c>
      <c r="N93" s="16" t="str">
        <f>IFERROR(VLOOKUP(M93,[1]Sheet1!$G$2:$H$200,2,0),"-")</f>
        <v>XXXX</v>
      </c>
      <c r="O93" s="18" t="s">
        <v>55</v>
      </c>
      <c r="P93" s="17" t="s">
        <v>55</v>
      </c>
      <c r="Q93" s="20" t="s">
        <v>65</v>
      </c>
      <c r="R93" s="20" t="s">
        <v>476</v>
      </c>
      <c r="S93" s="21" t="str" cm="1">
        <f t="array" ref="S93">IF(
OR(AD93="",ISERROR(AD93)),
"-",
_xlfn.UNIQUE(_xlfn._xlws.FILTER([1]Sheet1!$D$2:$D$200,ISNUMBER(SEARCH(AD93,[1]Sheet1!$D$2:$D$200))))
)</f>
        <v>(주)유진로직스</v>
      </c>
      <c r="T93" s="22" t="s">
        <v>477</v>
      </c>
      <c r="U93" s="16" t="str" cm="1">
        <f t="array" ref="U93">IF(
OR(AD93="",ISERROR(AD93)),
"-",
_xlfn.UNIQUE(_xlfn._xlws.FILTER([1]Sheet1!$D$2:$D$200,ISNUMBER(SEARCH(AD93,[1]Sheet1!$D$2:$D$200))))
)</f>
        <v>(주)유진로직스</v>
      </c>
      <c r="V93" s="23">
        <v>90000</v>
      </c>
      <c r="W93" s="24">
        <v>60000</v>
      </c>
      <c r="X93" s="23">
        <f t="shared" si="2"/>
        <v>30000</v>
      </c>
      <c r="Y93" s="25" t="s">
        <v>478</v>
      </c>
      <c r="Z93" s="19" t="s">
        <v>51</v>
      </c>
      <c r="AA93" s="19" t="s">
        <v>52</v>
      </c>
      <c r="AB93" s="18" t="s">
        <v>479</v>
      </c>
      <c r="AC93" s="17" t="str">
        <f t="shared" si="3"/>
        <v>Y</v>
      </c>
      <c r="AD93" s="17" t="s">
        <v>70</v>
      </c>
      <c r="AF93" s="27" t="s">
        <v>55</v>
      </c>
      <c r="AG93" s="27" t="s">
        <v>55</v>
      </c>
      <c r="AI93" s="28" t="s">
        <v>57</v>
      </c>
    </row>
    <row r="94" spans="1:35" ht="34.950000000000003" customHeight="1" x14ac:dyDescent="0.4">
      <c r="A94" s="16" t="s">
        <v>36</v>
      </c>
      <c r="B94" s="16" t="s">
        <v>37</v>
      </c>
      <c r="C94" s="17">
        <v>45995</v>
      </c>
      <c r="D94" s="16" t="s">
        <v>58</v>
      </c>
      <c r="E94" s="16" t="s">
        <v>39</v>
      </c>
      <c r="F94" s="16">
        <v>27636</v>
      </c>
      <c r="G94" s="18" t="s">
        <v>40</v>
      </c>
      <c r="H94" s="16" t="s">
        <v>75</v>
      </c>
      <c r="I94" s="19" t="s">
        <v>42</v>
      </c>
      <c r="J94" s="16" t="str">
        <f>IFERROR(VLOOKUP(I94,[1]Sheet1!$A$1:$B$200,2,0),"_")</f>
        <v>P</v>
      </c>
      <c r="K94" s="19" t="s">
        <v>42</v>
      </c>
      <c r="L94" s="16" t="str">
        <f>IFERROR(VLOOKUP(K94,[1]Sheet1!$A$1:$B$200,2,0),"-")</f>
        <v>P</v>
      </c>
      <c r="M94" s="19" t="s">
        <v>191</v>
      </c>
      <c r="N94" s="16" t="str">
        <f>IFERROR(VLOOKUP(M94,[1]Sheet1!$G$2:$H$200,2,0),"-")</f>
        <v>HASL</v>
      </c>
      <c r="O94" s="18" t="s">
        <v>55</v>
      </c>
      <c r="P94" s="17" t="s">
        <v>55</v>
      </c>
      <c r="Q94" s="20" t="s">
        <v>480</v>
      </c>
      <c r="R94" s="20" t="s">
        <v>481</v>
      </c>
      <c r="S94" s="21" t="str" cm="1">
        <f t="array" ref="S94">IF(
OR(AD94="",ISERROR(AD94)),
"-",
_xlfn.UNIQUE(_xlfn._xlws.FILTER([1]Sheet1!$D$2:$D$200,ISNUMBER(SEARCH(AD94,[1]Sheet1!$D$2:$D$200))))
)</f>
        <v>에스더블유로지스틱스</v>
      </c>
      <c r="T94" s="22" t="s">
        <v>213</v>
      </c>
      <c r="U94" s="16" t="str" cm="1">
        <f t="array" ref="U94">IF(
OR(AD94="",ISERROR(AD94)),
"-",
_xlfn.UNIQUE(_xlfn._xlws.FILTER([1]Sheet1!$D$2:$D$200,ISNUMBER(SEARCH(AD94,[1]Sheet1!$D$2:$D$200))))
)</f>
        <v>에스더블유로지스틱스</v>
      </c>
      <c r="V94" s="23">
        <v>223800</v>
      </c>
      <c r="W94" s="24">
        <v>187000</v>
      </c>
      <c r="X94" s="23">
        <f t="shared" si="2"/>
        <v>36800</v>
      </c>
      <c r="Y94" s="25" t="s">
        <v>482</v>
      </c>
      <c r="Z94" s="19" t="s">
        <v>51</v>
      </c>
      <c r="AA94" s="19" t="s">
        <v>52</v>
      </c>
      <c r="AB94" s="18" t="s">
        <v>483</v>
      </c>
      <c r="AC94" s="17" t="str">
        <f t="shared" si="3"/>
        <v>Y</v>
      </c>
      <c r="AD94" s="17" t="s">
        <v>484</v>
      </c>
      <c r="AF94" s="27" t="s">
        <v>55</v>
      </c>
      <c r="AG94" s="27" t="s">
        <v>55</v>
      </c>
      <c r="AI94" s="28" t="s">
        <v>57</v>
      </c>
    </row>
    <row r="95" spans="1:35" ht="34.950000000000003" customHeight="1" x14ac:dyDescent="0.4">
      <c r="A95" s="16" t="s">
        <v>36</v>
      </c>
      <c r="B95" s="16" t="s">
        <v>37</v>
      </c>
      <c r="C95" s="17">
        <v>45995</v>
      </c>
      <c r="D95" s="16" t="s">
        <v>308</v>
      </c>
      <c r="E95" s="16" t="s">
        <v>485</v>
      </c>
      <c r="F95" s="16">
        <v>27274</v>
      </c>
      <c r="G95" s="18" t="s">
        <v>486</v>
      </c>
      <c r="H95" s="16" t="s">
        <v>75</v>
      </c>
      <c r="I95" s="19" t="s">
        <v>42</v>
      </c>
      <c r="J95" s="16" t="str">
        <f>IFERROR(VLOOKUP(I95,[1]Sheet1!$A$1:$B$200,2,0),"_")</f>
        <v>P</v>
      </c>
      <c r="K95" s="19" t="s">
        <v>42</v>
      </c>
      <c r="L95" s="16" t="str">
        <f>IFERROR(VLOOKUP(K95,[1]Sheet1!$A$1:$B$200,2,0),"-")</f>
        <v>P</v>
      </c>
      <c r="M95" s="19" t="s">
        <v>487</v>
      </c>
      <c r="N95" s="16" t="str">
        <f>IFERROR(VLOOKUP(M95,[1]Sheet1!$G$2:$H$200,2,0),"-")</f>
        <v>PILK</v>
      </c>
      <c r="O95" s="18" t="s">
        <v>488</v>
      </c>
      <c r="P95" s="17" t="s">
        <v>489</v>
      </c>
      <c r="Q95" s="20" t="s">
        <v>490</v>
      </c>
      <c r="R95" s="20" t="s">
        <v>491</v>
      </c>
      <c r="S95" s="21" t="str" cm="1">
        <f t="array" ref="S95">IF(
OR(AD95="",ISERROR(AD95)),
"-",
_xlfn.UNIQUE(_xlfn._xlws.FILTER([1]Sheet1!$D$2:$D$200,ISNUMBER(SEARCH(AD95,[1]Sheet1!$D$2:$D$200))))
)</f>
        <v>백승운수</v>
      </c>
      <c r="T95" s="22" t="s">
        <v>434</v>
      </c>
      <c r="U95" s="16" t="str" cm="1">
        <f t="array" ref="U95">IF(
OR(AD95="",ISERROR(AD95)),
"-",
_xlfn.UNIQUE(_xlfn._xlws.FILTER([1]Sheet1!$D$2:$D$200,ISNUMBER(SEARCH(AD95,[1]Sheet1!$D$2:$D$200))))
)</f>
        <v>백승운수</v>
      </c>
      <c r="V95" s="23">
        <v>670000</v>
      </c>
      <c r="W95" s="24">
        <v>619000</v>
      </c>
      <c r="X95" s="23">
        <f t="shared" si="2"/>
        <v>51000</v>
      </c>
      <c r="Y95" s="25" t="s">
        <v>492</v>
      </c>
      <c r="Z95" s="19" t="s">
        <v>51</v>
      </c>
      <c r="AA95" s="19" t="s">
        <v>93</v>
      </c>
      <c r="AC95" s="17" t="str">
        <f t="shared" si="3"/>
        <v>Y</v>
      </c>
      <c r="AD95" s="17" t="s">
        <v>95</v>
      </c>
      <c r="AF95" s="27" t="s">
        <v>55</v>
      </c>
      <c r="AG95" s="27" t="s">
        <v>55</v>
      </c>
      <c r="AI95" s="28" t="s">
        <v>57</v>
      </c>
    </row>
    <row r="96" spans="1:35" ht="34.950000000000003" customHeight="1" x14ac:dyDescent="0.4">
      <c r="A96" s="16" t="s">
        <v>36</v>
      </c>
      <c r="B96" s="16" t="s">
        <v>37</v>
      </c>
      <c r="C96" s="17">
        <v>45995</v>
      </c>
      <c r="D96" s="16" t="s">
        <v>280</v>
      </c>
      <c r="E96" s="16" t="s">
        <v>281</v>
      </c>
      <c r="F96" s="16">
        <v>25997</v>
      </c>
      <c r="G96" s="18" t="s">
        <v>282</v>
      </c>
      <c r="H96" s="16" t="s">
        <v>41</v>
      </c>
      <c r="I96" s="19" t="s">
        <v>328</v>
      </c>
      <c r="J96" s="16" t="str">
        <f>IFERROR(VLOOKUP(I96,[1]Sheet1!$A$1:$B$200,2,0),"_")</f>
        <v>BT</v>
      </c>
      <c r="K96" s="19" t="s">
        <v>328</v>
      </c>
      <c r="L96" s="16" t="str">
        <f>IFERROR(VLOOKUP(K96,[1]Sheet1!$A$1:$B$200,2,0),"-")</f>
        <v>BT</v>
      </c>
      <c r="M96" s="19" t="s">
        <v>77</v>
      </c>
      <c r="N96" s="16" t="str">
        <f>IFERROR(VLOOKUP(M96,[1]Sheet1!$G$2:$H$200,2,0),"-")</f>
        <v>KMTC</v>
      </c>
      <c r="O96" s="27" t="s">
        <v>283</v>
      </c>
      <c r="P96" s="17">
        <v>46000</v>
      </c>
      <c r="Q96" s="20" t="s">
        <v>493</v>
      </c>
      <c r="R96" s="20" t="s">
        <v>494</v>
      </c>
      <c r="S96" s="21" t="str" cm="1">
        <f t="array" ref="S96">IF(
OR(AD96="",ISERROR(AD96)),
"-",
_xlfn.UNIQUE(_xlfn._xlws.FILTER([1]Sheet1!$D$2:$D$200,ISNUMBER(SEARCH(AD96,[1]Sheet1!$D$2:$D$200))))
)</f>
        <v>(주)비에스물류</v>
      </c>
      <c r="T96" s="22" t="s">
        <v>495</v>
      </c>
      <c r="U96" s="16" t="str" cm="1">
        <f t="array" ref="U96">IF(
OR(AD96="",ISERROR(AD96)),
"-",
_xlfn.UNIQUE(_xlfn._xlws.FILTER([1]Sheet1!$D$2:$D$200,ISNUMBER(SEARCH(AD96,[1]Sheet1!$D$2:$D$200))))
)</f>
        <v>(주)비에스물류</v>
      </c>
      <c r="V96" s="23">
        <v>770000</v>
      </c>
      <c r="W96" s="24">
        <v>732000</v>
      </c>
      <c r="X96" s="23">
        <f t="shared" si="2"/>
        <v>38000</v>
      </c>
      <c r="Y96" s="25" t="s">
        <v>287</v>
      </c>
      <c r="Z96" s="19" t="s">
        <v>51</v>
      </c>
      <c r="AA96" s="19" t="s">
        <v>115</v>
      </c>
      <c r="AB96" s="18" t="s">
        <v>496</v>
      </c>
      <c r="AC96" s="17" t="str">
        <f t="shared" si="3"/>
        <v>Y</v>
      </c>
      <c r="AD96" s="17" t="s">
        <v>288</v>
      </c>
      <c r="AE96" s="26" t="s">
        <v>289</v>
      </c>
      <c r="AF96" s="27" t="s">
        <v>55</v>
      </c>
      <c r="AG96" s="27" t="s">
        <v>55</v>
      </c>
      <c r="AI96" s="28" t="s">
        <v>57</v>
      </c>
    </row>
    <row r="97" spans="1:35" ht="34.950000000000003" customHeight="1" x14ac:dyDescent="0.4">
      <c r="A97" s="16" t="s">
        <v>36</v>
      </c>
      <c r="B97" s="16" t="s">
        <v>37</v>
      </c>
      <c r="C97" s="17">
        <v>45995</v>
      </c>
      <c r="D97" s="16" t="s">
        <v>280</v>
      </c>
      <c r="E97" s="16" t="s">
        <v>281</v>
      </c>
      <c r="F97" s="16">
        <v>25997</v>
      </c>
      <c r="G97" s="18" t="s">
        <v>282</v>
      </c>
      <c r="H97" s="16" t="s">
        <v>41</v>
      </c>
      <c r="I97" s="19" t="s">
        <v>328</v>
      </c>
      <c r="J97" s="16" t="str">
        <f>IFERROR(VLOOKUP(I97,[1]Sheet1!$A$1:$B$200,2,0),"_")</f>
        <v>BT</v>
      </c>
      <c r="K97" s="19" t="s">
        <v>328</v>
      </c>
      <c r="L97" s="16" t="str">
        <f>IFERROR(VLOOKUP(K97,[1]Sheet1!$A$1:$B$200,2,0),"-")</f>
        <v>BT</v>
      </c>
      <c r="M97" s="19" t="s">
        <v>77</v>
      </c>
      <c r="N97" s="16" t="str">
        <f>IFERROR(VLOOKUP(M97,[1]Sheet1!$G$2:$H$200,2,0),"-")</f>
        <v>KMTC</v>
      </c>
      <c r="O97" s="27" t="s">
        <v>283</v>
      </c>
      <c r="P97" s="17">
        <v>46000</v>
      </c>
      <c r="Q97" s="20" t="s">
        <v>290</v>
      </c>
      <c r="R97" s="20" t="s">
        <v>494</v>
      </c>
      <c r="S97" s="21" t="str" cm="1">
        <f t="array" ref="S97">IF(
OR(AD97="",ISERROR(AD97)),
"-",
_xlfn.UNIQUE(_xlfn._xlws.FILTER([1]Sheet1!$D$2:$D$200,ISNUMBER(SEARCH(AD97,[1]Sheet1!$D$2:$D$200))))
)</f>
        <v>디앤케이물류</v>
      </c>
      <c r="T97" s="22" t="s">
        <v>495</v>
      </c>
      <c r="U97" s="16" t="str" cm="1">
        <f t="array" ref="U97">IF(
OR(AD97="",ISERROR(AD97)),
"-",
_xlfn.UNIQUE(_xlfn._xlws.FILTER([1]Sheet1!$D$2:$D$200,ISNUMBER(SEARCH(AD97,[1]Sheet1!$D$2:$D$200))))
)</f>
        <v>디앤케이물류</v>
      </c>
      <c r="V97" s="23">
        <v>25000</v>
      </c>
      <c r="W97" s="24">
        <v>45000</v>
      </c>
      <c r="X97" s="23">
        <f t="shared" si="2"/>
        <v>-20000</v>
      </c>
      <c r="Y97" s="25" t="s">
        <v>287</v>
      </c>
      <c r="Z97" s="19" t="s">
        <v>51</v>
      </c>
      <c r="AA97" s="19" t="s">
        <v>115</v>
      </c>
      <c r="AC97" s="17" t="str">
        <f t="shared" si="3"/>
        <v>Y</v>
      </c>
      <c r="AD97" s="17" t="s">
        <v>292</v>
      </c>
      <c r="AE97" s="26" t="s">
        <v>289</v>
      </c>
      <c r="AF97" s="27" t="s">
        <v>55</v>
      </c>
      <c r="AG97" s="27" t="s">
        <v>55</v>
      </c>
      <c r="AI97" s="28" t="s">
        <v>57</v>
      </c>
    </row>
    <row r="98" spans="1:35" ht="34.950000000000003" customHeight="1" x14ac:dyDescent="0.4">
      <c r="A98" s="16" t="s">
        <v>36</v>
      </c>
      <c r="B98" s="16" t="s">
        <v>37</v>
      </c>
      <c r="C98" s="17">
        <v>45995</v>
      </c>
      <c r="D98" s="16" t="s">
        <v>280</v>
      </c>
      <c r="E98" s="16" t="s">
        <v>281</v>
      </c>
      <c r="F98" s="16">
        <v>25997</v>
      </c>
      <c r="G98" s="18" t="s">
        <v>282</v>
      </c>
      <c r="H98" s="16" t="s">
        <v>41</v>
      </c>
      <c r="I98" s="19" t="s">
        <v>328</v>
      </c>
      <c r="J98" s="16" t="str">
        <f>IFERROR(VLOOKUP(I98,[1]Sheet1!$A$1:$B$200,2,0),"_")</f>
        <v>BT</v>
      </c>
      <c r="K98" s="19" t="s">
        <v>328</v>
      </c>
      <c r="L98" s="16" t="str">
        <f>IFERROR(VLOOKUP(K98,[1]Sheet1!$A$1:$B$200,2,0),"-")</f>
        <v>BT</v>
      </c>
      <c r="M98" s="19" t="s">
        <v>77</v>
      </c>
      <c r="N98" s="16" t="str">
        <f>IFERROR(VLOOKUP(M98,[1]Sheet1!$G$2:$H$200,2,0),"-")</f>
        <v>KMTC</v>
      </c>
      <c r="O98" s="27" t="s">
        <v>283</v>
      </c>
      <c r="P98" s="17">
        <v>46000</v>
      </c>
      <c r="Q98" s="20" t="s">
        <v>293</v>
      </c>
      <c r="R98" s="20" t="s">
        <v>494</v>
      </c>
      <c r="S98" s="21" t="str" cm="1">
        <f t="array" ref="S98">IF(
OR(AD98="",ISERROR(AD98)),
"-",
_xlfn.UNIQUE(_xlfn._xlws.FILTER([1]Sheet1!$D$2:$D$200,ISNUMBER(SEARCH(AD98,[1]Sheet1!$D$2:$D$200))))
)</f>
        <v>디앤케이물류</v>
      </c>
      <c r="T98" s="22" t="s">
        <v>495</v>
      </c>
      <c r="U98" s="16" t="str" cm="1">
        <f t="array" ref="U98">IF(
OR(AD98="",ISERROR(AD98)),
"-",
_xlfn.UNIQUE(_xlfn._xlws.FILTER([1]Sheet1!$D$2:$D$200,ISNUMBER(SEARCH(AD98,[1]Sheet1!$D$2:$D$200))))
)</f>
        <v>디앤케이물류</v>
      </c>
      <c r="V98" s="23">
        <v>55000</v>
      </c>
      <c r="W98" s="24">
        <v>50000</v>
      </c>
      <c r="X98" s="23">
        <f t="shared" si="2"/>
        <v>5000</v>
      </c>
      <c r="Y98" s="25" t="s">
        <v>497</v>
      </c>
      <c r="Z98" s="19" t="s">
        <v>51</v>
      </c>
      <c r="AA98" s="19" t="s">
        <v>115</v>
      </c>
      <c r="AC98" s="17" t="str">
        <f t="shared" si="3"/>
        <v>Y</v>
      </c>
      <c r="AD98" s="17" t="s">
        <v>292</v>
      </c>
      <c r="AE98" s="26" t="s">
        <v>289</v>
      </c>
      <c r="AF98" s="27" t="s">
        <v>55</v>
      </c>
      <c r="AG98" s="27" t="s">
        <v>55</v>
      </c>
      <c r="AI98" s="28" t="s">
        <v>57</v>
      </c>
    </row>
    <row r="99" spans="1:35" ht="34.950000000000003" customHeight="1" x14ac:dyDescent="0.4">
      <c r="A99" s="16" t="s">
        <v>36</v>
      </c>
      <c r="B99" s="16" t="s">
        <v>37</v>
      </c>
      <c r="C99" s="17">
        <v>45995</v>
      </c>
      <c r="D99" s="16" t="s">
        <v>280</v>
      </c>
      <c r="E99" s="16" t="s">
        <v>281</v>
      </c>
      <c r="F99" s="16">
        <v>25997</v>
      </c>
      <c r="G99" s="18" t="s">
        <v>282</v>
      </c>
      <c r="H99" s="16" t="s">
        <v>41</v>
      </c>
      <c r="I99" s="19" t="s">
        <v>328</v>
      </c>
      <c r="J99" s="16" t="str">
        <f>IFERROR(VLOOKUP(I99,[1]Sheet1!$A$1:$B$200,2,0),"_")</f>
        <v>BT</v>
      </c>
      <c r="K99" s="19" t="s">
        <v>328</v>
      </c>
      <c r="L99" s="16" t="str">
        <f>IFERROR(VLOOKUP(K99,[1]Sheet1!$A$1:$B$200,2,0),"-")</f>
        <v>BT</v>
      </c>
      <c r="M99" s="19" t="s">
        <v>77</v>
      </c>
      <c r="N99" s="16" t="str">
        <f>IFERROR(VLOOKUP(M99,[1]Sheet1!$G$2:$H$200,2,0),"-")</f>
        <v>KMTC</v>
      </c>
      <c r="O99" s="27" t="s">
        <v>283</v>
      </c>
      <c r="P99" s="17">
        <v>46000</v>
      </c>
      <c r="Q99" s="20" t="s">
        <v>294</v>
      </c>
      <c r="R99" s="20" t="s">
        <v>494</v>
      </c>
      <c r="S99" s="21" t="str" cm="1">
        <f t="array" ref="S99">IF(
OR(AD99="",ISERROR(AD99)),
"-",
_xlfn.UNIQUE(_xlfn._xlws.FILTER([1]Sheet1!$D$2:$D$200,ISNUMBER(SEARCH(AD99,[1]Sheet1!$D$2:$D$200))))
)</f>
        <v>디앤케이물류</v>
      </c>
      <c r="T99" s="22" t="s">
        <v>495</v>
      </c>
      <c r="U99" s="16" t="str" cm="1">
        <f t="array" ref="U99">IF(
OR(AD99="",ISERROR(AD99)),
"-",
_xlfn.UNIQUE(_xlfn._xlws.FILTER([1]Sheet1!$D$2:$D$200,ISNUMBER(SEARCH(AD99,[1]Sheet1!$D$2:$D$200))))
)</f>
        <v>디앤케이물류</v>
      </c>
      <c r="V99" s="23">
        <v>27000</v>
      </c>
      <c r="W99" s="24">
        <v>30000</v>
      </c>
      <c r="X99" s="23">
        <f t="shared" si="2"/>
        <v>-3000</v>
      </c>
      <c r="Y99" s="25" t="s">
        <v>497</v>
      </c>
      <c r="Z99" s="19" t="s">
        <v>51</v>
      </c>
      <c r="AA99" s="19" t="s">
        <v>115</v>
      </c>
      <c r="AB99" s="18" t="s">
        <v>498</v>
      </c>
      <c r="AC99" s="17" t="str">
        <f t="shared" si="3"/>
        <v>Y</v>
      </c>
      <c r="AD99" s="17" t="s">
        <v>292</v>
      </c>
      <c r="AE99" s="26" t="s">
        <v>289</v>
      </c>
      <c r="AF99" s="27" t="s">
        <v>55</v>
      </c>
      <c r="AG99" s="27" t="s">
        <v>55</v>
      </c>
      <c r="AI99" s="28" t="s">
        <v>57</v>
      </c>
    </row>
    <row r="100" spans="1:35" ht="34.950000000000003" customHeight="1" x14ac:dyDescent="0.4">
      <c r="A100" s="16" t="s">
        <v>36</v>
      </c>
      <c r="B100" s="16" t="s">
        <v>37</v>
      </c>
      <c r="C100" s="17">
        <v>45995</v>
      </c>
      <c r="D100" s="16" t="s">
        <v>261</v>
      </c>
      <c r="E100" s="16" t="s">
        <v>444</v>
      </c>
      <c r="F100" s="16">
        <v>27174</v>
      </c>
      <c r="G100" s="18" t="s">
        <v>445</v>
      </c>
      <c r="H100" s="16" t="s">
        <v>41</v>
      </c>
      <c r="I100" s="19" t="s">
        <v>381</v>
      </c>
      <c r="J100" s="16" t="str">
        <f>IFERROR(VLOOKUP(I100,[1]Sheet1!$A$1:$B$200,2,0),"_")</f>
        <v>PT</v>
      </c>
      <c r="K100" s="19" t="s">
        <v>381</v>
      </c>
      <c r="L100" s="16" t="str">
        <f>IFERROR(VLOOKUP(K100,[1]Sheet1!$A$1:$B$200,2,0),"-")</f>
        <v>PT</v>
      </c>
      <c r="M100" s="19" t="s">
        <v>251</v>
      </c>
      <c r="N100" s="16" t="str">
        <f>IFERROR(VLOOKUP(M100,[1]Sheet1!$G$2:$H$200,2,0),"-")</f>
        <v>SNKO</v>
      </c>
      <c r="O100" s="18" t="s">
        <v>446</v>
      </c>
      <c r="P100" s="17">
        <v>46000</v>
      </c>
      <c r="Q100" s="20" t="s">
        <v>499</v>
      </c>
      <c r="R100" s="20" t="s">
        <v>500</v>
      </c>
      <c r="S100" s="21" t="str" cm="1">
        <f t="array" ref="S100">IF(
OR(AD100="",ISERROR(AD100)),
"-",
_xlfn.UNIQUE(_xlfn._xlws.FILTER([1]Sheet1!$D$2:$D$200,ISNUMBER(SEARCH(AD100,[1]Sheet1!$D$2:$D$200))))
)</f>
        <v>더로지스 주식회사</v>
      </c>
      <c r="T100" s="22" t="s">
        <v>501</v>
      </c>
      <c r="U100" s="16" t="str" cm="1">
        <f t="array" ref="U100">IF(
OR(AD100="",ISERROR(AD100)),
"-",
_xlfn.UNIQUE(_xlfn._xlws.FILTER([1]Sheet1!$D$2:$D$200,ISNUMBER(SEARCH(AD100,[1]Sheet1!$D$2:$D$200))))
)</f>
        <v>더로지스 주식회사</v>
      </c>
      <c r="V100" s="23">
        <v>205000</v>
      </c>
      <c r="W100" s="23">
        <v>190000</v>
      </c>
      <c r="X100" s="23">
        <f t="shared" si="2"/>
        <v>15000</v>
      </c>
      <c r="Y100" s="25" t="s">
        <v>450</v>
      </c>
      <c r="Z100" s="19" t="s">
        <v>51</v>
      </c>
      <c r="AA100" s="19" t="s">
        <v>93</v>
      </c>
      <c r="AC100" s="17" t="str">
        <f t="shared" si="3"/>
        <v>Y</v>
      </c>
      <c r="AD100" s="17" t="s">
        <v>386</v>
      </c>
      <c r="AF100" s="27" t="s">
        <v>55</v>
      </c>
      <c r="AG100" s="27" t="s">
        <v>55</v>
      </c>
      <c r="AI100" s="28" t="s">
        <v>57</v>
      </c>
    </row>
    <row r="101" spans="1:35" ht="34.950000000000003" customHeight="1" x14ac:dyDescent="0.4">
      <c r="A101" s="16" t="s">
        <v>36</v>
      </c>
      <c r="B101" s="16" t="s">
        <v>37</v>
      </c>
      <c r="C101" s="17">
        <v>45995</v>
      </c>
      <c r="D101" s="16" t="s">
        <v>261</v>
      </c>
      <c r="E101" s="16" t="s">
        <v>444</v>
      </c>
      <c r="F101" s="16">
        <v>27174</v>
      </c>
      <c r="G101" s="18" t="s">
        <v>445</v>
      </c>
      <c r="H101" s="16" t="s">
        <v>41</v>
      </c>
      <c r="I101" s="19" t="s">
        <v>381</v>
      </c>
      <c r="J101" s="16" t="str">
        <f>IFERROR(VLOOKUP(I101,[1]Sheet1!$A$1:$B$200,2,0),"_")</f>
        <v>PT</v>
      </c>
      <c r="K101" s="19" t="s">
        <v>381</v>
      </c>
      <c r="L101" s="16" t="str">
        <f>IFERROR(VLOOKUP(K101,[1]Sheet1!$A$1:$B$200,2,0),"-")</f>
        <v>PT</v>
      </c>
      <c r="M101" s="19" t="s">
        <v>251</v>
      </c>
      <c r="N101" s="16" t="str">
        <f>IFERROR(VLOOKUP(M101,[1]Sheet1!$G$2:$H$200,2,0),"-")</f>
        <v>SNKO</v>
      </c>
      <c r="O101" s="18" t="s">
        <v>446</v>
      </c>
      <c r="P101" s="17">
        <v>46000</v>
      </c>
      <c r="Q101" s="20" t="s">
        <v>499</v>
      </c>
      <c r="R101" s="20" t="s">
        <v>500</v>
      </c>
      <c r="S101" s="21" t="str" cm="1">
        <f t="array" ref="S101">IF(
OR(AD101="",ISERROR(AD101)),
"-",
_xlfn.UNIQUE(_xlfn._xlws.FILTER([1]Sheet1!$D$2:$D$200,ISNUMBER(SEARCH(AD101,[1]Sheet1!$D$2:$D$200))))
)</f>
        <v>더로지스 주식회사</v>
      </c>
      <c r="T101" s="22" t="s">
        <v>501</v>
      </c>
      <c r="U101" s="16" t="str" cm="1">
        <f t="array" ref="U101">IF(
OR(AD101="",ISERROR(AD101)),
"-",
_xlfn.UNIQUE(_xlfn._xlws.FILTER([1]Sheet1!$D$2:$D$200,ISNUMBER(SEARCH(AD101,[1]Sheet1!$D$2:$D$200))))
)</f>
        <v>더로지스 주식회사</v>
      </c>
      <c r="V101" s="23">
        <v>10000</v>
      </c>
      <c r="W101" s="23">
        <v>10000</v>
      </c>
      <c r="X101" s="23">
        <f t="shared" si="2"/>
        <v>0</v>
      </c>
      <c r="Y101" s="25" t="s">
        <v>502</v>
      </c>
      <c r="Z101" s="19" t="s">
        <v>51</v>
      </c>
      <c r="AA101" s="19" t="s">
        <v>93</v>
      </c>
      <c r="AB101" s="18" t="s">
        <v>503</v>
      </c>
      <c r="AC101" s="17" t="str">
        <f t="shared" si="3"/>
        <v>Y</v>
      </c>
      <c r="AD101" s="17" t="s">
        <v>386</v>
      </c>
      <c r="AF101" s="27" t="s">
        <v>55</v>
      </c>
      <c r="AG101" s="27" t="s">
        <v>55</v>
      </c>
      <c r="AI101" s="28" t="s">
        <v>57</v>
      </c>
    </row>
    <row r="102" spans="1:35" ht="34.950000000000003" customHeight="1" x14ac:dyDescent="0.4">
      <c r="A102" s="16" t="s">
        <v>36</v>
      </c>
      <c r="B102" s="16" t="s">
        <v>37</v>
      </c>
      <c r="C102" s="17">
        <v>45995</v>
      </c>
      <c r="D102" s="16" t="s">
        <v>261</v>
      </c>
      <c r="E102" s="16" t="s">
        <v>444</v>
      </c>
      <c r="F102" s="16">
        <v>27174</v>
      </c>
      <c r="G102" s="18" t="s">
        <v>445</v>
      </c>
      <c r="H102" s="16" t="s">
        <v>41</v>
      </c>
      <c r="I102" s="19" t="s">
        <v>381</v>
      </c>
      <c r="J102" s="16" t="str">
        <f>IFERROR(VLOOKUP(I102,[1]Sheet1!$A$1:$B$200,2,0),"_")</f>
        <v>PT</v>
      </c>
      <c r="K102" s="19" t="s">
        <v>381</v>
      </c>
      <c r="L102" s="16" t="str">
        <f>IFERROR(VLOOKUP(K102,[1]Sheet1!$A$1:$B$200,2,0),"-")</f>
        <v>PT</v>
      </c>
      <c r="M102" s="19" t="s">
        <v>251</v>
      </c>
      <c r="N102" s="16" t="str">
        <f>IFERROR(VLOOKUP(M102,[1]Sheet1!$G$2:$H$200,2,0),"-")</f>
        <v>SNKO</v>
      </c>
      <c r="O102" s="18" t="s">
        <v>446</v>
      </c>
      <c r="P102" s="17">
        <v>46000</v>
      </c>
      <c r="Q102" s="20" t="s">
        <v>504</v>
      </c>
      <c r="R102" s="20" t="s">
        <v>505</v>
      </c>
      <c r="S102" s="21" t="str" cm="1">
        <f t="array" ref="S102">IF(
OR(AD102="",ISERROR(AD102)),
"-",
_xlfn.UNIQUE(_xlfn._xlws.FILTER([1]Sheet1!$D$2:$D$200,ISNUMBER(SEARCH(AD102,[1]Sheet1!$D$2:$D$200))))
)</f>
        <v>더로지스 주식회사</v>
      </c>
      <c r="T102" s="22" t="s">
        <v>506</v>
      </c>
      <c r="U102" s="16" t="str" cm="1">
        <f t="array" ref="U102">IF(
OR(AD102="",ISERROR(AD102)),
"-",
_xlfn.UNIQUE(_xlfn._xlws.FILTER([1]Sheet1!$D$2:$D$200,ISNUMBER(SEARCH(AD102,[1]Sheet1!$D$2:$D$200))))
)</f>
        <v>더로지스 주식회사</v>
      </c>
      <c r="V102" s="23">
        <v>205000</v>
      </c>
      <c r="W102" s="23">
        <v>190000</v>
      </c>
      <c r="X102" s="23">
        <f t="shared" si="2"/>
        <v>15000</v>
      </c>
      <c r="Y102" s="25" t="s">
        <v>450</v>
      </c>
      <c r="Z102" s="19" t="s">
        <v>51</v>
      </c>
      <c r="AA102" s="19" t="s">
        <v>93</v>
      </c>
      <c r="AC102" s="17" t="str">
        <f t="shared" si="3"/>
        <v>Y</v>
      </c>
      <c r="AD102" s="17" t="s">
        <v>386</v>
      </c>
      <c r="AF102" s="27" t="s">
        <v>55</v>
      </c>
      <c r="AG102" s="27" t="s">
        <v>55</v>
      </c>
      <c r="AI102" s="28" t="s">
        <v>57</v>
      </c>
    </row>
    <row r="103" spans="1:35" ht="34.950000000000003" customHeight="1" x14ac:dyDescent="0.4">
      <c r="A103" s="16" t="s">
        <v>36</v>
      </c>
      <c r="B103" s="16" t="s">
        <v>37</v>
      </c>
      <c r="C103" s="17">
        <v>45995</v>
      </c>
      <c r="D103" s="16" t="s">
        <v>261</v>
      </c>
      <c r="E103" s="16" t="s">
        <v>444</v>
      </c>
      <c r="F103" s="16">
        <v>27174</v>
      </c>
      <c r="G103" s="18" t="s">
        <v>445</v>
      </c>
      <c r="H103" s="16" t="s">
        <v>41</v>
      </c>
      <c r="I103" s="19" t="s">
        <v>381</v>
      </c>
      <c r="J103" s="16" t="str">
        <f>IFERROR(VLOOKUP(I103,[1]Sheet1!$A$1:$B$200,2,0),"_")</f>
        <v>PT</v>
      </c>
      <c r="K103" s="19" t="s">
        <v>381</v>
      </c>
      <c r="L103" s="16" t="str">
        <f>IFERROR(VLOOKUP(K103,[1]Sheet1!$A$1:$B$200,2,0),"-")</f>
        <v>PT</v>
      </c>
      <c r="M103" s="19" t="s">
        <v>251</v>
      </c>
      <c r="N103" s="16" t="str">
        <f>IFERROR(VLOOKUP(M103,[1]Sheet1!$G$2:$H$200,2,0),"-")</f>
        <v>SNKO</v>
      </c>
      <c r="O103" s="18" t="s">
        <v>446</v>
      </c>
      <c r="P103" s="17">
        <v>46000</v>
      </c>
      <c r="Q103" s="20" t="s">
        <v>504</v>
      </c>
      <c r="R103" s="20" t="s">
        <v>505</v>
      </c>
      <c r="S103" s="21" t="str" cm="1">
        <f t="array" ref="S103">IF(
OR(AD103="",ISERROR(AD103)),
"-",
_xlfn.UNIQUE(_xlfn._xlws.FILTER([1]Sheet1!$D$2:$D$200,ISNUMBER(SEARCH(AD103,[1]Sheet1!$D$2:$D$200))))
)</f>
        <v>더로지스 주식회사</v>
      </c>
      <c r="T103" s="22" t="s">
        <v>506</v>
      </c>
      <c r="U103" s="16" t="str" cm="1">
        <f t="array" ref="U103">IF(
OR(AD103="",ISERROR(AD103)),
"-",
_xlfn.UNIQUE(_xlfn._xlws.FILTER([1]Sheet1!$D$2:$D$200,ISNUMBER(SEARCH(AD103,[1]Sheet1!$D$2:$D$200))))
)</f>
        <v>더로지스 주식회사</v>
      </c>
      <c r="V103" s="23">
        <v>10000</v>
      </c>
      <c r="W103" s="23">
        <v>10000</v>
      </c>
      <c r="X103" s="23">
        <f t="shared" si="2"/>
        <v>0</v>
      </c>
      <c r="Y103" s="25" t="s">
        <v>502</v>
      </c>
      <c r="Z103" s="19" t="s">
        <v>51</v>
      </c>
      <c r="AA103" s="19" t="s">
        <v>93</v>
      </c>
      <c r="AB103" s="18" t="s">
        <v>507</v>
      </c>
      <c r="AC103" s="17" t="str">
        <f t="shared" si="3"/>
        <v>Y</v>
      </c>
      <c r="AD103" s="17" t="s">
        <v>386</v>
      </c>
      <c r="AF103" s="27" t="s">
        <v>55</v>
      </c>
      <c r="AG103" s="27" t="s">
        <v>55</v>
      </c>
      <c r="AI103" s="28" t="s">
        <v>57</v>
      </c>
    </row>
    <row r="104" spans="1:35" ht="34.950000000000003" customHeight="1" x14ac:dyDescent="0.4">
      <c r="A104" s="16" t="s">
        <v>36</v>
      </c>
      <c r="B104" s="16" t="s">
        <v>37</v>
      </c>
      <c r="C104" s="17">
        <v>45995</v>
      </c>
      <c r="D104" s="16" t="s">
        <v>261</v>
      </c>
      <c r="E104" s="16" t="s">
        <v>444</v>
      </c>
      <c r="F104" s="16">
        <v>27174</v>
      </c>
      <c r="G104" s="18" t="s">
        <v>445</v>
      </c>
      <c r="H104" s="16" t="s">
        <v>41</v>
      </c>
      <c r="I104" s="19" t="s">
        <v>381</v>
      </c>
      <c r="J104" s="16" t="str">
        <f>IFERROR(VLOOKUP(I104,[1]Sheet1!$A$1:$B$200,2,0),"_")</f>
        <v>PT</v>
      </c>
      <c r="K104" s="19" t="s">
        <v>381</v>
      </c>
      <c r="L104" s="16" t="str">
        <f>IFERROR(VLOOKUP(K104,[1]Sheet1!$A$1:$B$200,2,0),"-")</f>
        <v>PT</v>
      </c>
      <c r="M104" s="19" t="s">
        <v>251</v>
      </c>
      <c r="N104" s="16" t="str">
        <f>IFERROR(VLOOKUP(M104,[1]Sheet1!$G$2:$H$200,2,0),"-")</f>
        <v>SNKO</v>
      </c>
      <c r="O104" s="18" t="s">
        <v>446</v>
      </c>
      <c r="P104" s="17">
        <v>46000</v>
      </c>
      <c r="Q104" s="20" t="s">
        <v>508</v>
      </c>
      <c r="R104" s="20" t="s">
        <v>509</v>
      </c>
      <c r="S104" s="21" t="str" cm="1">
        <f t="array" ref="S104">IF(
OR(AD104="",ISERROR(AD104)),
"-",
_xlfn.UNIQUE(_xlfn._xlws.FILTER([1]Sheet1!$D$2:$D$200,ISNUMBER(SEARCH(AD104,[1]Sheet1!$D$2:$D$200))))
)</f>
        <v>더로지스 주식회사</v>
      </c>
      <c r="T104" s="22" t="s">
        <v>510</v>
      </c>
      <c r="U104" s="16" t="str" cm="1">
        <f t="array" ref="U104">IF(
OR(AD104="",ISERROR(AD104)),
"-",
_xlfn.UNIQUE(_xlfn._xlws.FILTER([1]Sheet1!$D$2:$D$200,ISNUMBER(SEARCH(AD104,[1]Sheet1!$D$2:$D$200))))
)</f>
        <v>더로지스 주식회사</v>
      </c>
      <c r="V104" s="23">
        <v>205000</v>
      </c>
      <c r="W104" s="23">
        <v>190000</v>
      </c>
      <c r="X104" s="23">
        <f t="shared" si="2"/>
        <v>15000</v>
      </c>
      <c r="Y104" s="25" t="s">
        <v>450</v>
      </c>
      <c r="Z104" s="19" t="s">
        <v>51</v>
      </c>
      <c r="AA104" s="19" t="s">
        <v>93</v>
      </c>
      <c r="AC104" s="17" t="str">
        <f t="shared" si="3"/>
        <v>Y</v>
      </c>
      <c r="AD104" s="17" t="s">
        <v>386</v>
      </c>
      <c r="AF104" s="27" t="s">
        <v>55</v>
      </c>
      <c r="AG104" s="27" t="s">
        <v>55</v>
      </c>
      <c r="AI104" s="28" t="s">
        <v>57</v>
      </c>
    </row>
    <row r="105" spans="1:35" ht="34.950000000000003" customHeight="1" x14ac:dyDescent="0.4">
      <c r="A105" s="16" t="s">
        <v>36</v>
      </c>
      <c r="B105" s="16" t="s">
        <v>37</v>
      </c>
      <c r="C105" s="17">
        <v>45995</v>
      </c>
      <c r="D105" s="16" t="s">
        <v>261</v>
      </c>
      <c r="E105" s="16" t="s">
        <v>444</v>
      </c>
      <c r="F105" s="16">
        <v>27174</v>
      </c>
      <c r="G105" s="18" t="s">
        <v>445</v>
      </c>
      <c r="H105" s="16" t="s">
        <v>41</v>
      </c>
      <c r="I105" s="19" t="s">
        <v>381</v>
      </c>
      <c r="J105" s="16" t="str">
        <f>IFERROR(VLOOKUP(I105,[1]Sheet1!$A$1:$B$200,2,0),"_")</f>
        <v>PT</v>
      </c>
      <c r="K105" s="19" t="s">
        <v>381</v>
      </c>
      <c r="L105" s="16" t="str">
        <f>IFERROR(VLOOKUP(K105,[1]Sheet1!$A$1:$B$200,2,0),"-")</f>
        <v>PT</v>
      </c>
      <c r="M105" s="19" t="s">
        <v>251</v>
      </c>
      <c r="N105" s="16" t="str">
        <f>IFERROR(VLOOKUP(M105,[1]Sheet1!$G$2:$H$200,2,0),"-")</f>
        <v>SNKO</v>
      </c>
      <c r="O105" s="18" t="s">
        <v>446</v>
      </c>
      <c r="P105" s="17">
        <v>46000</v>
      </c>
      <c r="Q105" s="20" t="s">
        <v>508</v>
      </c>
      <c r="R105" s="20" t="s">
        <v>509</v>
      </c>
      <c r="S105" s="21" t="str" cm="1">
        <f t="array" ref="S105">IF(
OR(AD105="",ISERROR(AD105)),
"-",
_xlfn.UNIQUE(_xlfn._xlws.FILTER([1]Sheet1!$D$2:$D$200,ISNUMBER(SEARCH(AD105,[1]Sheet1!$D$2:$D$200))))
)</f>
        <v>더로지스 주식회사</v>
      </c>
      <c r="T105" s="22" t="s">
        <v>510</v>
      </c>
      <c r="U105" s="16" t="str" cm="1">
        <f t="array" ref="U105">IF(
OR(AD105="",ISERROR(AD105)),
"-",
_xlfn.UNIQUE(_xlfn._xlws.FILTER([1]Sheet1!$D$2:$D$200,ISNUMBER(SEARCH(AD105,[1]Sheet1!$D$2:$D$200))))
)</f>
        <v>더로지스 주식회사</v>
      </c>
      <c r="V105" s="23">
        <v>10000</v>
      </c>
      <c r="W105" s="23">
        <v>10000</v>
      </c>
      <c r="X105" s="23">
        <f t="shared" si="2"/>
        <v>0</v>
      </c>
      <c r="Y105" s="25" t="s">
        <v>502</v>
      </c>
      <c r="Z105" s="19" t="s">
        <v>51</v>
      </c>
      <c r="AA105" s="19" t="s">
        <v>93</v>
      </c>
      <c r="AB105" s="34" t="s">
        <v>511</v>
      </c>
      <c r="AC105" s="17" t="str">
        <f t="shared" si="3"/>
        <v>Y</v>
      </c>
      <c r="AD105" s="17" t="s">
        <v>386</v>
      </c>
      <c r="AF105" s="27" t="s">
        <v>55</v>
      </c>
      <c r="AG105" s="27" t="s">
        <v>55</v>
      </c>
      <c r="AI105" s="28" t="s">
        <v>57</v>
      </c>
    </row>
    <row r="106" spans="1:35" ht="34.950000000000003" customHeight="1" x14ac:dyDescent="0.4">
      <c r="A106" s="16" t="s">
        <v>36</v>
      </c>
      <c r="B106" s="16" t="s">
        <v>37</v>
      </c>
      <c r="C106" s="17">
        <v>45995</v>
      </c>
      <c r="D106" s="16" t="s">
        <v>261</v>
      </c>
      <c r="E106" s="16" t="s">
        <v>444</v>
      </c>
      <c r="F106" s="16">
        <v>27174</v>
      </c>
      <c r="G106" s="18" t="s">
        <v>445</v>
      </c>
      <c r="H106" s="16" t="s">
        <v>41</v>
      </c>
      <c r="I106" s="19" t="s">
        <v>381</v>
      </c>
      <c r="J106" s="16" t="str">
        <f>IFERROR(VLOOKUP(I106,[1]Sheet1!$A$1:$B$200,2,0),"_")</f>
        <v>PT</v>
      </c>
      <c r="K106" s="19" t="s">
        <v>381</v>
      </c>
      <c r="L106" s="16" t="str">
        <f>IFERROR(VLOOKUP(K106,[1]Sheet1!$A$1:$B$200,2,0),"-")</f>
        <v>PT</v>
      </c>
      <c r="M106" s="19" t="s">
        <v>251</v>
      </c>
      <c r="N106" s="16" t="str">
        <f>IFERROR(VLOOKUP(M106,[1]Sheet1!$G$2:$H$200,2,0),"-")</f>
        <v>SNKO</v>
      </c>
      <c r="O106" s="18" t="s">
        <v>446</v>
      </c>
      <c r="P106" s="17">
        <v>46000</v>
      </c>
      <c r="Q106" s="20" t="s">
        <v>512</v>
      </c>
      <c r="R106" s="20" t="s">
        <v>513</v>
      </c>
      <c r="S106" s="21" t="str" cm="1">
        <f t="array" ref="S106">IF(
OR(AD106="",ISERROR(AD106)),
"-",
_xlfn.UNIQUE(_xlfn._xlws.FILTER([1]Sheet1!$D$2:$D$200,ISNUMBER(SEARCH(AD106,[1]Sheet1!$D$2:$D$200))))
)</f>
        <v>(주)비에스물류</v>
      </c>
      <c r="T106" s="22" t="s">
        <v>514</v>
      </c>
      <c r="U106" s="16" t="str" cm="1">
        <f t="array" ref="U106">IF(
OR(AD106="",ISERROR(AD106)),
"-",
_xlfn.UNIQUE(_xlfn._xlws.FILTER([1]Sheet1!$D$2:$D$200,ISNUMBER(SEARCH(AD106,[1]Sheet1!$D$2:$D$200))))
)</f>
        <v>(주)비에스물류</v>
      </c>
      <c r="V106" s="23">
        <v>205000</v>
      </c>
      <c r="W106" s="23">
        <v>190000</v>
      </c>
      <c r="X106" s="23">
        <f t="shared" si="2"/>
        <v>15000</v>
      </c>
      <c r="Y106" s="25" t="s">
        <v>450</v>
      </c>
      <c r="Z106" s="19" t="s">
        <v>51</v>
      </c>
      <c r="AA106" s="19" t="s">
        <v>93</v>
      </c>
      <c r="AC106" s="17" t="str">
        <f t="shared" si="3"/>
        <v>Y</v>
      </c>
      <c r="AD106" s="17" t="s">
        <v>288</v>
      </c>
      <c r="AF106" s="27" t="s">
        <v>55</v>
      </c>
      <c r="AG106" s="27" t="s">
        <v>55</v>
      </c>
      <c r="AI106" s="28" t="s">
        <v>57</v>
      </c>
    </row>
    <row r="107" spans="1:35" ht="34.950000000000003" customHeight="1" x14ac:dyDescent="0.4">
      <c r="A107" s="16" t="s">
        <v>36</v>
      </c>
      <c r="B107" s="16" t="s">
        <v>37</v>
      </c>
      <c r="C107" s="17">
        <v>45995</v>
      </c>
      <c r="D107" s="16" t="s">
        <v>261</v>
      </c>
      <c r="E107" s="16" t="s">
        <v>444</v>
      </c>
      <c r="F107" s="16">
        <v>27174</v>
      </c>
      <c r="G107" s="18" t="s">
        <v>445</v>
      </c>
      <c r="H107" s="16" t="s">
        <v>41</v>
      </c>
      <c r="I107" s="19" t="s">
        <v>381</v>
      </c>
      <c r="J107" s="16" t="str">
        <f>IFERROR(VLOOKUP(I107,[1]Sheet1!$A$1:$B$200,2,0),"_")</f>
        <v>PT</v>
      </c>
      <c r="K107" s="19" t="s">
        <v>381</v>
      </c>
      <c r="L107" s="16" t="str">
        <f>IFERROR(VLOOKUP(K107,[1]Sheet1!$A$1:$B$200,2,0),"-")</f>
        <v>PT</v>
      </c>
      <c r="M107" s="19" t="s">
        <v>251</v>
      </c>
      <c r="N107" s="16" t="str">
        <f>IFERROR(VLOOKUP(M107,[1]Sheet1!$G$2:$H$200,2,0),"-")</f>
        <v>SNKO</v>
      </c>
      <c r="O107" s="18" t="s">
        <v>446</v>
      </c>
      <c r="P107" s="17">
        <v>46000</v>
      </c>
      <c r="Q107" s="20" t="s">
        <v>512</v>
      </c>
      <c r="R107" s="20" t="s">
        <v>513</v>
      </c>
      <c r="S107" s="21" t="str" cm="1">
        <f t="array" ref="S107">IF(
OR(AD107="",ISERROR(AD107)),
"-",
_xlfn.UNIQUE(_xlfn._xlws.FILTER([1]Sheet1!$D$2:$D$200,ISNUMBER(SEARCH(AD107,[1]Sheet1!$D$2:$D$200))))
)</f>
        <v>(주)비에스물류</v>
      </c>
      <c r="T107" s="22" t="s">
        <v>514</v>
      </c>
      <c r="U107" s="16" t="str" cm="1">
        <f t="array" ref="U107">IF(
OR(AD107="",ISERROR(AD107)),
"-",
_xlfn.UNIQUE(_xlfn._xlws.FILTER([1]Sheet1!$D$2:$D$200,ISNUMBER(SEARCH(AD107,[1]Sheet1!$D$2:$D$200))))
)</f>
        <v>(주)비에스물류</v>
      </c>
      <c r="V107" s="23">
        <v>10000</v>
      </c>
      <c r="W107" s="23">
        <v>10000</v>
      </c>
      <c r="X107" s="23">
        <f t="shared" si="2"/>
        <v>0</v>
      </c>
      <c r="Y107" s="25" t="s">
        <v>502</v>
      </c>
      <c r="Z107" s="19" t="s">
        <v>51</v>
      </c>
      <c r="AA107" s="19" t="s">
        <v>93</v>
      </c>
      <c r="AB107" s="18" t="s">
        <v>515</v>
      </c>
      <c r="AC107" s="17" t="str">
        <f t="shared" si="3"/>
        <v>Y</v>
      </c>
      <c r="AD107" s="17" t="s">
        <v>288</v>
      </c>
      <c r="AF107" s="27" t="s">
        <v>55</v>
      </c>
      <c r="AG107" s="27" t="s">
        <v>55</v>
      </c>
      <c r="AI107" s="28" t="s">
        <v>57</v>
      </c>
    </row>
    <row r="108" spans="1:35" ht="34.950000000000003" customHeight="1" x14ac:dyDescent="0.4">
      <c r="A108" s="16" t="s">
        <v>71</v>
      </c>
      <c r="B108" s="16" t="s">
        <v>37</v>
      </c>
      <c r="C108" s="17">
        <v>45995</v>
      </c>
      <c r="D108" s="16" t="s">
        <v>516</v>
      </c>
      <c r="E108" s="16" t="s">
        <v>517</v>
      </c>
      <c r="F108" s="16">
        <v>26621</v>
      </c>
      <c r="G108" s="18" t="s">
        <v>518</v>
      </c>
      <c r="H108" s="16" t="s">
        <v>519</v>
      </c>
      <c r="I108" s="19" t="s">
        <v>520</v>
      </c>
      <c r="J108" s="16" t="str">
        <f>IFERROR(VLOOKUP(I108,[1]Sheet1!$A$1:$B$200,2,0),"_")</f>
        <v>KP</v>
      </c>
      <c r="K108" s="19" t="s">
        <v>520</v>
      </c>
      <c r="L108" s="16" t="str">
        <f>IFERROR(VLOOKUP(K108,[1]Sheet1!$A$1:$B$200,2,0),"-")</f>
        <v>KP</v>
      </c>
      <c r="M108" s="19" t="s">
        <v>159</v>
      </c>
      <c r="N108" s="16" t="str">
        <f>IFERROR(VLOOKUP(M108,[1]Sheet1!$G$2:$H$200,2,0),"-")</f>
        <v>MAEU</v>
      </c>
      <c r="O108" s="18" t="s">
        <v>55</v>
      </c>
      <c r="P108" s="17" t="s">
        <v>55</v>
      </c>
      <c r="Q108" s="20" t="s">
        <v>521</v>
      </c>
      <c r="R108" s="20" t="s">
        <v>522</v>
      </c>
      <c r="S108" s="21" t="str" cm="1">
        <f t="array" ref="S108">IF(
OR(AD108="",ISERROR(AD108)),
"-",
_xlfn.UNIQUE(_xlfn._xlws.FILTER([1]Sheet1!$D$2:$D$200,ISNUMBER(SEARCH(AD108,[1]Sheet1!$D$2:$D$200))))
)</f>
        <v>(주)유진로직스</v>
      </c>
      <c r="T108" s="22" t="s">
        <v>523</v>
      </c>
      <c r="U108" s="16" t="str" cm="1">
        <f t="array" ref="U108">IF(
OR(AD108="",ISERROR(AD108)),
"-",
_xlfn.UNIQUE(_xlfn._xlws.FILTER([1]Sheet1!$D$2:$D$200,ISNUMBER(SEARCH(AD108,[1]Sheet1!$D$2:$D$200))))
)</f>
        <v>(주)유진로직스</v>
      </c>
      <c r="V108" s="23">
        <v>250000</v>
      </c>
      <c r="W108" s="23">
        <v>220000</v>
      </c>
      <c r="X108" s="23">
        <f t="shared" si="2"/>
        <v>30000</v>
      </c>
      <c r="Y108" s="25" t="s">
        <v>524</v>
      </c>
      <c r="Z108" s="19" t="s">
        <v>51</v>
      </c>
      <c r="AA108" s="19" t="s">
        <v>52</v>
      </c>
      <c r="AC108" s="17" t="str">
        <f t="shared" si="3"/>
        <v>Y</v>
      </c>
      <c r="AD108" s="17" t="s">
        <v>70</v>
      </c>
      <c r="AF108" s="27" t="s">
        <v>55</v>
      </c>
      <c r="AG108" s="27" t="s">
        <v>55</v>
      </c>
      <c r="AI108" s="28" t="s">
        <v>57</v>
      </c>
    </row>
    <row r="109" spans="1:35" ht="34.950000000000003" customHeight="1" x14ac:dyDescent="0.4">
      <c r="A109" s="16" t="s">
        <v>36</v>
      </c>
      <c r="B109" s="16" t="s">
        <v>37</v>
      </c>
      <c r="C109" s="17">
        <v>45995</v>
      </c>
      <c r="D109" s="16" t="s">
        <v>188</v>
      </c>
      <c r="E109" s="16" t="s">
        <v>189</v>
      </c>
      <c r="F109" s="16">
        <v>16959</v>
      </c>
      <c r="G109" s="18" t="s">
        <v>190</v>
      </c>
      <c r="H109" s="16" t="s">
        <v>41</v>
      </c>
      <c r="I109" s="19" t="s">
        <v>42</v>
      </c>
      <c r="J109" s="16" t="str">
        <f>IFERROR(VLOOKUP(I109,[1]Sheet1!$A$1:$B$200,2,0),"_")</f>
        <v>P</v>
      </c>
      <c r="K109" s="19" t="s">
        <v>42</v>
      </c>
      <c r="L109" s="16" t="str">
        <f>IFERROR(VLOOKUP(K109,[1]Sheet1!$A$1:$B$200,2,0),"-")</f>
        <v>P</v>
      </c>
      <c r="M109" s="19" t="s">
        <v>191</v>
      </c>
      <c r="N109" s="16" t="str">
        <f>IFERROR(VLOOKUP(M109,[1]Sheet1!$G$2:$H$200,2,0),"-")</f>
        <v>HASL</v>
      </c>
      <c r="O109" s="27" t="s">
        <v>423</v>
      </c>
      <c r="P109" s="17">
        <v>45999</v>
      </c>
      <c r="Q109" s="20" t="s">
        <v>192</v>
      </c>
      <c r="R109" s="20" t="s">
        <v>193</v>
      </c>
      <c r="S109" s="21" t="str" cm="1">
        <f t="array" ref="S109">IF(
OR(AD109="",ISERROR(AD109)),
"-",
_xlfn.UNIQUE(_xlfn._xlws.FILTER([1]Sheet1!$D$2:$D$200,ISNUMBER(SEARCH(AD109,[1]Sheet1!$D$2:$D$200))))
)</f>
        <v>(주)부강에너지</v>
      </c>
      <c r="T109" s="22" t="s">
        <v>525</v>
      </c>
      <c r="U109" s="16" t="str" cm="1">
        <f t="array" ref="U109">IF(
OR(AD109="",ISERROR(AD109)),
"-",
_xlfn.UNIQUE(_xlfn._xlws.FILTER([1]Sheet1!$D$2:$D$200,ISNUMBER(SEARCH(AD109,[1]Sheet1!$D$2:$D$200))))
)</f>
        <v>(주)부강에너지</v>
      </c>
      <c r="V109" s="23">
        <v>250000</v>
      </c>
      <c r="W109" s="24">
        <v>220000</v>
      </c>
      <c r="X109" s="23">
        <f t="shared" si="2"/>
        <v>30000</v>
      </c>
      <c r="Y109" s="25" t="s">
        <v>195</v>
      </c>
      <c r="Z109" s="19" t="s">
        <v>51</v>
      </c>
      <c r="AA109" s="19" t="s">
        <v>81</v>
      </c>
      <c r="AB109" s="18" t="s">
        <v>526</v>
      </c>
      <c r="AC109" s="17" t="str">
        <f t="shared" si="3"/>
        <v>Y</v>
      </c>
      <c r="AD109" s="17" t="s">
        <v>197</v>
      </c>
      <c r="AF109" s="27" t="s">
        <v>55</v>
      </c>
      <c r="AG109" s="27" t="s">
        <v>55</v>
      </c>
      <c r="AI109" s="28" t="s">
        <v>57</v>
      </c>
    </row>
    <row r="110" spans="1:35" ht="34.950000000000003" customHeight="1" x14ac:dyDescent="0.4">
      <c r="A110" s="16" t="s">
        <v>36</v>
      </c>
      <c r="B110" s="16" t="s">
        <v>37</v>
      </c>
      <c r="C110" s="17">
        <v>45995</v>
      </c>
      <c r="D110" s="16" t="s">
        <v>188</v>
      </c>
      <c r="E110" s="16" t="s">
        <v>189</v>
      </c>
      <c r="F110" s="16">
        <v>16959</v>
      </c>
      <c r="G110" s="18" t="s">
        <v>190</v>
      </c>
      <c r="H110" s="16" t="s">
        <v>41</v>
      </c>
      <c r="I110" s="19" t="s">
        <v>42</v>
      </c>
      <c r="J110" s="16" t="str">
        <f>IFERROR(VLOOKUP(I110,[1]Sheet1!$A$1:$B$200,2,0),"_")</f>
        <v>P</v>
      </c>
      <c r="K110" s="19" t="s">
        <v>42</v>
      </c>
      <c r="L110" s="16" t="str">
        <f>IFERROR(VLOOKUP(K110,[1]Sheet1!$A$1:$B$200,2,0),"-")</f>
        <v>P</v>
      </c>
      <c r="M110" s="19" t="s">
        <v>191</v>
      </c>
      <c r="N110" s="16" t="str">
        <f>IFERROR(VLOOKUP(M110,[1]Sheet1!$G$2:$H$200,2,0),"-")</f>
        <v>HASL</v>
      </c>
      <c r="O110" s="27" t="s">
        <v>423</v>
      </c>
      <c r="P110" s="17">
        <v>45999</v>
      </c>
      <c r="Q110" s="20" t="s">
        <v>192</v>
      </c>
      <c r="R110" s="20" t="s">
        <v>193</v>
      </c>
      <c r="S110" s="21" t="str" cm="1">
        <f t="array" ref="S110">IF(
OR(AD110="",ISERROR(AD110)),
"-",
_xlfn.UNIQUE(_xlfn._xlws.FILTER([1]Sheet1!$D$2:$D$200,ISNUMBER(SEARCH(AD110,[1]Sheet1!$D$2:$D$200))))
)</f>
        <v>(주)부강에너지</v>
      </c>
      <c r="T110" s="22" t="s">
        <v>525</v>
      </c>
      <c r="U110" s="16" t="str" cm="1">
        <f t="array" ref="U110">IF(
OR(AD110="",ISERROR(AD110)),
"-",
_xlfn.UNIQUE(_xlfn._xlws.FILTER([1]Sheet1!$D$2:$D$200,ISNUMBER(SEARCH(AD110,[1]Sheet1!$D$2:$D$200))))
)</f>
        <v>(주)부강에너지</v>
      </c>
      <c r="V110" s="23">
        <v>30000</v>
      </c>
      <c r="W110" s="24">
        <v>30000</v>
      </c>
      <c r="X110" s="23">
        <f t="shared" si="2"/>
        <v>0</v>
      </c>
      <c r="Y110" s="25" t="s">
        <v>198</v>
      </c>
      <c r="Z110" s="19" t="s">
        <v>51</v>
      </c>
      <c r="AA110" s="19" t="s">
        <v>81</v>
      </c>
      <c r="AB110" s="18" t="s">
        <v>526</v>
      </c>
      <c r="AC110" s="17" t="str">
        <f t="shared" si="3"/>
        <v>Y</v>
      </c>
      <c r="AD110" s="17" t="s">
        <v>197</v>
      </c>
      <c r="AF110" s="27" t="s">
        <v>55</v>
      </c>
      <c r="AG110" s="27" t="s">
        <v>55</v>
      </c>
      <c r="AI110" s="28" t="s">
        <v>57</v>
      </c>
    </row>
    <row r="111" spans="1:35" ht="34.950000000000003" customHeight="1" x14ac:dyDescent="0.4">
      <c r="A111" s="16" t="s">
        <v>71</v>
      </c>
      <c r="B111" s="16" t="s">
        <v>37</v>
      </c>
      <c r="C111" s="17">
        <v>45995</v>
      </c>
      <c r="D111" s="16" t="s">
        <v>100</v>
      </c>
      <c r="E111" s="16" t="s">
        <v>527</v>
      </c>
      <c r="F111" s="16">
        <v>28144</v>
      </c>
      <c r="G111" s="18" t="s">
        <v>528</v>
      </c>
      <c r="H111" s="16" t="s">
        <v>75</v>
      </c>
      <c r="I111" s="19" t="s">
        <v>529</v>
      </c>
      <c r="J111" s="16" t="str">
        <f>IFERROR(VLOOKUP(I111,[1]Sheet1!$A$1:$B$200,2,0),"_")</f>
        <v>BC</v>
      </c>
      <c r="K111" s="19" t="s">
        <v>137</v>
      </c>
      <c r="L111" s="16" t="str">
        <f>IFERROR(VLOOKUP(K111,[1]Sheet1!$A$1:$B$200,2,0),"-")</f>
        <v>BE</v>
      </c>
      <c r="M111" s="19" t="s">
        <v>530</v>
      </c>
      <c r="N111" s="16" t="str">
        <f>IFERROR(VLOOKUP(M111,[1]Sheet1!$G$2:$H$200,2,0),"-")</f>
        <v>YMLU</v>
      </c>
      <c r="O111" s="31" t="s">
        <v>55</v>
      </c>
      <c r="P111" s="17" t="s">
        <v>55</v>
      </c>
      <c r="Q111" s="20" t="s">
        <v>531</v>
      </c>
      <c r="R111" s="20"/>
      <c r="S111" s="21" t="str" cm="1">
        <f t="array" ref="S111">IF(
OR(AD111="",ISERROR(AD111)),
"-",
_xlfn.UNIQUE(_xlfn._xlws.FILTER([1]Sheet1!$D$2:$D$200,ISNUMBER(SEARCH(AD111,[1]Sheet1!$D$2:$D$200))))
)</f>
        <v>(주)한울로직스</v>
      </c>
      <c r="T111" s="22" t="s">
        <v>532</v>
      </c>
      <c r="U111" s="16" t="str" cm="1">
        <f t="array" ref="U111">IF(
OR(AD111="",ISERROR(AD111)),
"-",
_xlfn.UNIQUE(_xlfn._xlws.FILTER([1]Sheet1!$D$2:$D$200,ISNUMBER(SEARCH(AD111,[1]Sheet1!$D$2:$D$200))))
)</f>
        <v>(주)한울로직스</v>
      </c>
      <c r="V111" s="23">
        <v>598000</v>
      </c>
      <c r="W111" s="24">
        <v>529300</v>
      </c>
      <c r="X111" s="23">
        <f t="shared" si="2"/>
        <v>68700</v>
      </c>
      <c r="Y111" s="25" t="s">
        <v>533</v>
      </c>
      <c r="Z111" s="19" t="s">
        <v>51</v>
      </c>
      <c r="AA111" s="19" t="s">
        <v>81</v>
      </c>
      <c r="AC111" s="17" t="str">
        <f t="shared" si="3"/>
        <v>Y</v>
      </c>
      <c r="AD111" s="17" t="s">
        <v>534</v>
      </c>
      <c r="AF111" s="27" t="s">
        <v>55</v>
      </c>
      <c r="AG111" s="27" t="s">
        <v>55</v>
      </c>
      <c r="AI111" s="28" t="s">
        <v>228</v>
      </c>
    </row>
    <row r="112" spans="1:35" ht="34.950000000000003" customHeight="1" x14ac:dyDescent="0.4">
      <c r="A112" s="16" t="s">
        <v>71</v>
      </c>
      <c r="B112" s="16" t="s">
        <v>37</v>
      </c>
      <c r="C112" s="17">
        <v>45995</v>
      </c>
      <c r="D112" s="16" t="s">
        <v>100</v>
      </c>
      <c r="E112" s="16" t="s">
        <v>527</v>
      </c>
      <c r="F112" s="16">
        <v>28144</v>
      </c>
      <c r="G112" s="18" t="s">
        <v>528</v>
      </c>
      <c r="H112" s="16" t="s">
        <v>75</v>
      </c>
      <c r="I112" s="19" t="s">
        <v>529</v>
      </c>
      <c r="J112" s="16" t="str">
        <f>IFERROR(VLOOKUP(I112,[1]Sheet1!$A$1:$B$200,2,0),"_")</f>
        <v>BC</v>
      </c>
      <c r="K112" s="19" t="s">
        <v>137</v>
      </c>
      <c r="L112" s="16" t="str">
        <f>IFERROR(VLOOKUP(K112,[1]Sheet1!$A$1:$B$200,2,0),"-")</f>
        <v>BE</v>
      </c>
      <c r="M112" s="19" t="s">
        <v>530</v>
      </c>
      <c r="N112" s="16" t="str">
        <f>IFERROR(VLOOKUP(M112,[1]Sheet1!$G$2:$H$200,2,0),"-")</f>
        <v>YMLU</v>
      </c>
      <c r="O112" s="31" t="s">
        <v>55</v>
      </c>
      <c r="P112" s="17" t="s">
        <v>55</v>
      </c>
      <c r="Q112" s="20" t="s">
        <v>531</v>
      </c>
      <c r="R112" s="20"/>
      <c r="S112" s="21" t="str" cm="1">
        <f t="array" ref="S112">IF(
OR(AD112="",ISERROR(AD112)),
"-",
_xlfn.UNIQUE(_xlfn._xlws.FILTER([1]Sheet1!$D$2:$D$200,ISNUMBER(SEARCH(AD112,[1]Sheet1!$D$2:$D$200))))
)</f>
        <v>(주)한울로직스</v>
      </c>
      <c r="T112" s="22" t="s">
        <v>532</v>
      </c>
      <c r="U112" s="16" t="str" cm="1">
        <f t="array" ref="U112">IF(
OR(AD112="",ISERROR(AD112)),
"-",
_xlfn.UNIQUE(_xlfn._xlws.FILTER([1]Sheet1!$D$2:$D$200,ISNUMBER(SEARCH(AD112,[1]Sheet1!$D$2:$D$200))))
)</f>
        <v>(주)한울로직스</v>
      </c>
      <c r="V112" s="23">
        <v>10000</v>
      </c>
      <c r="W112" s="24">
        <v>10000</v>
      </c>
      <c r="X112" s="23">
        <f t="shared" si="2"/>
        <v>0</v>
      </c>
      <c r="Y112" s="25" t="s">
        <v>535</v>
      </c>
      <c r="Z112" s="19" t="s">
        <v>51</v>
      </c>
      <c r="AA112" s="19" t="s">
        <v>81</v>
      </c>
      <c r="AC112" s="17" t="str">
        <f t="shared" si="3"/>
        <v>Y</v>
      </c>
      <c r="AD112" s="17" t="s">
        <v>534</v>
      </c>
      <c r="AF112" s="27" t="s">
        <v>55</v>
      </c>
      <c r="AG112" s="27" t="s">
        <v>55</v>
      </c>
      <c r="AI112" s="28" t="s">
        <v>228</v>
      </c>
    </row>
    <row r="113" spans="1:35" ht="34.950000000000003" customHeight="1" x14ac:dyDescent="0.4">
      <c r="A113" s="16" t="s">
        <v>36</v>
      </c>
      <c r="B113" s="16" t="s">
        <v>37</v>
      </c>
      <c r="C113" s="17">
        <v>45995</v>
      </c>
      <c r="D113" s="16" t="s">
        <v>248</v>
      </c>
      <c r="E113" s="16" t="s">
        <v>536</v>
      </c>
      <c r="F113" s="16">
        <v>19387</v>
      </c>
      <c r="G113" s="18" t="s">
        <v>537</v>
      </c>
      <c r="H113" s="16" t="s">
        <v>59</v>
      </c>
      <c r="I113" s="19" t="s">
        <v>538</v>
      </c>
      <c r="J113" s="16" t="str">
        <f>IFERROR(VLOOKUP(I113,[1]Sheet1!$A$1:$B$200,2,0),"_")</f>
        <v>OS</v>
      </c>
      <c r="K113" s="19" t="s">
        <v>86</v>
      </c>
      <c r="L113" s="16" t="str">
        <f>IFERROR(VLOOKUP(K113,[1]Sheet1!$A$1:$B$200,2,0),"-")</f>
        <v>HP</v>
      </c>
      <c r="M113" s="19" t="s">
        <v>87</v>
      </c>
      <c r="N113" s="16" t="str">
        <f>IFERROR(VLOOKUP(M113,[1]Sheet1!$G$2:$H$200,2,0),"-")</f>
        <v>HDMU</v>
      </c>
      <c r="O113" s="31" t="s">
        <v>539</v>
      </c>
      <c r="P113" s="17">
        <v>45997</v>
      </c>
      <c r="Q113" s="20" t="s">
        <v>540</v>
      </c>
      <c r="R113" s="20" t="s">
        <v>541</v>
      </c>
      <c r="S113" s="21" t="str" cm="1">
        <f t="array" ref="S113">IF(
OR(AD113="",ISERROR(AD113)),
"-",
_xlfn.UNIQUE(_xlfn._xlws.FILTER([1]Sheet1!$D$2:$D$200,ISNUMBER(SEARCH(AD113,[1]Sheet1!$D$2:$D$200))))
)</f>
        <v>(주)유진로직스</v>
      </c>
      <c r="T113" s="22" t="s">
        <v>542</v>
      </c>
      <c r="U113" s="16" t="str" cm="1">
        <f t="array" ref="U113">IF(
OR(AD113="",ISERROR(AD113)),
"-",
_xlfn.UNIQUE(_xlfn._xlws.FILTER([1]Sheet1!$D$2:$D$200,ISNUMBER(SEARCH(AD113,[1]Sheet1!$D$2:$D$200))))
)</f>
        <v>(주)유진로직스</v>
      </c>
      <c r="V113" s="23">
        <v>440000</v>
      </c>
      <c r="W113" s="23">
        <v>420000</v>
      </c>
      <c r="X113" s="23">
        <f t="shared" si="2"/>
        <v>20000</v>
      </c>
      <c r="Y113" s="25" t="s">
        <v>543</v>
      </c>
      <c r="Z113" s="19" t="s">
        <v>51</v>
      </c>
      <c r="AA113" s="19" t="s">
        <v>144</v>
      </c>
      <c r="AB113" s="18" t="s">
        <v>544</v>
      </c>
      <c r="AC113" s="17" t="str">
        <f t="shared" si="3"/>
        <v>Y</v>
      </c>
      <c r="AD113" s="17" t="s">
        <v>70</v>
      </c>
      <c r="AF113" s="27" t="s">
        <v>55</v>
      </c>
      <c r="AG113" s="27" t="s">
        <v>55</v>
      </c>
      <c r="AI113" s="28" t="s">
        <v>57</v>
      </c>
    </row>
    <row r="114" spans="1:35" ht="34.950000000000003" customHeight="1" x14ac:dyDescent="0.4">
      <c r="A114" s="16" t="s">
        <v>36</v>
      </c>
      <c r="B114" s="16" t="s">
        <v>37</v>
      </c>
      <c r="C114" s="17">
        <v>45995</v>
      </c>
      <c r="D114" s="16" t="s">
        <v>83</v>
      </c>
      <c r="E114" s="16" t="s">
        <v>545</v>
      </c>
      <c r="F114" s="16">
        <v>22902</v>
      </c>
      <c r="G114" s="18" t="s">
        <v>546</v>
      </c>
      <c r="H114" s="16" t="s">
        <v>75</v>
      </c>
      <c r="I114" s="19" t="s">
        <v>381</v>
      </c>
      <c r="J114" s="16" t="str">
        <f>IFERROR(VLOOKUP(I114,[1]Sheet1!$A$1:$B$200,2,0),"_")</f>
        <v>PT</v>
      </c>
      <c r="K114" s="19" t="s">
        <v>381</v>
      </c>
      <c r="L114" s="16" t="str">
        <f>IFERROR(VLOOKUP(K114,[1]Sheet1!$A$1:$B$200,2,0),"-")</f>
        <v>PT</v>
      </c>
      <c r="M114" s="19" t="s">
        <v>273</v>
      </c>
      <c r="N114" s="16" t="str">
        <f>IFERROR(VLOOKUP(M114,[1]Sheet1!$G$2:$H$200,2,0),"-")</f>
        <v>DJSC</v>
      </c>
      <c r="O114" s="18" t="s">
        <v>547</v>
      </c>
      <c r="P114" s="17">
        <v>46001</v>
      </c>
      <c r="Q114" s="20" t="s">
        <v>548</v>
      </c>
      <c r="R114" s="20" t="s">
        <v>549</v>
      </c>
      <c r="S114" s="21" t="str" cm="1">
        <f t="array" ref="S114">IF(
OR(AD114="",ISERROR(AD114)),
"-",
_xlfn.UNIQUE(_xlfn._xlws.FILTER([1]Sheet1!$D$2:$D$200,ISNUMBER(SEARCH(AD114,[1]Sheet1!$D$2:$D$200))))
)</f>
        <v>주식회사 다원로직스</v>
      </c>
      <c r="T114" s="22" t="s">
        <v>550</v>
      </c>
      <c r="U114" s="16" t="str" cm="1">
        <f t="array" ref="U114">IF(
OR(AD114="",ISERROR(AD114)),
"-",
_xlfn.UNIQUE(_xlfn._xlws.FILTER([1]Sheet1!$D$2:$D$200,ISNUMBER(SEARCH(AD114,[1]Sheet1!$D$2:$D$200))))
)</f>
        <v>주식회사 다원로직스</v>
      </c>
      <c r="V114" s="23">
        <v>240000</v>
      </c>
      <c r="W114" s="23">
        <v>200000</v>
      </c>
      <c r="X114" s="23">
        <f t="shared" si="2"/>
        <v>40000</v>
      </c>
      <c r="Y114" s="25" t="s">
        <v>551</v>
      </c>
      <c r="Z114" s="19" t="s">
        <v>51</v>
      </c>
      <c r="AA114" s="19" t="s">
        <v>93</v>
      </c>
      <c r="AC114" s="17" t="str">
        <f t="shared" si="3"/>
        <v>Y</v>
      </c>
      <c r="AD114" s="17" t="s">
        <v>552</v>
      </c>
      <c r="AF114" s="27" t="s">
        <v>55</v>
      </c>
      <c r="AG114" s="27" t="s">
        <v>55</v>
      </c>
      <c r="AI114" s="28" t="s">
        <v>57</v>
      </c>
    </row>
    <row r="115" spans="1:35" ht="34.950000000000003" customHeight="1" x14ac:dyDescent="0.4">
      <c r="A115" s="16" t="s">
        <v>36</v>
      </c>
      <c r="B115" s="16" t="s">
        <v>37</v>
      </c>
      <c r="C115" s="17">
        <v>45995</v>
      </c>
      <c r="D115" s="16" t="s">
        <v>83</v>
      </c>
      <c r="E115" s="16" t="s">
        <v>545</v>
      </c>
      <c r="F115" s="16">
        <v>22902</v>
      </c>
      <c r="G115" s="18" t="s">
        <v>546</v>
      </c>
      <c r="H115" s="16" t="s">
        <v>75</v>
      </c>
      <c r="I115" s="19" t="s">
        <v>381</v>
      </c>
      <c r="J115" s="16" t="str">
        <f>IFERROR(VLOOKUP(I115,[1]Sheet1!$A$1:$B$200,2,0),"_")</f>
        <v>PT</v>
      </c>
      <c r="K115" s="19" t="s">
        <v>381</v>
      </c>
      <c r="L115" s="16" t="str">
        <f>IFERROR(VLOOKUP(K115,[1]Sheet1!$A$1:$B$200,2,0),"-")</f>
        <v>PT</v>
      </c>
      <c r="M115" s="19" t="s">
        <v>273</v>
      </c>
      <c r="N115" s="16" t="str">
        <f>IFERROR(VLOOKUP(M115,[1]Sheet1!$G$2:$H$200,2,0),"-")</f>
        <v>DJSC</v>
      </c>
      <c r="O115" s="18" t="s">
        <v>547</v>
      </c>
      <c r="P115" s="17">
        <v>46001</v>
      </c>
      <c r="Q115" s="20" t="s">
        <v>553</v>
      </c>
      <c r="R115" s="20" t="s">
        <v>554</v>
      </c>
      <c r="S115" s="21" t="str" cm="1">
        <f t="array" ref="S115">IF(
OR(AD115="",ISERROR(AD115)),
"-",
_xlfn.UNIQUE(_xlfn._xlws.FILTER([1]Sheet1!$D$2:$D$200,ISNUMBER(SEARCH(AD115,[1]Sheet1!$D$2:$D$200))))
)</f>
        <v>주식회사 다원로직스</v>
      </c>
      <c r="T115" s="22" t="s">
        <v>550</v>
      </c>
      <c r="U115" s="16" t="str" cm="1">
        <f t="array" ref="U115">IF(
OR(AD115="",ISERROR(AD115)),
"-",
_xlfn.UNIQUE(_xlfn._xlws.FILTER([1]Sheet1!$D$2:$D$200,ISNUMBER(SEARCH(AD115,[1]Sheet1!$D$2:$D$200))))
)</f>
        <v>주식회사 다원로직스</v>
      </c>
      <c r="V115" s="23">
        <v>240000</v>
      </c>
      <c r="W115" s="23">
        <v>200000</v>
      </c>
      <c r="X115" s="23">
        <f t="shared" si="2"/>
        <v>40000</v>
      </c>
      <c r="Y115" s="25" t="s">
        <v>551</v>
      </c>
      <c r="Z115" s="19" t="s">
        <v>51</v>
      </c>
      <c r="AA115" s="19" t="s">
        <v>93</v>
      </c>
      <c r="AC115" s="17" t="str">
        <f t="shared" si="3"/>
        <v>Y</v>
      </c>
      <c r="AD115" s="17" t="s">
        <v>552</v>
      </c>
      <c r="AF115" s="27" t="s">
        <v>55</v>
      </c>
      <c r="AG115" s="27" t="s">
        <v>55</v>
      </c>
      <c r="AI115" s="28" t="s">
        <v>57</v>
      </c>
    </row>
    <row r="116" spans="1:35" ht="34.950000000000003" customHeight="1" x14ac:dyDescent="0.4">
      <c r="A116" s="16" t="s">
        <v>36</v>
      </c>
      <c r="B116" s="16" t="s">
        <v>37</v>
      </c>
      <c r="C116" s="17">
        <v>45995</v>
      </c>
      <c r="D116" s="16" t="s">
        <v>83</v>
      </c>
      <c r="E116" s="16" t="s">
        <v>545</v>
      </c>
      <c r="F116" s="16">
        <v>22902</v>
      </c>
      <c r="G116" s="18" t="s">
        <v>546</v>
      </c>
      <c r="H116" s="16" t="s">
        <v>75</v>
      </c>
      <c r="I116" s="19" t="s">
        <v>381</v>
      </c>
      <c r="J116" s="16" t="str">
        <f>IFERROR(VLOOKUP(I116,[1]Sheet1!$A$1:$B$200,2,0),"_")</f>
        <v>PT</v>
      </c>
      <c r="K116" s="19" t="s">
        <v>381</v>
      </c>
      <c r="L116" s="16" t="str">
        <f>IFERROR(VLOOKUP(K116,[1]Sheet1!$A$1:$B$200,2,0),"-")</f>
        <v>PT</v>
      </c>
      <c r="M116" s="19" t="s">
        <v>273</v>
      </c>
      <c r="N116" s="16" t="str">
        <f>IFERROR(VLOOKUP(M116,[1]Sheet1!$G$2:$H$200,2,0),"-")</f>
        <v>DJSC</v>
      </c>
      <c r="O116" s="18" t="s">
        <v>547</v>
      </c>
      <c r="P116" s="17">
        <v>46001</v>
      </c>
      <c r="Q116" s="20" t="s">
        <v>555</v>
      </c>
      <c r="R116" s="20" t="s">
        <v>556</v>
      </c>
      <c r="S116" s="21" t="str" cm="1">
        <f t="array" ref="S116">IF(
OR(AD116="",ISERROR(AD116)),
"-",
_xlfn.UNIQUE(_xlfn._xlws.FILTER([1]Sheet1!$D$2:$D$200,ISNUMBER(SEARCH(AD116,[1]Sheet1!$D$2:$D$200))))
)</f>
        <v>주식회사 다원로직스</v>
      </c>
      <c r="T116" s="22" t="s">
        <v>550</v>
      </c>
      <c r="U116" s="16" t="str" cm="1">
        <f t="array" ref="U116">IF(
OR(AD116="",ISERROR(AD116)),
"-",
_xlfn.UNIQUE(_xlfn._xlws.FILTER([1]Sheet1!$D$2:$D$200,ISNUMBER(SEARCH(AD116,[1]Sheet1!$D$2:$D$200))))
)</f>
        <v>주식회사 다원로직스</v>
      </c>
      <c r="V116" s="23">
        <v>200000</v>
      </c>
      <c r="W116" s="23">
        <v>200000</v>
      </c>
      <c r="X116" s="23">
        <f t="shared" si="2"/>
        <v>0</v>
      </c>
      <c r="Y116" s="25" t="s">
        <v>551</v>
      </c>
      <c r="Z116" s="19" t="s">
        <v>51</v>
      </c>
      <c r="AA116" s="19" t="s">
        <v>93</v>
      </c>
      <c r="AB116" s="25" t="s">
        <v>556</v>
      </c>
      <c r="AC116" s="17" t="str">
        <f t="shared" si="3"/>
        <v>Y</v>
      </c>
      <c r="AD116" s="17" t="s">
        <v>552</v>
      </c>
      <c r="AF116" s="27" t="s">
        <v>55</v>
      </c>
      <c r="AG116" s="27" t="s">
        <v>55</v>
      </c>
      <c r="AI116" s="28" t="s">
        <v>57</v>
      </c>
    </row>
    <row r="117" spans="1:35" ht="34.950000000000003" customHeight="1" x14ac:dyDescent="0.4">
      <c r="A117" s="16" t="s">
        <v>36</v>
      </c>
      <c r="B117" s="16" t="s">
        <v>37</v>
      </c>
      <c r="C117" s="17">
        <v>45995</v>
      </c>
      <c r="D117" s="16" t="s">
        <v>83</v>
      </c>
      <c r="E117" s="16" t="s">
        <v>545</v>
      </c>
      <c r="F117" s="16">
        <v>22902</v>
      </c>
      <c r="G117" s="18" t="s">
        <v>546</v>
      </c>
      <c r="H117" s="16" t="s">
        <v>75</v>
      </c>
      <c r="I117" s="19" t="s">
        <v>381</v>
      </c>
      <c r="J117" s="16" t="str">
        <f>IFERROR(VLOOKUP(I117,[1]Sheet1!$A$1:$B$200,2,0),"_")</f>
        <v>PT</v>
      </c>
      <c r="K117" s="19" t="s">
        <v>381</v>
      </c>
      <c r="L117" s="16" t="str">
        <f>IFERROR(VLOOKUP(K117,[1]Sheet1!$A$1:$B$200,2,0),"-")</f>
        <v>PT</v>
      </c>
      <c r="M117" s="19" t="s">
        <v>273</v>
      </c>
      <c r="N117" s="16" t="str">
        <f>IFERROR(VLOOKUP(M117,[1]Sheet1!$G$2:$H$200,2,0),"-")</f>
        <v>DJSC</v>
      </c>
      <c r="O117" s="18" t="s">
        <v>547</v>
      </c>
      <c r="P117" s="17">
        <v>46001</v>
      </c>
      <c r="Q117" s="20" t="s">
        <v>557</v>
      </c>
      <c r="R117" s="20" t="s">
        <v>556</v>
      </c>
      <c r="S117" s="21" t="str" cm="1">
        <f t="array" ref="S117">IF(
OR(AD117="",ISERROR(AD117)),
"-",
_xlfn.UNIQUE(_xlfn._xlws.FILTER([1]Sheet1!$D$2:$D$200,ISNUMBER(SEARCH(AD117,[1]Sheet1!$D$2:$D$200))))
)</f>
        <v>주식회사 다원로직스</v>
      </c>
      <c r="T117" s="22" t="s">
        <v>550</v>
      </c>
      <c r="U117" s="16" t="str" cm="1">
        <f t="array" ref="U117">IF(
OR(AD117="",ISERROR(AD117)),
"-",
_xlfn.UNIQUE(_xlfn._xlws.FILTER([1]Sheet1!$D$2:$D$200,ISNUMBER(SEARCH(AD117,[1]Sheet1!$D$2:$D$200))))
)</f>
        <v>주식회사 다원로직스</v>
      </c>
      <c r="V117" s="23">
        <v>80000</v>
      </c>
      <c r="W117" s="23">
        <v>50000</v>
      </c>
      <c r="X117" s="23">
        <f t="shared" si="2"/>
        <v>30000</v>
      </c>
      <c r="Y117" s="25" t="s">
        <v>551</v>
      </c>
      <c r="Z117" s="19" t="s">
        <v>51</v>
      </c>
      <c r="AA117" s="19" t="s">
        <v>93</v>
      </c>
      <c r="AB117" s="25" t="s">
        <v>556</v>
      </c>
      <c r="AC117" s="17" t="str">
        <f t="shared" si="3"/>
        <v>Y</v>
      </c>
      <c r="AD117" s="17" t="s">
        <v>552</v>
      </c>
      <c r="AF117" s="27" t="s">
        <v>55</v>
      </c>
      <c r="AG117" s="27" t="s">
        <v>55</v>
      </c>
      <c r="AI117" s="28" t="s">
        <v>57</v>
      </c>
    </row>
    <row r="118" spans="1:35" ht="34.950000000000003" customHeight="1" x14ac:dyDescent="0.4">
      <c r="A118" s="16" t="s">
        <v>36</v>
      </c>
      <c r="B118" s="16" t="s">
        <v>37</v>
      </c>
      <c r="C118" s="17">
        <v>45996</v>
      </c>
      <c r="D118" s="16" t="s">
        <v>83</v>
      </c>
      <c r="E118" s="16" t="s">
        <v>545</v>
      </c>
      <c r="F118" s="16">
        <v>22902</v>
      </c>
      <c r="G118" s="18" t="s">
        <v>546</v>
      </c>
      <c r="H118" s="16" t="s">
        <v>75</v>
      </c>
      <c r="I118" s="19" t="s">
        <v>381</v>
      </c>
      <c r="J118" s="16" t="str">
        <f>IFERROR(VLOOKUP(I118,[1]Sheet1!$A$1:$B$200,2,0),"_")</f>
        <v>PT</v>
      </c>
      <c r="K118" s="19" t="s">
        <v>381</v>
      </c>
      <c r="L118" s="16" t="str">
        <f>IFERROR(VLOOKUP(K118,[1]Sheet1!$A$1:$B$200,2,0),"-")</f>
        <v>PT</v>
      </c>
      <c r="M118" s="19" t="s">
        <v>273</v>
      </c>
      <c r="N118" s="16" t="str">
        <f>IFERROR(VLOOKUP(M118,[1]Sheet1!$G$2:$H$200,2,0),"-")</f>
        <v>DJSC</v>
      </c>
      <c r="O118" s="18" t="s">
        <v>547</v>
      </c>
      <c r="P118" s="17">
        <v>46001</v>
      </c>
      <c r="Q118" s="20" t="s">
        <v>558</v>
      </c>
      <c r="R118" s="20" t="s">
        <v>559</v>
      </c>
      <c r="S118" s="21" t="str" cm="1">
        <f t="array" ref="S118">IF(
OR(AD118="",ISERROR(AD118)),
"-",
_xlfn.UNIQUE(_xlfn._xlws.FILTER([1]Sheet1!$D$2:$D$200,ISNUMBER(SEARCH(AD118,[1]Sheet1!$D$2:$D$200))))
)</f>
        <v>주식회사 다원로직스</v>
      </c>
      <c r="T118" s="22" t="s">
        <v>550</v>
      </c>
      <c r="U118" s="16" t="str" cm="1">
        <f t="array" ref="U118">IF(
OR(AD118="",ISERROR(AD118)),
"-",
_xlfn.UNIQUE(_xlfn._xlws.FILTER([1]Sheet1!$D$2:$D$200,ISNUMBER(SEARCH(AD118,[1]Sheet1!$D$2:$D$200))))
)</f>
        <v>주식회사 다원로직스</v>
      </c>
      <c r="V118" s="23">
        <v>240000</v>
      </c>
      <c r="W118" s="23">
        <v>200000</v>
      </c>
      <c r="X118" s="23">
        <f t="shared" si="2"/>
        <v>40000</v>
      </c>
      <c r="Y118" s="25" t="s">
        <v>551</v>
      </c>
      <c r="Z118" s="19" t="s">
        <v>51</v>
      </c>
      <c r="AA118" s="19" t="s">
        <v>93</v>
      </c>
      <c r="AC118" s="17" t="str">
        <f t="shared" si="3"/>
        <v>Y</v>
      </c>
      <c r="AD118" s="17" t="s">
        <v>552</v>
      </c>
      <c r="AF118" s="27" t="s">
        <v>55</v>
      </c>
      <c r="AG118" s="27" t="s">
        <v>55</v>
      </c>
      <c r="AI118" s="28" t="s">
        <v>57</v>
      </c>
    </row>
    <row r="119" spans="1:35" ht="34.950000000000003" customHeight="1" x14ac:dyDescent="0.4">
      <c r="A119" s="16" t="s">
        <v>36</v>
      </c>
      <c r="B119" s="16" t="s">
        <v>37</v>
      </c>
      <c r="C119" s="17">
        <v>45996</v>
      </c>
      <c r="D119" s="16" t="s">
        <v>83</v>
      </c>
      <c r="E119" s="16" t="s">
        <v>545</v>
      </c>
      <c r="F119" s="16">
        <v>22902</v>
      </c>
      <c r="G119" s="18" t="s">
        <v>546</v>
      </c>
      <c r="H119" s="16" t="s">
        <v>75</v>
      </c>
      <c r="I119" s="19" t="s">
        <v>381</v>
      </c>
      <c r="J119" s="16" t="str">
        <f>IFERROR(VLOOKUP(I119,[1]Sheet1!$A$1:$B$200,2,0),"_")</f>
        <v>PT</v>
      </c>
      <c r="K119" s="19" t="s">
        <v>381</v>
      </c>
      <c r="L119" s="16" t="str">
        <f>IFERROR(VLOOKUP(K119,[1]Sheet1!$A$1:$B$200,2,0),"-")</f>
        <v>PT</v>
      </c>
      <c r="M119" s="19" t="s">
        <v>273</v>
      </c>
      <c r="N119" s="16" t="str">
        <f>IFERROR(VLOOKUP(M119,[1]Sheet1!$G$2:$H$200,2,0),"-")</f>
        <v>DJSC</v>
      </c>
      <c r="O119" s="18" t="s">
        <v>547</v>
      </c>
      <c r="P119" s="17">
        <v>46001</v>
      </c>
      <c r="Q119" s="20" t="s">
        <v>560</v>
      </c>
      <c r="R119" s="20" t="s">
        <v>561</v>
      </c>
      <c r="S119" s="21" t="str" cm="1">
        <f t="array" ref="S119">IF(
OR(AD119="",ISERROR(AD119)),
"-",
_xlfn.UNIQUE(_xlfn._xlws.FILTER([1]Sheet1!$D$2:$D$200,ISNUMBER(SEARCH(AD119,[1]Sheet1!$D$2:$D$200))))
)</f>
        <v>주식회사 다원로직스</v>
      </c>
      <c r="T119" s="22" t="s">
        <v>550</v>
      </c>
      <c r="U119" s="16" t="str" cm="1">
        <f t="array" ref="U119">IF(
OR(AD119="",ISERROR(AD119)),
"-",
_xlfn.UNIQUE(_xlfn._xlws.FILTER([1]Sheet1!$D$2:$D$200,ISNUMBER(SEARCH(AD119,[1]Sheet1!$D$2:$D$200))))
)</f>
        <v>주식회사 다원로직스</v>
      </c>
      <c r="V119" s="23">
        <v>240000</v>
      </c>
      <c r="W119" s="23">
        <v>200000</v>
      </c>
      <c r="X119" s="23">
        <f t="shared" si="2"/>
        <v>40000</v>
      </c>
      <c r="Y119" s="25" t="s">
        <v>551</v>
      </c>
      <c r="Z119" s="19" t="s">
        <v>51</v>
      </c>
      <c r="AA119" s="19" t="s">
        <v>93</v>
      </c>
      <c r="AC119" s="17" t="str">
        <f t="shared" si="3"/>
        <v>Y</v>
      </c>
      <c r="AD119" s="17" t="s">
        <v>552</v>
      </c>
      <c r="AF119" s="27" t="s">
        <v>55</v>
      </c>
      <c r="AG119" s="27" t="s">
        <v>55</v>
      </c>
      <c r="AI119" s="28" t="s">
        <v>57</v>
      </c>
    </row>
    <row r="120" spans="1:35" ht="34.950000000000003" customHeight="1" x14ac:dyDescent="0.4">
      <c r="A120" s="16" t="s">
        <v>36</v>
      </c>
      <c r="B120" s="16" t="s">
        <v>37</v>
      </c>
      <c r="C120" s="17">
        <v>45996</v>
      </c>
      <c r="D120" s="16" t="s">
        <v>83</v>
      </c>
      <c r="E120" s="16" t="s">
        <v>545</v>
      </c>
      <c r="F120" s="16">
        <v>22902</v>
      </c>
      <c r="G120" s="18" t="s">
        <v>546</v>
      </c>
      <c r="H120" s="16" t="s">
        <v>75</v>
      </c>
      <c r="I120" s="19" t="s">
        <v>381</v>
      </c>
      <c r="J120" s="16" t="str">
        <f>IFERROR(VLOOKUP(I120,[1]Sheet1!$A$1:$B$200,2,0),"_")</f>
        <v>PT</v>
      </c>
      <c r="K120" s="19" t="s">
        <v>381</v>
      </c>
      <c r="L120" s="16" t="str">
        <f>IFERROR(VLOOKUP(K120,[1]Sheet1!$A$1:$B$200,2,0),"-")</f>
        <v>PT</v>
      </c>
      <c r="M120" s="19" t="s">
        <v>273</v>
      </c>
      <c r="N120" s="16" t="str">
        <f>IFERROR(VLOOKUP(M120,[1]Sheet1!$G$2:$H$200,2,0),"-")</f>
        <v>DJSC</v>
      </c>
      <c r="O120" s="18" t="s">
        <v>547</v>
      </c>
      <c r="P120" s="17">
        <v>46001</v>
      </c>
      <c r="Q120" s="20" t="s">
        <v>555</v>
      </c>
      <c r="R120" s="20" t="s">
        <v>562</v>
      </c>
      <c r="S120" s="21" t="str" cm="1">
        <f t="array" ref="S120">IF(
OR(AD120="",ISERROR(AD120)),
"-",
_xlfn.UNIQUE(_xlfn._xlws.FILTER([1]Sheet1!$D$2:$D$200,ISNUMBER(SEARCH(AD120,[1]Sheet1!$D$2:$D$200))))
)</f>
        <v>주식회사 다원로직스</v>
      </c>
      <c r="T120" s="22" t="s">
        <v>550</v>
      </c>
      <c r="U120" s="16" t="str" cm="1">
        <f t="array" ref="U120">IF(
OR(AD120="",ISERROR(AD120)),
"-",
_xlfn.UNIQUE(_xlfn._xlws.FILTER([1]Sheet1!$D$2:$D$200,ISNUMBER(SEARCH(AD120,[1]Sheet1!$D$2:$D$200))))
)</f>
        <v>주식회사 다원로직스</v>
      </c>
      <c r="V120" s="23">
        <v>200000</v>
      </c>
      <c r="W120" s="23">
        <v>200000</v>
      </c>
      <c r="X120" s="23">
        <f t="shared" si="2"/>
        <v>0</v>
      </c>
      <c r="Y120" s="25" t="s">
        <v>551</v>
      </c>
      <c r="Z120" s="19" t="s">
        <v>51</v>
      </c>
      <c r="AA120" s="19" t="s">
        <v>93</v>
      </c>
      <c r="AB120" s="25" t="s">
        <v>562</v>
      </c>
      <c r="AC120" s="17" t="str">
        <f t="shared" si="3"/>
        <v>Y</v>
      </c>
      <c r="AD120" s="17" t="s">
        <v>552</v>
      </c>
      <c r="AF120" s="27" t="s">
        <v>55</v>
      </c>
      <c r="AG120" s="27" t="s">
        <v>55</v>
      </c>
      <c r="AI120" s="28" t="s">
        <v>57</v>
      </c>
    </row>
    <row r="121" spans="1:35" ht="34.950000000000003" customHeight="1" x14ac:dyDescent="0.4">
      <c r="A121" s="16" t="s">
        <v>36</v>
      </c>
      <c r="B121" s="16" t="s">
        <v>37</v>
      </c>
      <c r="C121" s="17">
        <v>45996</v>
      </c>
      <c r="D121" s="16" t="s">
        <v>83</v>
      </c>
      <c r="E121" s="16" t="s">
        <v>545</v>
      </c>
      <c r="F121" s="16">
        <v>22902</v>
      </c>
      <c r="G121" s="18" t="s">
        <v>546</v>
      </c>
      <c r="H121" s="16" t="s">
        <v>75</v>
      </c>
      <c r="I121" s="19" t="s">
        <v>381</v>
      </c>
      <c r="J121" s="16" t="str">
        <f>IFERROR(VLOOKUP(I121,[1]Sheet1!$A$1:$B$200,2,0),"_")</f>
        <v>PT</v>
      </c>
      <c r="K121" s="19" t="s">
        <v>381</v>
      </c>
      <c r="L121" s="16" t="str">
        <f>IFERROR(VLOOKUP(K121,[1]Sheet1!$A$1:$B$200,2,0),"-")</f>
        <v>PT</v>
      </c>
      <c r="M121" s="19" t="s">
        <v>273</v>
      </c>
      <c r="N121" s="16" t="str">
        <f>IFERROR(VLOOKUP(M121,[1]Sheet1!$G$2:$H$200,2,0),"-")</f>
        <v>DJSC</v>
      </c>
      <c r="O121" s="18" t="s">
        <v>547</v>
      </c>
      <c r="P121" s="17">
        <v>46001</v>
      </c>
      <c r="Q121" s="20" t="s">
        <v>557</v>
      </c>
      <c r="R121" s="20" t="s">
        <v>562</v>
      </c>
      <c r="S121" s="21" t="str" cm="1">
        <f t="array" ref="S121">IF(
OR(AD121="",ISERROR(AD121)),
"-",
_xlfn.UNIQUE(_xlfn._xlws.FILTER([1]Sheet1!$D$2:$D$200,ISNUMBER(SEARCH(AD121,[1]Sheet1!$D$2:$D$200))))
)</f>
        <v>주식회사 다원로직스</v>
      </c>
      <c r="T121" s="22" t="s">
        <v>550</v>
      </c>
      <c r="U121" s="16" t="str" cm="1">
        <f t="array" ref="U121">IF(
OR(AD121="",ISERROR(AD121)),
"-",
_xlfn.UNIQUE(_xlfn._xlws.FILTER([1]Sheet1!$D$2:$D$200,ISNUMBER(SEARCH(AD121,[1]Sheet1!$D$2:$D$200))))
)</f>
        <v>주식회사 다원로직스</v>
      </c>
      <c r="V121" s="23">
        <v>80000</v>
      </c>
      <c r="W121" s="23">
        <v>50000</v>
      </c>
      <c r="X121" s="23">
        <f t="shared" si="2"/>
        <v>30000</v>
      </c>
      <c r="Y121" s="25" t="s">
        <v>551</v>
      </c>
      <c r="Z121" s="19" t="s">
        <v>51</v>
      </c>
      <c r="AA121" s="19" t="s">
        <v>93</v>
      </c>
      <c r="AB121" s="25" t="s">
        <v>562</v>
      </c>
      <c r="AC121" s="17" t="str">
        <f t="shared" si="3"/>
        <v>Y</v>
      </c>
      <c r="AD121" s="17" t="s">
        <v>552</v>
      </c>
      <c r="AF121" s="27" t="s">
        <v>55</v>
      </c>
      <c r="AG121" s="27" t="s">
        <v>55</v>
      </c>
      <c r="AI121" s="28" t="s">
        <v>57</v>
      </c>
    </row>
    <row r="122" spans="1:35" ht="34.950000000000003" customHeight="1" x14ac:dyDescent="0.4">
      <c r="A122" s="16" t="s">
        <v>71</v>
      </c>
      <c r="B122" s="16" t="s">
        <v>37</v>
      </c>
      <c r="C122" s="17">
        <v>45996</v>
      </c>
      <c r="D122" s="16" t="s">
        <v>452</v>
      </c>
      <c r="E122" s="16" t="s">
        <v>453</v>
      </c>
      <c r="F122" s="16">
        <v>28143</v>
      </c>
      <c r="G122" s="18" t="s">
        <v>454</v>
      </c>
      <c r="H122" s="16" t="s">
        <v>41</v>
      </c>
      <c r="I122" s="19" t="s">
        <v>455</v>
      </c>
      <c r="J122" s="16" t="str">
        <f>IFERROR(VLOOKUP(I122,[1]Sheet1!$A$1:$B$200,2,0),"_")</f>
        <v>BT</v>
      </c>
      <c r="K122" s="19" t="s">
        <v>455</v>
      </c>
      <c r="L122" s="16" t="str">
        <f>IFERROR(VLOOKUP(K122,[1]Sheet1!$A$1:$B$200,2,0),"-")</f>
        <v>BT</v>
      </c>
      <c r="M122" s="19" t="s">
        <v>382</v>
      </c>
      <c r="N122" s="16" t="str">
        <f>IFERROR(VLOOKUP(M122,[1]Sheet1!$G$2:$H$200,2,0),"-")</f>
        <v>EASL</v>
      </c>
      <c r="O122" s="18" t="s">
        <v>55</v>
      </c>
      <c r="P122" s="17" t="s">
        <v>55</v>
      </c>
      <c r="Q122" s="20" t="s">
        <v>563</v>
      </c>
      <c r="R122" s="20"/>
      <c r="S122" s="21" t="str" cm="1">
        <f t="array" ref="S122">IF(
OR(AD122="",ISERROR(AD122)),
"-",
_xlfn.UNIQUE(_xlfn._xlws.FILTER([1]Sheet1!$D$2:$D$200,ISNUMBER(SEARCH(AD122,[1]Sheet1!$D$2:$D$200))))
)</f>
        <v>에스지로지스틱</v>
      </c>
      <c r="T122" s="22" t="s">
        <v>564</v>
      </c>
      <c r="U122" s="16" t="str" cm="1">
        <f t="array" ref="U122">IF(
OR(AD122="",ISERROR(AD122)),
"-",
_xlfn.UNIQUE(_xlfn._xlws.FILTER([1]Sheet1!$D$2:$D$200,ISNUMBER(SEARCH(AD122,[1]Sheet1!$D$2:$D$200))))
)</f>
        <v>에스지로지스틱</v>
      </c>
      <c r="V122" s="23">
        <v>225000</v>
      </c>
      <c r="W122" s="23">
        <v>205000</v>
      </c>
      <c r="X122" s="23">
        <f t="shared" si="2"/>
        <v>20000</v>
      </c>
      <c r="Y122" s="25" t="s">
        <v>458</v>
      </c>
      <c r="Z122" s="19" t="s">
        <v>51</v>
      </c>
      <c r="AA122" s="19" t="s">
        <v>115</v>
      </c>
      <c r="AC122" s="17" t="str">
        <f t="shared" si="3"/>
        <v>Y</v>
      </c>
      <c r="AD122" s="17" t="s">
        <v>184</v>
      </c>
      <c r="AF122" s="27" t="s">
        <v>55</v>
      </c>
      <c r="AG122" s="27" t="s">
        <v>55</v>
      </c>
      <c r="AI122" s="28" t="s">
        <v>57</v>
      </c>
    </row>
    <row r="123" spans="1:35" ht="34.950000000000003" customHeight="1" x14ac:dyDescent="0.4">
      <c r="A123" s="16" t="s">
        <v>71</v>
      </c>
      <c r="B123" s="16" t="s">
        <v>99</v>
      </c>
      <c r="C123" s="17">
        <v>45996</v>
      </c>
      <c r="D123" s="16" t="s">
        <v>72</v>
      </c>
      <c r="E123" s="16" t="s">
        <v>565</v>
      </c>
      <c r="F123" s="16">
        <v>22108</v>
      </c>
      <c r="G123" s="18" t="s">
        <v>310</v>
      </c>
      <c r="H123" s="16" t="s">
        <v>41</v>
      </c>
      <c r="I123" s="19" t="s">
        <v>219</v>
      </c>
      <c r="J123" s="16" t="str">
        <f>IFERROR(VLOOKUP(I123,[1]Sheet1!$A$1:$B$200,2,0),"_")</f>
        <v>NN</v>
      </c>
      <c r="K123" s="19" t="s">
        <v>219</v>
      </c>
      <c r="L123" s="16" t="str">
        <f>IFERROR(VLOOKUP(K123,[1]Sheet1!$A$1:$B$200,2,0),"-")</f>
        <v>NN</v>
      </c>
      <c r="M123" s="19" t="s">
        <v>566</v>
      </c>
      <c r="N123" s="16" t="str">
        <f>IFERROR(VLOOKUP(M123,[1]Sheet1!$G$2:$H$200,2,0),"-")</f>
        <v>WHLU</v>
      </c>
      <c r="O123" s="18" t="s">
        <v>55</v>
      </c>
      <c r="P123" s="17" t="s">
        <v>55</v>
      </c>
      <c r="Q123" s="20" t="s">
        <v>567</v>
      </c>
      <c r="R123" s="20"/>
      <c r="S123" s="21" t="str" cm="1">
        <f t="array" ref="S123">IF(
OR(AD123="",ISERROR(AD123)),
"-",
_xlfn.UNIQUE(_xlfn._xlws.FILTER([1]Sheet1!$D$2:$D$200,ISNUMBER(SEARCH(AD123,[1]Sheet1!$D$2:$D$200))))
)</f>
        <v>로지아이솔루션</v>
      </c>
      <c r="T123" s="22" t="s">
        <v>568</v>
      </c>
      <c r="U123" s="16" t="str" cm="1">
        <f t="array" ref="U123">IF(
OR(AD123="",ISERROR(AD123)),
"-",
_xlfn.UNIQUE(_xlfn._xlws.FILTER([1]Sheet1!$D$2:$D$200,ISNUMBER(SEARCH(AD123,[1]Sheet1!$D$2:$D$200))))
)</f>
        <v>로지아이솔루션</v>
      </c>
      <c r="V123" s="23">
        <v>498000</v>
      </c>
      <c r="W123" s="23">
        <v>481900</v>
      </c>
      <c r="X123" s="23">
        <f t="shared" si="2"/>
        <v>16100</v>
      </c>
      <c r="Y123" s="25" t="s">
        <v>569</v>
      </c>
      <c r="Z123" s="19" t="s">
        <v>51</v>
      </c>
      <c r="AA123" s="19" t="s">
        <v>81</v>
      </c>
      <c r="AC123" s="17" t="str">
        <f t="shared" si="3"/>
        <v>Y</v>
      </c>
      <c r="AD123" s="17" t="s">
        <v>206</v>
      </c>
      <c r="AF123" s="27" t="s">
        <v>55</v>
      </c>
      <c r="AG123" s="27" t="s">
        <v>55</v>
      </c>
      <c r="AI123" s="28" t="s">
        <v>57</v>
      </c>
    </row>
    <row r="124" spans="1:35" ht="34.950000000000003" customHeight="1" x14ac:dyDescent="0.4">
      <c r="A124" s="16" t="s">
        <v>36</v>
      </c>
      <c r="B124" s="16" t="s">
        <v>37</v>
      </c>
      <c r="C124" s="17">
        <v>45996</v>
      </c>
      <c r="D124" s="16" t="s">
        <v>188</v>
      </c>
      <c r="E124" s="16" t="s">
        <v>189</v>
      </c>
      <c r="F124" s="16">
        <v>18153</v>
      </c>
      <c r="G124" s="18" t="s">
        <v>190</v>
      </c>
      <c r="H124" s="16" t="s">
        <v>41</v>
      </c>
      <c r="I124" s="19" t="s">
        <v>42</v>
      </c>
      <c r="J124" s="16" t="str">
        <f>IFERROR(VLOOKUP(I124,[1]Sheet1!$A$1:$B$200,2,0),"_")</f>
        <v>P</v>
      </c>
      <c r="K124" s="19" t="s">
        <v>42</v>
      </c>
      <c r="L124" s="16" t="str">
        <f>IFERROR(VLOOKUP(K124,[1]Sheet1!$A$1:$B$200,2,0),"-")</f>
        <v>P</v>
      </c>
      <c r="M124" s="19" t="s">
        <v>191</v>
      </c>
      <c r="N124" s="16" t="str">
        <f>IFERROR(VLOOKUP(M124,[1]Sheet1!$G$2:$H$200,2,0),"-")</f>
        <v>HASL</v>
      </c>
      <c r="O124" s="27" t="s">
        <v>423</v>
      </c>
      <c r="P124" s="17">
        <v>45999</v>
      </c>
      <c r="Q124" s="20" t="s">
        <v>570</v>
      </c>
      <c r="R124" s="20" t="s">
        <v>571</v>
      </c>
      <c r="S124" s="21" t="str" cm="1">
        <f t="array" ref="S124">IF(
OR(AD124="",ISERROR(AD124)),
"-",
_xlfn.UNIQUE(_xlfn._xlws.FILTER([1]Sheet1!$D$2:$D$200,ISNUMBER(SEARCH(AD124,[1]Sheet1!$D$2:$D$200))))
)</f>
        <v>에스더블유로지스틱스</v>
      </c>
      <c r="T124" s="22" t="s">
        <v>572</v>
      </c>
      <c r="U124" s="16" t="str" cm="1">
        <f t="array" ref="U124">IF(
OR(AD124="",ISERROR(AD124)),
"-",
_xlfn.UNIQUE(_xlfn._xlws.FILTER([1]Sheet1!$D$2:$D$200,ISNUMBER(SEARCH(AD124,[1]Sheet1!$D$2:$D$200))))
)</f>
        <v>에스더블유로지스틱스</v>
      </c>
      <c r="V124" s="23">
        <v>220000</v>
      </c>
      <c r="W124" s="24">
        <v>171000</v>
      </c>
      <c r="X124" s="23">
        <f t="shared" si="2"/>
        <v>49000</v>
      </c>
      <c r="Y124" s="25" t="s">
        <v>573</v>
      </c>
      <c r="Z124" s="19" t="s">
        <v>51</v>
      </c>
      <c r="AA124" s="19" t="s">
        <v>81</v>
      </c>
      <c r="AB124" s="18" t="s">
        <v>574</v>
      </c>
      <c r="AC124" s="17" t="str">
        <f t="shared" si="3"/>
        <v>Y</v>
      </c>
      <c r="AD124" s="17" t="s">
        <v>484</v>
      </c>
      <c r="AF124" s="27" t="s">
        <v>55</v>
      </c>
      <c r="AG124" s="27" t="s">
        <v>55</v>
      </c>
      <c r="AI124" s="28" t="s">
        <v>57</v>
      </c>
    </row>
    <row r="125" spans="1:35" ht="34.950000000000003" customHeight="1" x14ac:dyDescent="0.4">
      <c r="A125" s="16" t="s">
        <v>71</v>
      </c>
      <c r="B125" s="16" t="s">
        <v>37</v>
      </c>
      <c r="C125" s="17">
        <v>45996</v>
      </c>
      <c r="D125" s="16" t="s">
        <v>575</v>
      </c>
      <c r="E125" s="16" t="s">
        <v>576</v>
      </c>
      <c r="F125" s="16">
        <v>26393</v>
      </c>
      <c r="G125" s="18" t="s">
        <v>577</v>
      </c>
      <c r="H125" s="16" t="s">
        <v>75</v>
      </c>
      <c r="I125" s="19" t="s">
        <v>272</v>
      </c>
      <c r="J125" s="16" t="str">
        <f>IFERROR(VLOOKUP(I125,[1]Sheet1!$A$1:$B$200,2,0),"_")</f>
        <v>Z9</v>
      </c>
      <c r="K125" s="19" t="s">
        <v>272</v>
      </c>
      <c r="L125" s="16" t="str">
        <f>IFERROR(VLOOKUP(K125,[1]Sheet1!$A$1:$B$200,2,0),"-")</f>
        <v>Z9</v>
      </c>
      <c r="M125" s="19" t="s">
        <v>578</v>
      </c>
      <c r="N125" s="16" t="str">
        <f>IFERROR(VLOOKUP(M125,[1]Sheet1!$G$2:$H$200,2,0),"-")</f>
        <v>PCSL</v>
      </c>
      <c r="O125" s="18" t="s">
        <v>55</v>
      </c>
      <c r="P125" s="17" t="s">
        <v>55</v>
      </c>
      <c r="Q125" s="20" t="s">
        <v>579</v>
      </c>
      <c r="R125" s="20"/>
      <c r="S125" s="21" t="str" cm="1">
        <f t="array" ref="S125">IF(
OR(AD125="",ISERROR(AD125)),
"-",
_xlfn.UNIQUE(_xlfn._xlws.FILTER([1]Sheet1!$D$2:$D$200,ISNUMBER(SEARCH(AD125,[1]Sheet1!$D$2:$D$200))))
)</f>
        <v>에스더블유로지스틱스</v>
      </c>
      <c r="T125" s="22" t="s">
        <v>580</v>
      </c>
      <c r="U125" s="16" t="str" cm="1">
        <f t="array" ref="U125">IF(
OR(AD125="",ISERROR(AD125)),
"-",
_xlfn.UNIQUE(_xlfn._xlws.FILTER([1]Sheet1!$D$2:$D$200,ISNUMBER(SEARCH(AD125,[1]Sheet1!$D$2:$D$200))))
)</f>
        <v>에스더블유로지스틱스</v>
      </c>
      <c r="V125" s="23">
        <v>181000</v>
      </c>
      <c r="W125" s="23">
        <v>154000</v>
      </c>
      <c r="X125" s="23">
        <f t="shared" si="2"/>
        <v>27000</v>
      </c>
      <c r="Y125" s="25" t="s">
        <v>581</v>
      </c>
      <c r="Z125" s="19" t="s">
        <v>51</v>
      </c>
      <c r="AA125" s="19" t="s">
        <v>144</v>
      </c>
      <c r="AC125" s="17" t="str">
        <f t="shared" si="3"/>
        <v>Y</v>
      </c>
      <c r="AD125" s="17" t="s">
        <v>484</v>
      </c>
      <c r="AF125" s="27" t="s">
        <v>55</v>
      </c>
      <c r="AG125" s="27" t="s">
        <v>55</v>
      </c>
      <c r="AI125" s="28" t="s">
        <v>57</v>
      </c>
    </row>
    <row r="126" spans="1:35" ht="34.950000000000003" customHeight="1" x14ac:dyDescent="0.4">
      <c r="A126" s="16" t="s">
        <v>71</v>
      </c>
      <c r="B126" s="16" t="s">
        <v>99</v>
      </c>
      <c r="C126" s="17">
        <v>45996</v>
      </c>
      <c r="D126" s="16" t="s">
        <v>126</v>
      </c>
      <c r="E126" s="16" t="s">
        <v>199</v>
      </c>
      <c r="F126" s="16">
        <v>22141</v>
      </c>
      <c r="G126" s="18" t="s">
        <v>200</v>
      </c>
      <c r="H126" s="16" t="s">
        <v>41</v>
      </c>
      <c r="I126" s="19" t="s">
        <v>76</v>
      </c>
      <c r="J126" s="16" t="str">
        <f>IFERROR(VLOOKUP(I126,[1]Sheet1!$A$1:$B$200,2,0),"_")</f>
        <v>NJ</v>
      </c>
      <c r="K126" s="19" t="s">
        <v>76</v>
      </c>
      <c r="L126" s="16" t="str">
        <f>IFERROR(VLOOKUP(K126,[1]Sheet1!$A$1:$B$200,2,0),"-")</f>
        <v>NJ</v>
      </c>
      <c r="M126" s="19" t="s">
        <v>191</v>
      </c>
      <c r="N126" s="16" t="str">
        <f>IFERROR(VLOOKUP(M126,[1]Sheet1!$G$2:$H$200,2,0),"-")</f>
        <v>HASL</v>
      </c>
      <c r="O126" s="31" t="s">
        <v>55</v>
      </c>
      <c r="P126" s="17" t="s">
        <v>55</v>
      </c>
      <c r="Q126" s="20" t="s">
        <v>582</v>
      </c>
      <c r="R126" s="20"/>
      <c r="S126" s="21" t="str" cm="1">
        <f t="array" ref="S126">IF(
OR(AD126="",ISERROR(AD126)),
"-",
_xlfn.UNIQUE(_xlfn._xlws.FILTER([1]Sheet1!$D$2:$D$200,ISNUMBER(SEARCH(AD126,[1]Sheet1!$D$2:$D$200))))
)</f>
        <v>로지아이솔루션</v>
      </c>
      <c r="T126" s="22" t="s">
        <v>583</v>
      </c>
      <c r="U126" s="16" t="str" cm="1">
        <f t="array" ref="U126">IF(
OR(AD126="",ISERROR(AD126)),
"-",
_xlfn.UNIQUE(_xlfn._xlws.FILTER([1]Sheet1!$D$2:$D$200,ISNUMBER(SEARCH(AD126,[1]Sheet1!$D$2:$D$200))))
)</f>
        <v>로지아이솔루션</v>
      </c>
      <c r="V126" s="23">
        <v>270000</v>
      </c>
      <c r="W126" s="24">
        <v>259850</v>
      </c>
      <c r="X126" s="23">
        <f t="shared" si="2"/>
        <v>10150</v>
      </c>
      <c r="Y126" s="25" t="s">
        <v>584</v>
      </c>
      <c r="Z126" s="19" t="s">
        <v>51</v>
      </c>
      <c r="AA126" s="19" t="s">
        <v>81</v>
      </c>
      <c r="AB126" s="18" t="s">
        <v>585</v>
      </c>
      <c r="AC126" s="17" t="str">
        <f t="shared" si="3"/>
        <v>Y</v>
      </c>
      <c r="AD126" s="17" t="s">
        <v>206</v>
      </c>
      <c r="AF126" s="27" t="s">
        <v>55</v>
      </c>
      <c r="AG126" s="27" t="s">
        <v>55</v>
      </c>
      <c r="AI126" s="28" t="s">
        <v>57</v>
      </c>
    </row>
    <row r="127" spans="1:35" ht="34.950000000000003" customHeight="1" x14ac:dyDescent="0.4">
      <c r="A127" s="16" t="s">
        <v>36</v>
      </c>
      <c r="B127" s="16" t="s">
        <v>37</v>
      </c>
      <c r="C127" s="17">
        <v>45996</v>
      </c>
      <c r="D127" s="16" t="s">
        <v>261</v>
      </c>
      <c r="E127" s="16" t="s">
        <v>444</v>
      </c>
      <c r="F127" s="16">
        <v>27174</v>
      </c>
      <c r="G127" s="18" t="s">
        <v>445</v>
      </c>
      <c r="H127" s="16" t="s">
        <v>41</v>
      </c>
      <c r="I127" s="19" t="s">
        <v>381</v>
      </c>
      <c r="J127" s="16" t="str">
        <f>IFERROR(VLOOKUP(I127,[1]Sheet1!$A$1:$B$200,2,0),"_")</f>
        <v>PT</v>
      </c>
      <c r="K127" s="19" t="s">
        <v>381</v>
      </c>
      <c r="L127" s="16" t="str">
        <f>IFERROR(VLOOKUP(K127,[1]Sheet1!$A$1:$B$200,2,0),"-")</f>
        <v>PT</v>
      </c>
      <c r="M127" s="19" t="s">
        <v>251</v>
      </c>
      <c r="N127" s="16" t="str">
        <f>IFERROR(VLOOKUP(M127,[1]Sheet1!$G$2:$H$200,2,0),"-")</f>
        <v>SNKO</v>
      </c>
      <c r="O127" s="18" t="s">
        <v>446</v>
      </c>
      <c r="P127" s="17">
        <v>46000</v>
      </c>
      <c r="Q127" s="20" t="s">
        <v>586</v>
      </c>
      <c r="R127" s="20" t="s">
        <v>587</v>
      </c>
      <c r="S127" s="21" t="str" cm="1">
        <f t="array" ref="S127">IF(
OR(AD127="",ISERROR(AD127)),
"-",
_xlfn.UNIQUE(_xlfn._xlws.FILTER([1]Sheet1!$D$2:$D$200,ISNUMBER(SEARCH(AD127,[1]Sheet1!$D$2:$D$200))))
)</f>
        <v>더로지스 주식회사</v>
      </c>
      <c r="T127" s="22" t="s">
        <v>588</v>
      </c>
      <c r="U127" s="16" t="str" cm="1">
        <f t="array" ref="U127">IF(
OR(AD127="",ISERROR(AD127)),
"-",
_xlfn.UNIQUE(_xlfn._xlws.FILTER([1]Sheet1!$D$2:$D$200,ISNUMBER(SEARCH(AD127,[1]Sheet1!$D$2:$D$200))))
)</f>
        <v>더로지스 주식회사</v>
      </c>
      <c r="V127" s="23">
        <v>205000</v>
      </c>
      <c r="W127" s="23">
        <v>190000</v>
      </c>
      <c r="X127" s="23">
        <f t="shared" si="2"/>
        <v>15000</v>
      </c>
      <c r="Y127" s="25" t="s">
        <v>450</v>
      </c>
      <c r="Z127" s="19" t="s">
        <v>51</v>
      </c>
      <c r="AA127" s="19" t="s">
        <v>93</v>
      </c>
      <c r="AC127" s="17" t="str">
        <f t="shared" si="3"/>
        <v>Y</v>
      </c>
      <c r="AD127" s="17" t="s">
        <v>386</v>
      </c>
      <c r="AF127" s="27" t="s">
        <v>55</v>
      </c>
      <c r="AG127" s="27" t="s">
        <v>55</v>
      </c>
      <c r="AI127" s="28" t="s">
        <v>57</v>
      </c>
    </row>
    <row r="128" spans="1:35" ht="34.950000000000003" customHeight="1" x14ac:dyDescent="0.4">
      <c r="A128" s="16" t="s">
        <v>36</v>
      </c>
      <c r="B128" s="16" t="s">
        <v>37</v>
      </c>
      <c r="C128" s="17">
        <v>45996</v>
      </c>
      <c r="D128" s="16" t="s">
        <v>261</v>
      </c>
      <c r="E128" s="16" t="s">
        <v>444</v>
      </c>
      <c r="F128" s="16">
        <v>27174</v>
      </c>
      <c r="G128" s="18" t="s">
        <v>445</v>
      </c>
      <c r="H128" s="16" t="s">
        <v>41</v>
      </c>
      <c r="I128" s="19" t="s">
        <v>381</v>
      </c>
      <c r="J128" s="16" t="str">
        <f>IFERROR(VLOOKUP(I128,[1]Sheet1!$A$1:$B$200,2,0),"_")</f>
        <v>PT</v>
      </c>
      <c r="K128" s="19" t="s">
        <v>381</v>
      </c>
      <c r="L128" s="16" t="str">
        <f>IFERROR(VLOOKUP(K128,[1]Sheet1!$A$1:$B$200,2,0),"-")</f>
        <v>PT</v>
      </c>
      <c r="M128" s="19" t="s">
        <v>251</v>
      </c>
      <c r="N128" s="16" t="str">
        <f>IFERROR(VLOOKUP(M128,[1]Sheet1!$G$2:$H$200,2,0),"-")</f>
        <v>SNKO</v>
      </c>
      <c r="O128" s="18" t="s">
        <v>446</v>
      </c>
      <c r="P128" s="17">
        <v>46000</v>
      </c>
      <c r="Q128" s="20" t="s">
        <v>586</v>
      </c>
      <c r="R128" s="20" t="s">
        <v>587</v>
      </c>
      <c r="S128" s="21" t="str" cm="1">
        <f t="array" ref="S128">IF(
OR(AD128="",ISERROR(AD128)),
"-",
_xlfn.UNIQUE(_xlfn._xlws.FILTER([1]Sheet1!$D$2:$D$200,ISNUMBER(SEARCH(AD128,[1]Sheet1!$D$2:$D$200))))
)</f>
        <v>더로지스 주식회사</v>
      </c>
      <c r="T128" s="22" t="s">
        <v>588</v>
      </c>
      <c r="U128" s="16" t="str" cm="1">
        <f t="array" ref="U128">IF(
OR(AD128="",ISERROR(AD128)),
"-",
_xlfn.UNIQUE(_xlfn._xlws.FILTER([1]Sheet1!$D$2:$D$200,ISNUMBER(SEARCH(AD128,[1]Sheet1!$D$2:$D$200))))
)</f>
        <v>더로지스 주식회사</v>
      </c>
      <c r="V128" s="23">
        <v>10000</v>
      </c>
      <c r="W128" s="23">
        <v>10000</v>
      </c>
      <c r="X128" s="23">
        <f t="shared" si="2"/>
        <v>0</v>
      </c>
      <c r="Y128" s="25" t="s">
        <v>502</v>
      </c>
      <c r="Z128" s="19" t="s">
        <v>51</v>
      </c>
      <c r="AA128" s="19" t="s">
        <v>93</v>
      </c>
      <c r="AB128" s="18" t="s">
        <v>589</v>
      </c>
      <c r="AC128" s="17" t="str">
        <f t="shared" si="3"/>
        <v>Y</v>
      </c>
      <c r="AD128" s="17" t="s">
        <v>386</v>
      </c>
      <c r="AF128" s="27" t="s">
        <v>55</v>
      </c>
      <c r="AG128" s="27" t="s">
        <v>55</v>
      </c>
      <c r="AI128" s="28" t="s">
        <v>57</v>
      </c>
    </row>
    <row r="129" spans="1:35" ht="34.950000000000003" customHeight="1" x14ac:dyDescent="0.4">
      <c r="A129" s="16" t="s">
        <v>36</v>
      </c>
      <c r="B129" s="16" t="s">
        <v>37</v>
      </c>
      <c r="C129" s="17">
        <v>45996</v>
      </c>
      <c r="D129" s="16" t="s">
        <v>261</v>
      </c>
      <c r="E129" s="16" t="s">
        <v>444</v>
      </c>
      <c r="F129" s="16">
        <v>27174</v>
      </c>
      <c r="G129" s="18" t="s">
        <v>445</v>
      </c>
      <c r="H129" s="16" t="s">
        <v>41</v>
      </c>
      <c r="I129" s="19" t="s">
        <v>381</v>
      </c>
      <c r="J129" s="16" t="str">
        <f>IFERROR(VLOOKUP(I129,[1]Sheet1!$A$1:$B$200,2,0),"_")</f>
        <v>PT</v>
      </c>
      <c r="K129" s="19" t="s">
        <v>381</v>
      </c>
      <c r="L129" s="16" t="str">
        <f>IFERROR(VLOOKUP(K129,[1]Sheet1!$A$1:$B$200,2,0),"-")</f>
        <v>PT</v>
      </c>
      <c r="M129" s="19" t="s">
        <v>251</v>
      </c>
      <c r="N129" s="16" t="str">
        <f>IFERROR(VLOOKUP(M129,[1]Sheet1!$G$2:$H$200,2,0),"-")</f>
        <v>SNKO</v>
      </c>
      <c r="O129" s="18" t="s">
        <v>446</v>
      </c>
      <c r="P129" s="17">
        <v>46000</v>
      </c>
      <c r="Q129" s="20" t="s">
        <v>590</v>
      </c>
      <c r="R129" s="20" t="s">
        <v>591</v>
      </c>
      <c r="S129" s="21" t="str" cm="1">
        <f t="array" ref="S129">IF(
OR(AD129="",ISERROR(AD129)),
"-",
_xlfn.UNIQUE(_xlfn._xlws.FILTER([1]Sheet1!$D$2:$D$200,ISNUMBER(SEARCH(AD129,[1]Sheet1!$D$2:$D$200))))
)</f>
        <v>더로지스 주식회사</v>
      </c>
      <c r="T129" s="22" t="s">
        <v>592</v>
      </c>
      <c r="U129" s="16" t="str" cm="1">
        <f t="array" ref="U129">IF(
OR(AD129="",ISERROR(AD129)),
"-",
_xlfn.UNIQUE(_xlfn._xlws.FILTER([1]Sheet1!$D$2:$D$200,ISNUMBER(SEARCH(AD129,[1]Sheet1!$D$2:$D$200))))
)</f>
        <v>더로지스 주식회사</v>
      </c>
      <c r="V129" s="23">
        <v>205000</v>
      </c>
      <c r="W129" s="23">
        <v>190000</v>
      </c>
      <c r="X129" s="23">
        <f t="shared" si="2"/>
        <v>15000</v>
      </c>
      <c r="Y129" s="25" t="s">
        <v>450</v>
      </c>
      <c r="Z129" s="19" t="s">
        <v>51</v>
      </c>
      <c r="AA129" s="19" t="s">
        <v>93</v>
      </c>
      <c r="AC129" s="17" t="str">
        <f t="shared" si="3"/>
        <v>Y</v>
      </c>
      <c r="AD129" s="17" t="s">
        <v>386</v>
      </c>
      <c r="AF129" s="27" t="s">
        <v>55</v>
      </c>
      <c r="AG129" s="27" t="s">
        <v>55</v>
      </c>
      <c r="AI129" s="28" t="s">
        <v>57</v>
      </c>
    </row>
    <row r="130" spans="1:35" ht="34.950000000000003" customHeight="1" x14ac:dyDescent="0.4">
      <c r="A130" s="16" t="s">
        <v>36</v>
      </c>
      <c r="B130" s="16" t="s">
        <v>37</v>
      </c>
      <c r="C130" s="17">
        <v>45996</v>
      </c>
      <c r="D130" s="16" t="s">
        <v>261</v>
      </c>
      <c r="E130" s="16" t="s">
        <v>444</v>
      </c>
      <c r="F130" s="16">
        <v>27174</v>
      </c>
      <c r="G130" s="18" t="s">
        <v>445</v>
      </c>
      <c r="H130" s="16" t="s">
        <v>41</v>
      </c>
      <c r="I130" s="19" t="s">
        <v>381</v>
      </c>
      <c r="J130" s="16" t="str">
        <f>IFERROR(VLOOKUP(I130,[1]Sheet1!$A$1:$B$200,2,0),"_")</f>
        <v>PT</v>
      </c>
      <c r="K130" s="19" t="s">
        <v>381</v>
      </c>
      <c r="L130" s="16" t="str">
        <f>IFERROR(VLOOKUP(K130,[1]Sheet1!$A$1:$B$200,2,0),"-")</f>
        <v>PT</v>
      </c>
      <c r="M130" s="19" t="s">
        <v>251</v>
      </c>
      <c r="N130" s="16" t="str">
        <f>IFERROR(VLOOKUP(M130,[1]Sheet1!$G$2:$H$200,2,0),"-")</f>
        <v>SNKO</v>
      </c>
      <c r="O130" s="18" t="s">
        <v>446</v>
      </c>
      <c r="P130" s="17">
        <v>46000</v>
      </c>
      <c r="Q130" s="20" t="s">
        <v>590</v>
      </c>
      <c r="R130" s="20" t="s">
        <v>591</v>
      </c>
      <c r="S130" s="21" t="str" cm="1">
        <f t="array" ref="S130">IF(
OR(AD130="",ISERROR(AD130)),
"-",
_xlfn.UNIQUE(_xlfn._xlws.FILTER([1]Sheet1!$D$2:$D$200,ISNUMBER(SEARCH(AD130,[1]Sheet1!$D$2:$D$200))))
)</f>
        <v>더로지스 주식회사</v>
      </c>
      <c r="T130" s="22" t="s">
        <v>592</v>
      </c>
      <c r="U130" s="16" t="str" cm="1">
        <f t="array" ref="U130">IF(
OR(AD130="",ISERROR(AD130)),
"-",
_xlfn.UNIQUE(_xlfn._xlws.FILTER([1]Sheet1!$D$2:$D$200,ISNUMBER(SEARCH(AD130,[1]Sheet1!$D$2:$D$200))))
)</f>
        <v>더로지스 주식회사</v>
      </c>
      <c r="V130" s="23">
        <v>10000</v>
      </c>
      <c r="W130" s="23">
        <v>10000</v>
      </c>
      <c r="X130" s="23">
        <f t="shared" si="2"/>
        <v>0</v>
      </c>
      <c r="Y130" s="25" t="s">
        <v>451</v>
      </c>
      <c r="Z130" s="19" t="s">
        <v>51</v>
      </c>
      <c r="AA130" s="19" t="s">
        <v>93</v>
      </c>
      <c r="AB130" s="18" t="s">
        <v>593</v>
      </c>
      <c r="AC130" s="17" t="str">
        <f t="shared" si="3"/>
        <v>Y</v>
      </c>
      <c r="AD130" s="17" t="s">
        <v>386</v>
      </c>
      <c r="AF130" s="27" t="s">
        <v>55</v>
      </c>
      <c r="AG130" s="27" t="s">
        <v>55</v>
      </c>
      <c r="AI130" s="28" t="s">
        <v>57</v>
      </c>
    </row>
    <row r="131" spans="1:35" ht="34.950000000000003" customHeight="1" x14ac:dyDescent="0.4">
      <c r="A131" s="16" t="s">
        <v>36</v>
      </c>
      <c r="B131" s="16" t="s">
        <v>37</v>
      </c>
      <c r="C131" s="17">
        <v>45996</v>
      </c>
      <c r="D131" s="16" t="s">
        <v>261</v>
      </c>
      <c r="E131" s="16" t="s">
        <v>444</v>
      </c>
      <c r="F131" s="16">
        <v>27174</v>
      </c>
      <c r="G131" s="18" t="s">
        <v>445</v>
      </c>
      <c r="H131" s="16" t="s">
        <v>41</v>
      </c>
      <c r="I131" s="19" t="s">
        <v>381</v>
      </c>
      <c r="J131" s="16" t="str">
        <f>IFERROR(VLOOKUP(I131,[1]Sheet1!$A$1:$B$200,2,0),"_")</f>
        <v>PT</v>
      </c>
      <c r="K131" s="19" t="s">
        <v>381</v>
      </c>
      <c r="L131" s="16" t="str">
        <f>IFERROR(VLOOKUP(K131,[1]Sheet1!$A$1:$B$200,2,0),"-")</f>
        <v>PT</v>
      </c>
      <c r="M131" s="19" t="s">
        <v>251</v>
      </c>
      <c r="N131" s="16" t="str">
        <f>IFERROR(VLOOKUP(M131,[1]Sheet1!$G$2:$H$200,2,0),"-")</f>
        <v>SNKO</v>
      </c>
      <c r="O131" s="18" t="s">
        <v>446</v>
      </c>
      <c r="P131" s="17">
        <v>46000</v>
      </c>
      <c r="Q131" s="20" t="s">
        <v>594</v>
      </c>
      <c r="R131" s="20" t="s">
        <v>595</v>
      </c>
      <c r="S131" s="21" t="str" cm="1">
        <f t="array" ref="S131">IF(
OR(AD131="",ISERROR(AD131)),
"-",
_xlfn.UNIQUE(_xlfn._xlws.FILTER([1]Sheet1!$D$2:$D$200,ISNUMBER(SEARCH(AD131,[1]Sheet1!$D$2:$D$200))))
)</f>
        <v>더로지스 주식회사</v>
      </c>
      <c r="T131" s="22" t="s">
        <v>514</v>
      </c>
      <c r="U131" s="16" t="str" cm="1">
        <f t="array" ref="U131">IF(
OR(AD131="",ISERROR(AD131)),
"-",
_xlfn.UNIQUE(_xlfn._xlws.FILTER([1]Sheet1!$D$2:$D$200,ISNUMBER(SEARCH(AD131,[1]Sheet1!$D$2:$D$200))))
)</f>
        <v>더로지스 주식회사</v>
      </c>
      <c r="V131" s="23">
        <v>205000</v>
      </c>
      <c r="W131" s="23">
        <v>190000</v>
      </c>
      <c r="X131" s="23">
        <f t="shared" ref="X131:X153" si="4">V131-W131</f>
        <v>15000</v>
      </c>
      <c r="Y131" s="25" t="s">
        <v>450</v>
      </c>
      <c r="Z131" s="19" t="s">
        <v>51</v>
      </c>
      <c r="AA131" s="19" t="s">
        <v>93</v>
      </c>
      <c r="AC131" s="17" t="str">
        <f t="shared" si="3"/>
        <v>Y</v>
      </c>
      <c r="AD131" s="17" t="s">
        <v>386</v>
      </c>
      <c r="AF131" s="27" t="s">
        <v>55</v>
      </c>
      <c r="AG131" s="27" t="s">
        <v>55</v>
      </c>
      <c r="AI131" s="28" t="s">
        <v>57</v>
      </c>
    </row>
    <row r="132" spans="1:35" ht="34.950000000000003" customHeight="1" x14ac:dyDescent="0.4">
      <c r="A132" s="16" t="s">
        <v>36</v>
      </c>
      <c r="B132" s="16" t="s">
        <v>37</v>
      </c>
      <c r="C132" s="17">
        <v>45996</v>
      </c>
      <c r="D132" s="16" t="s">
        <v>261</v>
      </c>
      <c r="E132" s="16" t="s">
        <v>444</v>
      </c>
      <c r="F132" s="16">
        <v>27174</v>
      </c>
      <c r="G132" s="18" t="s">
        <v>445</v>
      </c>
      <c r="H132" s="16" t="s">
        <v>41</v>
      </c>
      <c r="I132" s="19" t="s">
        <v>381</v>
      </c>
      <c r="J132" s="16" t="str">
        <f>IFERROR(VLOOKUP(I132,[1]Sheet1!$A$1:$B$200,2,0),"_")</f>
        <v>PT</v>
      </c>
      <c r="K132" s="19" t="s">
        <v>381</v>
      </c>
      <c r="L132" s="16" t="str">
        <f>IFERROR(VLOOKUP(K132,[1]Sheet1!$A$1:$B$200,2,0),"-")</f>
        <v>PT</v>
      </c>
      <c r="M132" s="19" t="s">
        <v>251</v>
      </c>
      <c r="N132" s="16" t="str">
        <f>IFERROR(VLOOKUP(M132,[1]Sheet1!$G$2:$H$200,2,0),"-")</f>
        <v>SNKO</v>
      </c>
      <c r="O132" s="18" t="s">
        <v>446</v>
      </c>
      <c r="P132" s="17">
        <v>46000</v>
      </c>
      <c r="Q132" s="20" t="s">
        <v>594</v>
      </c>
      <c r="R132" s="20" t="s">
        <v>595</v>
      </c>
      <c r="S132" s="21" t="str" cm="1">
        <f t="array" ref="S132">IF(
OR(AD132="",ISERROR(AD132)),
"-",
_xlfn.UNIQUE(_xlfn._xlws.FILTER([1]Sheet1!$D$2:$D$200,ISNUMBER(SEARCH(AD132,[1]Sheet1!$D$2:$D$200))))
)</f>
        <v>더로지스 주식회사</v>
      </c>
      <c r="T132" s="22" t="s">
        <v>514</v>
      </c>
      <c r="U132" s="16" t="str" cm="1">
        <f t="array" ref="U132">IF(
OR(AD132="",ISERROR(AD132)),
"-",
_xlfn.UNIQUE(_xlfn._xlws.FILTER([1]Sheet1!$D$2:$D$200,ISNUMBER(SEARCH(AD132,[1]Sheet1!$D$2:$D$200))))
)</f>
        <v>더로지스 주식회사</v>
      </c>
      <c r="V132" s="23">
        <v>10000</v>
      </c>
      <c r="W132" s="23">
        <v>10000</v>
      </c>
      <c r="X132" s="23">
        <f t="shared" si="4"/>
        <v>0</v>
      </c>
      <c r="Y132" s="25" t="s">
        <v>451</v>
      </c>
      <c r="Z132" s="19" t="s">
        <v>51</v>
      </c>
      <c r="AA132" s="19" t="s">
        <v>93</v>
      </c>
      <c r="AB132" s="18" t="s">
        <v>596</v>
      </c>
      <c r="AC132" s="17" t="str">
        <f t="shared" si="3"/>
        <v>Y</v>
      </c>
      <c r="AD132" s="17" t="s">
        <v>386</v>
      </c>
      <c r="AF132" s="27" t="s">
        <v>55</v>
      </c>
      <c r="AG132" s="27" t="s">
        <v>55</v>
      </c>
      <c r="AI132" s="28" t="s">
        <v>57</v>
      </c>
    </row>
    <row r="133" spans="1:35" ht="34.950000000000003" customHeight="1" x14ac:dyDescent="0.4">
      <c r="A133" s="16" t="s">
        <v>71</v>
      </c>
      <c r="B133" s="16" t="s">
        <v>99</v>
      </c>
      <c r="C133" s="17">
        <v>45996</v>
      </c>
      <c r="D133" s="16" t="s">
        <v>126</v>
      </c>
      <c r="E133" s="16" t="s">
        <v>199</v>
      </c>
      <c r="F133" s="16">
        <v>27434</v>
      </c>
      <c r="G133" s="18" t="s">
        <v>597</v>
      </c>
      <c r="H133" s="16" t="s">
        <v>41</v>
      </c>
      <c r="I133" s="19" t="s">
        <v>76</v>
      </c>
      <c r="J133" s="16" t="str">
        <f>IFERROR(VLOOKUP(I133,[1]Sheet1!$A$1:$B$200,2,0),"_")</f>
        <v>NJ</v>
      </c>
      <c r="K133" s="19" t="s">
        <v>76</v>
      </c>
      <c r="L133" s="16" t="str">
        <f>IFERROR(VLOOKUP(K133,[1]Sheet1!$A$1:$B$200,2,0),"-")</f>
        <v>NJ</v>
      </c>
      <c r="M133" s="19" t="s">
        <v>77</v>
      </c>
      <c r="N133" s="16" t="str">
        <f>IFERROR(VLOOKUP(M133,[1]Sheet1!$G$2:$H$200,2,0),"-")</f>
        <v>KMTC</v>
      </c>
      <c r="O133" s="31" t="s">
        <v>55</v>
      </c>
      <c r="P133" s="17" t="s">
        <v>55</v>
      </c>
      <c r="Q133" s="20" t="s">
        <v>598</v>
      </c>
      <c r="R133" s="20"/>
      <c r="S133" s="21" t="str" cm="1">
        <f t="array" ref="S133">IF(
OR(AD133="",ISERROR(AD133)),
"-",
_xlfn.UNIQUE(_xlfn._xlws.FILTER([1]Sheet1!$D$2:$D$200,ISNUMBER(SEARCH(AD133,[1]Sheet1!$D$2:$D$200))))
)</f>
        <v>로지아이솔루션</v>
      </c>
      <c r="T133" s="22" t="s">
        <v>599</v>
      </c>
      <c r="U133" s="16" t="str" cm="1">
        <f t="array" ref="U133">IF(
OR(AD133="",ISERROR(AD133)),
"-",
_xlfn.UNIQUE(_xlfn._xlws.FILTER([1]Sheet1!$D$2:$D$200,ISNUMBER(SEARCH(AD133,[1]Sheet1!$D$2:$D$200))))
)</f>
        <v>로지아이솔루션</v>
      </c>
      <c r="V133" s="23">
        <v>398000</v>
      </c>
      <c r="W133" s="24">
        <v>384650</v>
      </c>
      <c r="X133" s="23">
        <f t="shared" si="4"/>
        <v>13350</v>
      </c>
      <c r="Y133" s="25" t="s">
        <v>600</v>
      </c>
      <c r="Z133" s="19" t="s">
        <v>51</v>
      </c>
      <c r="AA133" s="19" t="s">
        <v>81</v>
      </c>
      <c r="AB133" s="18" t="s">
        <v>601</v>
      </c>
      <c r="AC133" s="17" t="str">
        <f t="shared" ref="AC133:AC198" si="5">IF(AI133="ㅇ", "Y", IF(Z133="강다영", "", "Y"))</f>
        <v>Y</v>
      </c>
      <c r="AD133" s="17" t="s">
        <v>206</v>
      </c>
      <c r="AF133" s="27" t="s">
        <v>55</v>
      </c>
      <c r="AG133" s="27" t="s">
        <v>55</v>
      </c>
      <c r="AI133" s="28" t="s">
        <v>57</v>
      </c>
    </row>
    <row r="134" spans="1:35" ht="34.950000000000003" customHeight="1" x14ac:dyDescent="0.4">
      <c r="A134" s="16" t="s">
        <v>36</v>
      </c>
      <c r="B134" s="16" t="s">
        <v>37</v>
      </c>
      <c r="C134" s="17">
        <v>45996</v>
      </c>
      <c r="D134" s="16" t="s">
        <v>325</v>
      </c>
      <c r="E134" s="16" t="s">
        <v>602</v>
      </c>
      <c r="F134" s="16">
        <v>28813</v>
      </c>
      <c r="G134" s="18" t="s">
        <v>603</v>
      </c>
      <c r="H134" s="16" t="s">
        <v>75</v>
      </c>
      <c r="I134" s="19" t="s">
        <v>99</v>
      </c>
      <c r="J134" s="16" t="str">
        <f>IFERROR(VLOOKUP(I134,[1]Sheet1!$A$1:$B$200,2,0),"_")</f>
        <v>IX</v>
      </c>
      <c r="K134" s="19" t="s">
        <v>86</v>
      </c>
      <c r="L134" s="16" t="str">
        <f>IFERROR(VLOOKUP(K134,[1]Sheet1!$A$1:$B$200,2,0),"-")</f>
        <v>HP</v>
      </c>
      <c r="M134" s="19" t="s">
        <v>604</v>
      </c>
      <c r="N134" s="16" t="str">
        <f>IFERROR(VLOOKUP(M134,[1]Sheet1!$G$2:$H$200,2,0),"-")</f>
        <v>FESU</v>
      </c>
      <c r="O134" s="18" t="s">
        <v>605</v>
      </c>
      <c r="P134" s="17">
        <v>45997</v>
      </c>
      <c r="Q134" s="20" t="s">
        <v>606</v>
      </c>
      <c r="R134" s="20" t="s">
        <v>607</v>
      </c>
      <c r="S134" s="21" t="str" cm="1">
        <f t="array" ref="S134">IF(
OR(AD134="",ISERROR(AD134)),
"-",
_xlfn.UNIQUE(_xlfn._xlws.FILTER([1]Sheet1!$D$2:$D$200,ISNUMBER(SEARCH(AD134,[1]Sheet1!$D$2:$D$200))))
)</f>
        <v>(주)천경</v>
      </c>
      <c r="T134" s="22" t="s">
        <v>608</v>
      </c>
      <c r="U134" s="16" t="str" cm="1">
        <f t="array" ref="U134">IF(
OR(AD134="",ISERROR(AD134)),
"-",
_xlfn.UNIQUE(_xlfn._xlws.FILTER([1]Sheet1!$D$2:$D$200,ISNUMBER(SEARCH(AD134,[1]Sheet1!$D$2:$D$200))))
)</f>
        <v>(주)천경</v>
      </c>
      <c r="V134" s="23">
        <v>650000</v>
      </c>
      <c r="W134" s="23">
        <v>545900</v>
      </c>
      <c r="X134" s="23">
        <f t="shared" si="4"/>
        <v>104100</v>
      </c>
      <c r="Y134" s="25" t="s">
        <v>609</v>
      </c>
      <c r="Z134" s="19" t="s">
        <v>51</v>
      </c>
      <c r="AA134" s="19" t="s">
        <v>93</v>
      </c>
      <c r="AB134" s="18" t="s">
        <v>610</v>
      </c>
      <c r="AC134" s="17" t="str">
        <f t="shared" si="5"/>
        <v>Y</v>
      </c>
      <c r="AD134" s="17" t="s">
        <v>473</v>
      </c>
      <c r="AF134" s="27" t="s">
        <v>55</v>
      </c>
      <c r="AG134" s="27" t="s">
        <v>55</v>
      </c>
      <c r="AI134" s="28" t="s">
        <v>57</v>
      </c>
    </row>
    <row r="135" spans="1:35" ht="34.950000000000003" customHeight="1" x14ac:dyDescent="0.4">
      <c r="A135" s="16" t="s">
        <v>36</v>
      </c>
      <c r="B135" s="16" t="s">
        <v>37</v>
      </c>
      <c r="C135" s="17">
        <v>45996</v>
      </c>
      <c r="D135" s="16" t="s">
        <v>611</v>
      </c>
      <c r="E135" s="16" t="s">
        <v>611</v>
      </c>
      <c r="F135" s="16">
        <v>3017</v>
      </c>
      <c r="G135" s="18" t="s">
        <v>612</v>
      </c>
      <c r="H135" s="16" t="s">
        <v>41</v>
      </c>
      <c r="I135" s="19" t="s">
        <v>137</v>
      </c>
      <c r="J135" s="16" t="str">
        <f>IFERROR(VLOOKUP(I135,[1]Sheet1!$A$1:$B$200,2,0),"_")</f>
        <v>BE</v>
      </c>
      <c r="K135" s="19" t="s">
        <v>42</v>
      </c>
      <c r="L135" s="16" t="str">
        <f>IFERROR(VLOOKUP(K135,[1]Sheet1!$A$1:$B$200,2,0),"-")</f>
        <v>P</v>
      </c>
      <c r="M135" s="19" t="s">
        <v>191</v>
      </c>
      <c r="N135" s="16" t="str">
        <f>IFERROR(VLOOKUP(M135,[1]Sheet1!$G$2:$H$200,2,0),"-")</f>
        <v>HASL</v>
      </c>
      <c r="O135" s="18" t="s">
        <v>613</v>
      </c>
      <c r="P135" s="17">
        <v>46003</v>
      </c>
      <c r="Q135" s="20" t="s">
        <v>614</v>
      </c>
      <c r="R135" s="20" t="s">
        <v>615</v>
      </c>
      <c r="S135" s="21" t="str" cm="1">
        <f t="array" ref="S135">IF(
OR(AD135="",ISERROR(AD135)),
"-",
_xlfn.UNIQUE(_xlfn._xlws.FILTER([1]Sheet1!$D$2:$D$200,ISNUMBER(SEARCH(AD135,[1]Sheet1!$D$2:$D$200))))
)</f>
        <v>양양운수(주)</v>
      </c>
      <c r="T135" s="22" t="s">
        <v>616</v>
      </c>
      <c r="U135" s="16" t="str" cm="1">
        <f t="array" ref="U135">IF(
OR(AD135="",ISERROR(AD135)),
"-",
_xlfn.UNIQUE(_xlfn._xlws.FILTER([1]Sheet1!$D$2:$D$200,ISNUMBER(SEARCH(AD135,[1]Sheet1!$D$2:$D$200))))
)</f>
        <v>양양운수(주)</v>
      </c>
      <c r="V135" s="23">
        <v>860000</v>
      </c>
      <c r="W135" s="23">
        <v>774300</v>
      </c>
      <c r="X135" s="23">
        <f t="shared" si="4"/>
        <v>85700</v>
      </c>
      <c r="Y135" s="25" t="s">
        <v>617</v>
      </c>
      <c r="Z135" s="19" t="s">
        <v>51</v>
      </c>
      <c r="AA135" s="19" t="s">
        <v>81</v>
      </c>
      <c r="AB135" s="18" t="s">
        <v>618</v>
      </c>
      <c r="AC135" s="17" t="str">
        <f t="shared" si="5"/>
        <v>Y</v>
      </c>
      <c r="AD135" s="17" t="s">
        <v>619</v>
      </c>
      <c r="AF135" s="27" t="s">
        <v>55</v>
      </c>
      <c r="AG135" s="27" t="s">
        <v>55</v>
      </c>
      <c r="AI135" s="28" t="s">
        <v>57</v>
      </c>
    </row>
    <row r="136" spans="1:35" ht="34.950000000000003" customHeight="1" x14ac:dyDescent="0.4">
      <c r="A136" s="16" t="s">
        <v>36</v>
      </c>
      <c r="B136" s="16" t="s">
        <v>37</v>
      </c>
      <c r="C136" s="17">
        <v>45996</v>
      </c>
      <c r="D136" s="16" t="s">
        <v>248</v>
      </c>
      <c r="E136" s="16" t="s">
        <v>620</v>
      </c>
      <c r="F136" s="16">
        <v>28605</v>
      </c>
      <c r="G136" s="18" t="s">
        <v>621</v>
      </c>
      <c r="H136" s="16" t="s">
        <v>75</v>
      </c>
      <c r="I136" s="19" t="s">
        <v>86</v>
      </c>
      <c r="J136" s="16" t="str">
        <f>IFERROR(VLOOKUP(I136,[1]Sheet1!$A$1:$B$200,2,0),"_")</f>
        <v>HP</v>
      </c>
      <c r="K136" s="19" t="s">
        <v>86</v>
      </c>
      <c r="L136" s="16" t="str">
        <f>IFERROR(VLOOKUP(K136,[1]Sheet1!$A$1:$B$200,2,0),"-")</f>
        <v>HP</v>
      </c>
      <c r="M136" s="19" t="s">
        <v>87</v>
      </c>
      <c r="N136" s="16" t="str">
        <f>IFERROR(VLOOKUP(M136,[1]Sheet1!$G$2:$H$200,2,0),"-")</f>
        <v>HDMU</v>
      </c>
      <c r="O136" s="18" t="s">
        <v>622</v>
      </c>
      <c r="P136" s="17">
        <v>45997</v>
      </c>
      <c r="Q136" s="20" t="s">
        <v>623</v>
      </c>
      <c r="R136" s="20" t="s">
        <v>624</v>
      </c>
      <c r="S136" s="21" t="str" cm="1">
        <f t="array" ref="S136">IF(
OR(AD136="",ISERROR(AD136)),
"-",
_xlfn.UNIQUE(_xlfn._xlws.FILTER([1]Sheet1!$D$2:$D$200,ISNUMBER(SEARCH(AD136,[1]Sheet1!$D$2:$D$200))))
)</f>
        <v>(주)부강에너지</v>
      </c>
      <c r="T136" s="22" t="s">
        <v>426</v>
      </c>
      <c r="U136" s="16" t="str" cm="1">
        <f t="array" ref="U136">IF(
OR(AD136="",ISERROR(AD136)),
"-",
_xlfn.UNIQUE(_xlfn._xlws.FILTER([1]Sheet1!$D$2:$D$200,ISNUMBER(SEARCH(AD136,[1]Sheet1!$D$2:$D$200))))
)</f>
        <v>(주)부강에너지</v>
      </c>
      <c r="V136" s="23">
        <v>143000</v>
      </c>
      <c r="W136" s="23">
        <v>124800</v>
      </c>
      <c r="X136" s="23">
        <f t="shared" si="4"/>
        <v>18200</v>
      </c>
      <c r="Y136" s="25" t="s">
        <v>625</v>
      </c>
      <c r="Z136" s="19" t="s">
        <v>51</v>
      </c>
      <c r="AA136" s="19" t="s">
        <v>144</v>
      </c>
      <c r="AB136" s="18" t="s">
        <v>626</v>
      </c>
      <c r="AC136" s="17" t="str">
        <f t="shared" si="5"/>
        <v>Y</v>
      </c>
      <c r="AD136" s="17" t="s">
        <v>197</v>
      </c>
      <c r="AF136" s="27" t="s">
        <v>55</v>
      </c>
      <c r="AG136" s="27" t="s">
        <v>55</v>
      </c>
      <c r="AI136" s="28" t="s">
        <v>57</v>
      </c>
    </row>
    <row r="137" spans="1:35" ht="34.950000000000003" customHeight="1" x14ac:dyDescent="0.4">
      <c r="A137" s="16" t="s">
        <v>36</v>
      </c>
      <c r="B137" s="16" t="s">
        <v>37</v>
      </c>
      <c r="C137" s="17">
        <v>45996</v>
      </c>
      <c r="D137" s="16" t="s">
        <v>248</v>
      </c>
      <c r="E137" s="16" t="s">
        <v>620</v>
      </c>
      <c r="F137" s="16">
        <v>28605</v>
      </c>
      <c r="G137" s="18" t="s">
        <v>621</v>
      </c>
      <c r="H137" s="16" t="s">
        <v>75</v>
      </c>
      <c r="I137" s="19" t="s">
        <v>86</v>
      </c>
      <c r="J137" s="16" t="str">
        <f>IFERROR(VLOOKUP(I137,[1]Sheet1!$A$1:$B$200,2,0),"_")</f>
        <v>HP</v>
      </c>
      <c r="K137" s="19" t="s">
        <v>86</v>
      </c>
      <c r="L137" s="16" t="str">
        <f>IFERROR(VLOOKUP(K137,[1]Sheet1!$A$1:$B$200,2,0),"-")</f>
        <v>HP</v>
      </c>
      <c r="M137" s="19" t="s">
        <v>87</v>
      </c>
      <c r="N137" s="16" t="str">
        <f>IFERROR(VLOOKUP(M137,[1]Sheet1!$G$2:$H$200,2,0),"-")</f>
        <v>HDMU</v>
      </c>
      <c r="O137" s="18" t="s">
        <v>622</v>
      </c>
      <c r="P137" s="17">
        <v>45997</v>
      </c>
      <c r="Q137" s="20" t="s">
        <v>623</v>
      </c>
      <c r="R137" s="20" t="s">
        <v>624</v>
      </c>
      <c r="S137" s="21" t="str" cm="1">
        <f t="array" ref="S137">IF(
OR(AD137="",ISERROR(AD137)),
"-",
_xlfn.UNIQUE(_xlfn._xlws.FILTER([1]Sheet1!$D$2:$D$200,ISNUMBER(SEARCH(AD137,[1]Sheet1!$D$2:$D$200))))
)</f>
        <v>(주)부강에너지</v>
      </c>
      <c r="T137" s="22" t="s">
        <v>426</v>
      </c>
      <c r="U137" s="16" t="str" cm="1">
        <f t="array" ref="U137">IF(
OR(AD137="",ISERROR(AD137)),
"-",
_xlfn.UNIQUE(_xlfn._xlws.FILTER([1]Sheet1!$D$2:$D$200,ISNUMBER(SEARCH(AD137,[1]Sheet1!$D$2:$D$200))))
)</f>
        <v>(주)부강에너지</v>
      </c>
      <c r="V137" s="23">
        <v>10000</v>
      </c>
      <c r="W137" s="23">
        <v>10000</v>
      </c>
      <c r="X137" s="23">
        <f t="shared" si="4"/>
        <v>0</v>
      </c>
      <c r="Y137" s="25" t="s">
        <v>627</v>
      </c>
      <c r="Z137" s="19" t="s">
        <v>51</v>
      </c>
      <c r="AA137" s="19" t="s">
        <v>144</v>
      </c>
      <c r="AC137" s="17" t="str">
        <f t="shared" si="5"/>
        <v>Y</v>
      </c>
      <c r="AD137" s="17" t="s">
        <v>197</v>
      </c>
      <c r="AF137" s="27" t="s">
        <v>55</v>
      </c>
      <c r="AG137" s="27" t="s">
        <v>55</v>
      </c>
      <c r="AI137" s="28" t="s">
        <v>57</v>
      </c>
    </row>
    <row r="138" spans="1:35" ht="34.950000000000003" customHeight="1" x14ac:dyDescent="0.4">
      <c r="A138" s="16" t="s">
        <v>71</v>
      </c>
      <c r="B138" s="16" t="s">
        <v>37</v>
      </c>
      <c r="C138" s="17">
        <v>45996</v>
      </c>
      <c r="D138" s="16" t="s">
        <v>628</v>
      </c>
      <c r="E138" s="16" t="s">
        <v>629</v>
      </c>
      <c r="F138" s="16">
        <v>12295</v>
      </c>
      <c r="G138" s="18" t="s">
        <v>630</v>
      </c>
      <c r="H138" s="16" t="s">
        <v>41</v>
      </c>
      <c r="I138" s="19" t="s">
        <v>42</v>
      </c>
      <c r="J138" s="16" t="str">
        <f>IFERROR(VLOOKUP(I138,[1]Sheet1!$A$1:$B$200,2,0),"_")</f>
        <v>P</v>
      </c>
      <c r="K138" s="19" t="s">
        <v>42</v>
      </c>
      <c r="L138" s="16" t="str">
        <f>IFERROR(VLOOKUP(K138,[1]Sheet1!$A$1:$B$200,2,0),"-")</f>
        <v>P</v>
      </c>
      <c r="M138" s="19" t="s">
        <v>578</v>
      </c>
      <c r="N138" s="16" t="str">
        <f>IFERROR(VLOOKUP(M138,[1]Sheet1!$G$2:$H$200,2,0),"-")</f>
        <v>PCSL</v>
      </c>
      <c r="O138" s="18" t="s">
        <v>55</v>
      </c>
      <c r="P138" s="17" t="s">
        <v>55</v>
      </c>
      <c r="Q138" s="20" t="s">
        <v>631</v>
      </c>
      <c r="R138" s="20"/>
      <c r="S138" s="21" t="str" cm="1">
        <f t="array" ref="S138">IF(
OR(AD138="",ISERROR(AD138)),
"-",
_xlfn.UNIQUE(_xlfn._xlws.FILTER([1]Sheet1!$D$2:$D$200,ISNUMBER(SEARCH(AD138,[1]Sheet1!$D$2:$D$200))))
)</f>
        <v>에스지로지스틱</v>
      </c>
      <c r="T138" s="22" t="s">
        <v>632</v>
      </c>
      <c r="U138" s="16" t="str" cm="1">
        <f t="array" ref="U138">IF(
OR(AD138="",ISERROR(AD138)),
"-",
_xlfn.UNIQUE(_xlfn._xlws.FILTER([1]Sheet1!$D$2:$D$200,ISNUMBER(SEARCH(AD138,[1]Sheet1!$D$2:$D$200))))
)</f>
        <v>에스지로지스틱</v>
      </c>
      <c r="V138" s="23">
        <v>354000</v>
      </c>
      <c r="W138" s="23">
        <v>301000</v>
      </c>
      <c r="X138" s="23">
        <f t="shared" si="4"/>
        <v>53000</v>
      </c>
      <c r="Y138" s="25" t="s">
        <v>633</v>
      </c>
      <c r="Z138" s="19" t="s">
        <v>51</v>
      </c>
      <c r="AA138" s="19" t="s">
        <v>472</v>
      </c>
      <c r="AC138" s="17" t="str">
        <f t="shared" si="5"/>
        <v>Y</v>
      </c>
      <c r="AD138" s="17" t="s">
        <v>184</v>
      </c>
      <c r="AF138" s="27" t="s">
        <v>55</v>
      </c>
      <c r="AG138" s="27" t="s">
        <v>55</v>
      </c>
      <c r="AI138" s="28" t="s">
        <v>57</v>
      </c>
    </row>
    <row r="139" spans="1:35" ht="34.950000000000003" customHeight="1" x14ac:dyDescent="0.4">
      <c r="A139" s="16" t="s">
        <v>36</v>
      </c>
      <c r="B139" s="16" t="s">
        <v>99</v>
      </c>
      <c r="C139" s="17">
        <v>45996</v>
      </c>
      <c r="D139" s="16" t="s">
        <v>216</v>
      </c>
      <c r="E139" s="16" t="s">
        <v>217</v>
      </c>
      <c r="F139" s="16">
        <v>26907</v>
      </c>
      <c r="G139" s="18" t="s">
        <v>218</v>
      </c>
      <c r="H139" s="16" t="s">
        <v>41</v>
      </c>
      <c r="I139" s="19" t="s">
        <v>219</v>
      </c>
      <c r="J139" s="16" t="str">
        <f>IFERROR(VLOOKUP(I139,[1]Sheet1!$A$1:$B$200,2,0),"_")</f>
        <v>NN</v>
      </c>
      <c r="K139" s="19" t="s">
        <v>220</v>
      </c>
      <c r="L139" s="16">
        <v>81</v>
      </c>
      <c r="M139" s="19" t="s">
        <v>221</v>
      </c>
      <c r="N139" s="16" t="str">
        <f>IFERROR(VLOOKUP(M139,[1]Sheet1!$G$2:$H$200,2,0),"-")</f>
        <v>DOOW</v>
      </c>
      <c r="O139" s="27" t="s">
        <v>634</v>
      </c>
      <c r="P139" s="17">
        <v>45999</v>
      </c>
      <c r="Q139" s="20" t="s">
        <v>635</v>
      </c>
      <c r="R139" s="20" t="s">
        <v>636</v>
      </c>
      <c r="S139" s="21" t="str" cm="1">
        <f t="array" ref="S139">IF(
OR(AD139="",ISERROR(AD139)),
"-",
_xlfn.UNIQUE(_xlfn._xlws.FILTER([1]Sheet1!$D$2:$D$200,ISNUMBER(SEARCH(AD139,[1]Sheet1!$D$2:$D$200))))
)</f>
        <v>태성종합물류</v>
      </c>
      <c r="T139" s="22" t="s">
        <v>637</v>
      </c>
      <c r="U139" s="16" t="str" cm="1">
        <f t="array" ref="U139">IF(
OR(AD139="",ISERROR(AD139)),
"-",
_xlfn.UNIQUE(_xlfn._xlws.FILTER([1]Sheet1!$D$2:$D$200,ISNUMBER(SEARCH(AD139,[1]Sheet1!$D$2:$D$200))))
)</f>
        <v>태성종합물류</v>
      </c>
      <c r="V139" s="23">
        <v>247000</v>
      </c>
      <c r="W139" s="24">
        <v>229700</v>
      </c>
      <c r="X139" s="23">
        <f t="shared" si="4"/>
        <v>17300</v>
      </c>
      <c r="Y139" s="25" t="s">
        <v>638</v>
      </c>
      <c r="Z139" s="19" t="s">
        <v>51</v>
      </c>
      <c r="AA139" s="19" t="s">
        <v>93</v>
      </c>
      <c r="AB139" s="18" t="s">
        <v>639</v>
      </c>
      <c r="AC139" s="17" t="str">
        <f t="shared" si="5"/>
        <v>Y</v>
      </c>
      <c r="AD139" s="17" t="s">
        <v>82</v>
      </c>
      <c r="AF139" s="27" t="s">
        <v>55</v>
      </c>
      <c r="AG139" s="27" t="s">
        <v>55</v>
      </c>
      <c r="AI139" s="28" t="s">
        <v>57</v>
      </c>
    </row>
    <row r="140" spans="1:35" ht="34.950000000000003" customHeight="1" x14ac:dyDescent="0.4">
      <c r="A140" s="16" t="s">
        <v>36</v>
      </c>
      <c r="B140" s="16" t="s">
        <v>99</v>
      </c>
      <c r="C140" s="17">
        <v>45996</v>
      </c>
      <c r="D140" s="16" t="s">
        <v>216</v>
      </c>
      <c r="E140" s="16" t="s">
        <v>217</v>
      </c>
      <c r="F140" s="16">
        <v>26907</v>
      </c>
      <c r="G140" s="18" t="s">
        <v>218</v>
      </c>
      <c r="H140" s="16" t="s">
        <v>41</v>
      </c>
      <c r="I140" s="19" t="s">
        <v>219</v>
      </c>
      <c r="J140" s="16" t="str">
        <f>IFERROR(VLOOKUP(I140,[1]Sheet1!$A$1:$B$200,2,0),"_")</f>
        <v>NN</v>
      </c>
      <c r="K140" s="19" t="s">
        <v>220</v>
      </c>
      <c r="L140" s="16">
        <v>81</v>
      </c>
      <c r="M140" s="19" t="s">
        <v>221</v>
      </c>
      <c r="N140" s="16" t="str">
        <f>IFERROR(VLOOKUP(M140,[1]Sheet1!$G$2:$H$200,2,0),"-")</f>
        <v>DOOW</v>
      </c>
      <c r="O140" s="27" t="s">
        <v>634</v>
      </c>
      <c r="P140" s="17">
        <v>45999</v>
      </c>
      <c r="Q140" s="20" t="s">
        <v>635</v>
      </c>
      <c r="R140" s="20" t="s">
        <v>636</v>
      </c>
      <c r="S140" s="21" t="str" cm="1">
        <f t="array" ref="S140">IF(
OR(AD140="",ISERROR(AD140)),
"-",
_xlfn.UNIQUE(_xlfn._xlws.FILTER([1]Sheet1!$D$2:$D$200,ISNUMBER(SEARCH(AD140,[1]Sheet1!$D$2:$D$200))))
)</f>
        <v>태성종합물류</v>
      </c>
      <c r="T140" s="22" t="s">
        <v>637</v>
      </c>
      <c r="U140" s="16" t="str" cm="1">
        <f t="array" ref="U140">IF(
OR(AD140="",ISERROR(AD140)),
"-",
_xlfn.UNIQUE(_xlfn._xlws.FILTER([1]Sheet1!$D$2:$D$200,ISNUMBER(SEARCH(AD140,[1]Sheet1!$D$2:$D$200))))
)</f>
        <v>태성종합물류</v>
      </c>
      <c r="V140" s="23">
        <v>10000</v>
      </c>
      <c r="W140" s="24">
        <v>10000</v>
      </c>
      <c r="X140" s="23">
        <f t="shared" si="4"/>
        <v>0</v>
      </c>
      <c r="Y140" s="25" t="s">
        <v>640</v>
      </c>
      <c r="Z140" s="19" t="s">
        <v>51</v>
      </c>
      <c r="AA140" s="19" t="s">
        <v>93</v>
      </c>
      <c r="AB140" s="18" t="s">
        <v>641</v>
      </c>
      <c r="AC140" s="17" t="str">
        <f t="shared" si="5"/>
        <v>Y</v>
      </c>
      <c r="AD140" s="17" t="s">
        <v>82</v>
      </c>
      <c r="AF140" s="27" t="s">
        <v>55</v>
      </c>
      <c r="AG140" s="27" t="s">
        <v>55</v>
      </c>
      <c r="AI140" s="28" t="s">
        <v>57</v>
      </c>
    </row>
    <row r="141" spans="1:35" ht="34.950000000000003" customHeight="1" x14ac:dyDescent="0.4">
      <c r="A141" s="16" t="s">
        <v>36</v>
      </c>
      <c r="B141" s="16" t="s">
        <v>37</v>
      </c>
      <c r="C141" s="17">
        <v>45996</v>
      </c>
      <c r="D141" s="16" t="s">
        <v>642</v>
      </c>
      <c r="E141" s="16" t="s">
        <v>643</v>
      </c>
      <c r="F141" s="16">
        <v>28808</v>
      </c>
      <c r="G141" s="18" t="s">
        <v>644</v>
      </c>
      <c r="H141" s="16" t="s">
        <v>41</v>
      </c>
      <c r="I141" s="19" t="s">
        <v>645</v>
      </c>
      <c r="J141" s="16" t="s">
        <v>646</v>
      </c>
      <c r="K141" s="19" t="s">
        <v>272</v>
      </c>
      <c r="L141" s="16" t="str">
        <f>IFERROR(VLOOKUP(K141,[1]Sheet1!$A$1:$B$200,2,0),"-")</f>
        <v>Z9</v>
      </c>
      <c r="M141" s="19" t="s">
        <v>77</v>
      </c>
      <c r="N141" s="16" t="str">
        <f>IFERROR(VLOOKUP(M141,[1]Sheet1!$G$2:$H$200,2,0),"-")</f>
        <v>KMTC</v>
      </c>
      <c r="O141" s="18" t="s">
        <v>647</v>
      </c>
      <c r="P141" s="17">
        <v>46001</v>
      </c>
      <c r="Q141" s="20" t="s">
        <v>648</v>
      </c>
      <c r="R141" s="20" t="s">
        <v>649</v>
      </c>
      <c r="S141" s="21" t="str" cm="1">
        <f t="array" ref="S141">IF(
OR(AD141="",ISERROR(AD141)),
"-",
_xlfn.UNIQUE(_xlfn._xlws.FILTER([1]Sheet1!$D$2:$D$200,ISNUMBER(SEARCH(AD141,[1]Sheet1!$D$2:$D$200))))
)</f>
        <v>백승운수</v>
      </c>
      <c r="T141" s="22" t="s">
        <v>650</v>
      </c>
      <c r="U141" s="16" t="str" cm="1">
        <f t="array" ref="U141">IF(
OR(AD141="",ISERROR(AD141)),
"-",
_xlfn.UNIQUE(_xlfn._xlws.FILTER([1]Sheet1!$D$2:$D$200,ISNUMBER(SEARCH(AD141,[1]Sheet1!$D$2:$D$200))))
)</f>
        <v>백승운수</v>
      </c>
      <c r="V141" s="23">
        <v>375000</v>
      </c>
      <c r="W141" s="23">
        <v>342000</v>
      </c>
      <c r="X141" s="23">
        <f t="shared" si="4"/>
        <v>33000</v>
      </c>
      <c r="Y141" s="25" t="s">
        <v>651</v>
      </c>
      <c r="Z141" s="19" t="s">
        <v>51</v>
      </c>
      <c r="AA141" s="19" t="s">
        <v>93</v>
      </c>
      <c r="AB141" s="18" t="s">
        <v>652</v>
      </c>
      <c r="AC141" s="17" t="str">
        <f t="shared" si="5"/>
        <v>Y</v>
      </c>
      <c r="AD141" s="17" t="s">
        <v>95</v>
      </c>
      <c r="AF141" s="27" t="s">
        <v>55</v>
      </c>
      <c r="AG141" s="27" t="s">
        <v>55</v>
      </c>
      <c r="AI141" s="28" t="s">
        <v>57</v>
      </c>
    </row>
    <row r="142" spans="1:35" ht="34.950000000000003" customHeight="1" x14ac:dyDescent="0.4">
      <c r="A142" s="16" t="s">
        <v>36</v>
      </c>
      <c r="B142" s="16" t="s">
        <v>37</v>
      </c>
      <c r="C142" s="17">
        <v>45996</v>
      </c>
      <c r="D142" s="16" t="s">
        <v>642</v>
      </c>
      <c r="E142" s="16" t="s">
        <v>643</v>
      </c>
      <c r="F142" s="16">
        <v>28808</v>
      </c>
      <c r="G142" s="18" t="s">
        <v>644</v>
      </c>
      <c r="H142" s="16" t="s">
        <v>41</v>
      </c>
      <c r="I142" s="19" t="s">
        <v>645</v>
      </c>
      <c r="J142" s="16" t="s">
        <v>646</v>
      </c>
      <c r="K142" s="19" t="s">
        <v>272</v>
      </c>
      <c r="L142" s="16" t="str">
        <f>IFERROR(VLOOKUP(K142,[1]Sheet1!$A$1:$B$200,2,0),"-")</f>
        <v>Z9</v>
      </c>
      <c r="M142" s="19" t="s">
        <v>77</v>
      </c>
      <c r="N142" s="16" t="str">
        <f>IFERROR(VLOOKUP(M142,[1]Sheet1!$G$2:$H$200,2,0),"-")</f>
        <v>KMTC</v>
      </c>
      <c r="O142" s="18" t="s">
        <v>647</v>
      </c>
      <c r="P142" s="17">
        <v>46001</v>
      </c>
      <c r="Q142" s="20" t="s">
        <v>648</v>
      </c>
      <c r="R142" s="20" t="s">
        <v>649</v>
      </c>
      <c r="S142" s="21" t="str" cm="1">
        <f t="array" ref="S142">IF(
OR(AD142="",ISERROR(AD142)),
"-",
_xlfn.UNIQUE(_xlfn._xlws.FILTER([1]Sheet1!$D$2:$D$200,ISNUMBER(SEARCH(AD142,[1]Sheet1!$D$2:$D$200))))
)</f>
        <v>에스지로지스틱</v>
      </c>
      <c r="T142" s="22" t="s">
        <v>650</v>
      </c>
      <c r="U142" s="16" t="str" cm="1">
        <f t="array" ref="U142">IF(
OR(AD142="",ISERROR(AD142)),
"-",
_xlfn.UNIQUE(_xlfn._xlws.FILTER([1]Sheet1!$D$2:$D$200,ISNUMBER(SEARCH(AD142,[1]Sheet1!$D$2:$D$200))))
)</f>
        <v>에스지로지스틱</v>
      </c>
      <c r="V142" s="23">
        <v>48000</v>
      </c>
      <c r="W142" s="23">
        <v>48000</v>
      </c>
      <c r="X142" s="23">
        <f t="shared" si="4"/>
        <v>0</v>
      </c>
      <c r="Y142" s="25" t="s">
        <v>653</v>
      </c>
      <c r="Z142" s="19" t="s">
        <v>51</v>
      </c>
      <c r="AA142" s="19" t="s">
        <v>93</v>
      </c>
      <c r="AB142" s="18" t="s">
        <v>652</v>
      </c>
      <c r="AC142" s="17" t="str">
        <f t="shared" si="5"/>
        <v>Y</v>
      </c>
      <c r="AD142" s="17" t="s">
        <v>184</v>
      </c>
      <c r="AF142" s="27" t="s">
        <v>55</v>
      </c>
      <c r="AG142" s="27" t="s">
        <v>55</v>
      </c>
      <c r="AI142" s="28" t="s">
        <v>57</v>
      </c>
    </row>
    <row r="143" spans="1:35" ht="34.950000000000003" customHeight="1" x14ac:dyDescent="0.4">
      <c r="A143" s="16" t="s">
        <v>36</v>
      </c>
      <c r="B143" s="16" t="s">
        <v>37</v>
      </c>
      <c r="C143" s="17">
        <v>45996</v>
      </c>
      <c r="D143" s="16" t="s">
        <v>642</v>
      </c>
      <c r="E143" s="16" t="s">
        <v>643</v>
      </c>
      <c r="F143" s="16">
        <v>28808</v>
      </c>
      <c r="G143" s="18" t="s">
        <v>644</v>
      </c>
      <c r="H143" s="16" t="s">
        <v>41</v>
      </c>
      <c r="I143" s="19" t="s">
        <v>645</v>
      </c>
      <c r="J143" s="16" t="s">
        <v>646</v>
      </c>
      <c r="K143" s="19" t="s">
        <v>272</v>
      </c>
      <c r="L143" s="16" t="str">
        <f>IFERROR(VLOOKUP(K143,[1]Sheet1!$A$1:$B$200,2,0),"-")</f>
        <v>Z9</v>
      </c>
      <c r="M143" s="19" t="s">
        <v>77</v>
      </c>
      <c r="N143" s="16" t="str">
        <f>IFERROR(VLOOKUP(M143,[1]Sheet1!$G$2:$H$200,2,0),"-")</f>
        <v>KMTC</v>
      </c>
      <c r="O143" s="18" t="s">
        <v>647</v>
      </c>
      <c r="P143" s="17">
        <v>46001</v>
      </c>
      <c r="Q143" s="20" t="s">
        <v>648</v>
      </c>
      <c r="R143" s="20" t="s">
        <v>649</v>
      </c>
      <c r="S143" s="21" t="str" cm="1">
        <f t="array" ref="S143">IF(
OR(AD143="",ISERROR(AD143)),
"-",
_xlfn.UNIQUE(_xlfn._xlws.FILTER([1]Sheet1!$D$2:$D$200,ISNUMBER(SEARCH(AD143,[1]Sheet1!$D$2:$D$200))))
)</f>
        <v>백승운수</v>
      </c>
      <c r="T143" s="22" t="s">
        <v>650</v>
      </c>
      <c r="U143" s="16" t="str" cm="1">
        <f t="array" ref="U143">IF(
OR(AD143="",ISERROR(AD143)),
"-",
_xlfn.UNIQUE(_xlfn._xlws.FILTER([1]Sheet1!$D$2:$D$200,ISNUMBER(SEARCH(AD143,[1]Sheet1!$D$2:$D$200))))
)</f>
        <v>백승운수</v>
      </c>
      <c r="V143" s="23">
        <v>240000</v>
      </c>
      <c r="W143" s="23">
        <v>240000</v>
      </c>
      <c r="X143" s="23">
        <f t="shared" si="4"/>
        <v>0</v>
      </c>
      <c r="Y143" s="25" t="s">
        <v>654</v>
      </c>
      <c r="Z143" s="19" t="s">
        <v>51</v>
      </c>
      <c r="AA143" s="19" t="s">
        <v>93</v>
      </c>
      <c r="AB143" s="18" t="s">
        <v>652</v>
      </c>
      <c r="AC143" s="17" t="str">
        <f t="shared" si="5"/>
        <v>Y</v>
      </c>
      <c r="AD143" s="17" t="s">
        <v>95</v>
      </c>
      <c r="AF143" s="27" t="s">
        <v>55</v>
      </c>
      <c r="AG143" s="27" t="s">
        <v>55</v>
      </c>
      <c r="AI143" s="28" t="s">
        <v>57</v>
      </c>
    </row>
    <row r="144" spans="1:35" ht="34.950000000000003" customHeight="1" x14ac:dyDescent="0.4">
      <c r="A144" s="16" t="s">
        <v>36</v>
      </c>
      <c r="B144" s="16" t="s">
        <v>37</v>
      </c>
      <c r="C144" s="17">
        <v>45996</v>
      </c>
      <c r="D144" s="16" t="s">
        <v>642</v>
      </c>
      <c r="E144" s="16" t="s">
        <v>643</v>
      </c>
      <c r="F144" s="16">
        <v>28808</v>
      </c>
      <c r="G144" s="18" t="s">
        <v>644</v>
      </c>
      <c r="H144" s="16" t="s">
        <v>41</v>
      </c>
      <c r="I144" s="19" t="s">
        <v>645</v>
      </c>
      <c r="J144" s="16" t="s">
        <v>646</v>
      </c>
      <c r="K144" s="19" t="s">
        <v>272</v>
      </c>
      <c r="L144" s="16" t="str">
        <f>IFERROR(VLOOKUP(K144,[1]Sheet1!$A$1:$B$200,2,0),"-")</f>
        <v>Z9</v>
      </c>
      <c r="M144" s="19" t="s">
        <v>77</v>
      </c>
      <c r="N144" s="16" t="str">
        <f>IFERROR(VLOOKUP(M144,[1]Sheet1!$G$2:$H$200,2,0),"-")</f>
        <v>KMTC</v>
      </c>
      <c r="O144" s="18" t="s">
        <v>647</v>
      </c>
      <c r="P144" s="17">
        <v>46001</v>
      </c>
      <c r="Q144" s="20" t="s">
        <v>648</v>
      </c>
      <c r="R144" s="20" t="s">
        <v>649</v>
      </c>
      <c r="S144" s="21" t="str" cm="1">
        <f t="array" ref="S144">IF(
OR(AD144="",ISERROR(AD144)),
"-",
_xlfn.UNIQUE(_xlfn._xlws.FILTER([1]Sheet1!$D$2:$D$200,ISNUMBER(SEARCH(AD144,[1]Sheet1!$D$2:$D$200))))
)</f>
        <v>백승운수</v>
      </c>
      <c r="T144" s="22" t="s">
        <v>650</v>
      </c>
      <c r="U144" s="16" t="str" cm="1">
        <f t="array" ref="U144">IF(
OR(AD144="",ISERROR(AD144)),
"-",
_xlfn.UNIQUE(_xlfn._xlws.FILTER([1]Sheet1!$D$2:$D$200,ISNUMBER(SEARCH(AD144,[1]Sheet1!$D$2:$D$200))))
)</f>
        <v>백승운수</v>
      </c>
      <c r="V144" s="23">
        <v>75000</v>
      </c>
      <c r="W144" s="23">
        <v>69000</v>
      </c>
      <c r="X144" s="23">
        <f t="shared" si="4"/>
        <v>6000</v>
      </c>
      <c r="Y144" s="25" t="s">
        <v>655</v>
      </c>
      <c r="Z144" s="19" t="s">
        <v>51</v>
      </c>
      <c r="AA144" s="19" t="s">
        <v>93</v>
      </c>
      <c r="AB144" s="18" t="s">
        <v>652</v>
      </c>
      <c r="AC144" s="17" t="str">
        <f t="shared" si="5"/>
        <v>Y</v>
      </c>
      <c r="AD144" s="17" t="s">
        <v>95</v>
      </c>
      <c r="AF144" s="27" t="s">
        <v>55</v>
      </c>
      <c r="AG144" s="27" t="s">
        <v>55</v>
      </c>
      <c r="AI144" s="28" t="s">
        <v>57</v>
      </c>
    </row>
    <row r="145" spans="1:35" ht="34.950000000000003" customHeight="1" x14ac:dyDescent="0.4">
      <c r="A145" s="16" t="s">
        <v>36</v>
      </c>
      <c r="B145" s="16" t="s">
        <v>99</v>
      </c>
      <c r="C145" s="17">
        <v>45996</v>
      </c>
      <c r="D145" s="16" t="s">
        <v>642</v>
      </c>
      <c r="E145" s="16" t="s">
        <v>656</v>
      </c>
      <c r="F145" s="16">
        <v>27594</v>
      </c>
      <c r="G145" s="18" t="s">
        <v>657</v>
      </c>
      <c r="H145" s="16" t="s">
        <v>41</v>
      </c>
      <c r="I145" s="19" t="s">
        <v>99</v>
      </c>
      <c r="J145" s="16" t="str">
        <f>IFERROR(VLOOKUP(I145,[1]Sheet1!$A$1:$B$200,2,0),"_")</f>
        <v>IX</v>
      </c>
      <c r="K145" s="19" t="s">
        <v>219</v>
      </c>
      <c r="L145" s="16" t="str">
        <f>IFERROR(VLOOKUP(K145,[1]Sheet1!$A$1:$B$200,2,0),"-")</f>
        <v>NN</v>
      </c>
      <c r="M145" s="19" t="s">
        <v>658</v>
      </c>
      <c r="N145" s="16" t="str">
        <f>IFERROR(VLOOKUP(M145,[1]Sheet1!$G$2:$H$200,2,0),"-")</f>
        <v>PANO</v>
      </c>
      <c r="O145" s="18" t="s">
        <v>329</v>
      </c>
      <c r="P145" s="17">
        <v>46004</v>
      </c>
      <c r="Q145" s="20" t="s">
        <v>659</v>
      </c>
      <c r="R145" s="20" t="s">
        <v>660</v>
      </c>
      <c r="S145" s="21" t="str" cm="1">
        <f t="array" ref="S145">IF(
OR(AD145="",ISERROR(AD145)),
"-",
_xlfn.UNIQUE(_xlfn._xlws.FILTER([1]Sheet1!$D$2:$D$200,ISNUMBER(SEARCH(AD145,[1]Sheet1!$D$2:$D$200))))
)</f>
        <v>태성종합물류</v>
      </c>
      <c r="T145" s="22" t="s">
        <v>661</v>
      </c>
      <c r="U145" s="16" t="str" cm="1">
        <f t="array" ref="U145">IF(
OR(AD145="",ISERROR(AD145)),
"-",
_xlfn.UNIQUE(_xlfn._xlws.FILTER([1]Sheet1!$D$2:$D$200,ISNUMBER(SEARCH(AD145,[1]Sheet1!$D$2:$D$200))))
)</f>
        <v>태성종합물류</v>
      </c>
      <c r="V145" s="23">
        <v>359000</v>
      </c>
      <c r="W145" s="23">
        <v>334800</v>
      </c>
      <c r="X145" s="23">
        <f t="shared" si="4"/>
        <v>24200</v>
      </c>
      <c r="Y145" s="25" t="s">
        <v>662</v>
      </c>
      <c r="Z145" s="19" t="s">
        <v>51</v>
      </c>
      <c r="AA145" s="19" t="s">
        <v>663</v>
      </c>
      <c r="AB145" s="18" t="s">
        <v>664</v>
      </c>
      <c r="AC145" s="17" t="str">
        <f t="shared" si="5"/>
        <v>Y</v>
      </c>
      <c r="AD145" s="17" t="s">
        <v>82</v>
      </c>
      <c r="AF145" s="27" t="s">
        <v>55</v>
      </c>
      <c r="AG145" s="27" t="s">
        <v>55</v>
      </c>
      <c r="AI145" s="28" t="s">
        <v>57</v>
      </c>
    </row>
    <row r="146" spans="1:35" ht="34.950000000000003" customHeight="1" x14ac:dyDescent="0.4">
      <c r="A146" s="16" t="s">
        <v>36</v>
      </c>
      <c r="B146" s="16" t="s">
        <v>99</v>
      </c>
      <c r="C146" s="17">
        <v>45996</v>
      </c>
      <c r="D146" s="16" t="s">
        <v>642</v>
      </c>
      <c r="E146" s="16" t="s">
        <v>656</v>
      </c>
      <c r="F146" s="16">
        <v>27594</v>
      </c>
      <c r="G146" s="18" t="s">
        <v>657</v>
      </c>
      <c r="H146" s="16" t="s">
        <v>41</v>
      </c>
      <c r="I146" s="19" t="s">
        <v>99</v>
      </c>
      <c r="J146" s="16" t="str">
        <f>IFERROR(VLOOKUP(I146,[1]Sheet1!$A$1:$B$200,2,0),"_")</f>
        <v>IX</v>
      </c>
      <c r="K146" s="19" t="s">
        <v>219</v>
      </c>
      <c r="L146" s="16" t="str">
        <f>IFERROR(VLOOKUP(K146,[1]Sheet1!$A$1:$B$200,2,0),"-")</f>
        <v>NN</v>
      </c>
      <c r="M146" s="19" t="s">
        <v>658</v>
      </c>
      <c r="N146" s="16" t="str">
        <f>IFERROR(VLOOKUP(M146,[1]Sheet1!$G$2:$H$200,2,0),"-")</f>
        <v>PANO</v>
      </c>
      <c r="O146" s="18" t="s">
        <v>329</v>
      </c>
      <c r="P146" s="17">
        <v>46004</v>
      </c>
      <c r="Q146" s="20" t="s">
        <v>659</v>
      </c>
      <c r="R146" s="20" t="s">
        <v>660</v>
      </c>
      <c r="S146" s="21" t="str" cm="1">
        <f t="array" ref="S146">IF(
OR(AD146="",ISERROR(AD146)),
"-",
_xlfn.UNIQUE(_xlfn._xlws.FILTER([1]Sheet1!$D$2:$D$200,ISNUMBER(SEARCH(AD146,[1]Sheet1!$D$2:$D$200))))
)</f>
        <v>태성종합물류</v>
      </c>
      <c r="T146" s="22" t="s">
        <v>661</v>
      </c>
      <c r="U146" s="16" t="str" cm="1">
        <f t="array" ref="U146">IF(
OR(AD146="",ISERROR(AD146)),
"-",
_xlfn.UNIQUE(_xlfn._xlws.FILTER([1]Sheet1!$D$2:$D$200,ISNUMBER(SEARCH(AD146,[1]Sheet1!$D$2:$D$200))))
)</f>
        <v>태성종합물류</v>
      </c>
      <c r="V146" s="23">
        <v>359000</v>
      </c>
      <c r="W146" s="23">
        <v>334800</v>
      </c>
      <c r="X146" s="23">
        <f t="shared" si="4"/>
        <v>24200</v>
      </c>
      <c r="Y146" s="25" t="s">
        <v>662</v>
      </c>
      <c r="Z146" s="19" t="s">
        <v>51</v>
      </c>
      <c r="AA146" s="19" t="s">
        <v>663</v>
      </c>
      <c r="AB146" s="18" t="s">
        <v>664</v>
      </c>
      <c r="AC146" s="17" t="str">
        <f t="shared" si="5"/>
        <v>Y</v>
      </c>
      <c r="AD146" s="17" t="s">
        <v>82</v>
      </c>
      <c r="AF146" s="27" t="s">
        <v>55</v>
      </c>
      <c r="AG146" s="27" t="s">
        <v>55</v>
      </c>
      <c r="AI146" s="28" t="s">
        <v>57</v>
      </c>
    </row>
    <row r="147" spans="1:35" ht="34.950000000000003" customHeight="1" x14ac:dyDescent="0.4">
      <c r="A147" s="16" t="s">
        <v>71</v>
      </c>
      <c r="B147" s="16" t="s">
        <v>37</v>
      </c>
      <c r="C147" s="17">
        <v>45997</v>
      </c>
      <c r="D147" s="16" t="s">
        <v>628</v>
      </c>
      <c r="E147" s="16" t="s">
        <v>665</v>
      </c>
      <c r="F147" s="16">
        <v>28651</v>
      </c>
      <c r="G147" s="18" t="s">
        <v>666</v>
      </c>
      <c r="H147" s="16" t="s">
        <v>41</v>
      </c>
      <c r="I147" s="19" t="s">
        <v>272</v>
      </c>
      <c r="J147" s="16" t="str">
        <f>IFERROR(VLOOKUP(I147,[1]Sheet1!$A$1:$B$200,2,0),"_")</f>
        <v>Z9</v>
      </c>
      <c r="K147" s="19" t="s">
        <v>272</v>
      </c>
      <c r="L147" s="16" t="str">
        <f>IFERROR(VLOOKUP(K147,[1]Sheet1!$A$1:$B$200,2,0),"-")</f>
        <v>Z9</v>
      </c>
      <c r="M147" s="19" t="s">
        <v>667</v>
      </c>
      <c r="N147" s="16" t="str">
        <f>IFERROR(VLOOKUP(M147,[1]Sheet1!$G$2:$H$200,2,0),"-")</f>
        <v>CKCO</v>
      </c>
      <c r="O147" s="18" t="s">
        <v>55</v>
      </c>
      <c r="P147" s="17" t="s">
        <v>55</v>
      </c>
      <c r="Q147" s="20" t="s">
        <v>668</v>
      </c>
      <c r="R147" s="20"/>
      <c r="S147" s="21" t="str" cm="1">
        <f t="array" ref="S147">IF(
OR(AD147="",ISERROR(AD147)),
"-",
_xlfn.UNIQUE(_xlfn._xlws.FILTER([1]Sheet1!$D$2:$D$200,ISNUMBER(SEARCH(AD147,[1]Sheet1!$D$2:$D$200))))
)</f>
        <v>에스지로지스틱</v>
      </c>
      <c r="T147" s="22" t="s">
        <v>669</v>
      </c>
      <c r="U147" s="16" t="str" cm="1">
        <f t="array" ref="U147">IF(
OR(AD147="",ISERROR(AD147)),
"-",
_xlfn.UNIQUE(_xlfn._xlws.FILTER([1]Sheet1!$D$2:$D$200,ISNUMBER(SEARCH(AD147,[1]Sheet1!$D$2:$D$200))))
)</f>
        <v>에스지로지스틱</v>
      </c>
      <c r="V147" s="23">
        <v>394000</v>
      </c>
      <c r="W147" s="23">
        <v>369000</v>
      </c>
      <c r="X147" s="23">
        <f t="shared" si="4"/>
        <v>25000</v>
      </c>
      <c r="Y147" s="25" t="s">
        <v>670</v>
      </c>
      <c r="Z147" s="19" t="s">
        <v>51</v>
      </c>
      <c r="AA147" s="19" t="s">
        <v>472</v>
      </c>
      <c r="AC147" s="17" t="str">
        <f t="shared" si="5"/>
        <v>Y</v>
      </c>
      <c r="AD147" s="17" t="s">
        <v>184</v>
      </c>
      <c r="AF147" s="27" t="s">
        <v>55</v>
      </c>
      <c r="AG147" s="27" t="s">
        <v>55</v>
      </c>
      <c r="AI147" s="28" t="s">
        <v>57</v>
      </c>
    </row>
    <row r="148" spans="1:35" ht="34.950000000000003" customHeight="1" x14ac:dyDescent="0.4">
      <c r="A148" s="16" t="s">
        <v>71</v>
      </c>
      <c r="B148" s="16" t="s">
        <v>37</v>
      </c>
      <c r="C148" s="17">
        <v>45997</v>
      </c>
      <c r="D148" s="16" t="s">
        <v>628</v>
      </c>
      <c r="E148" s="16" t="s">
        <v>665</v>
      </c>
      <c r="F148" s="16">
        <v>28651</v>
      </c>
      <c r="G148" s="18" t="s">
        <v>666</v>
      </c>
      <c r="H148" s="16" t="s">
        <v>41</v>
      </c>
      <c r="I148" s="19" t="s">
        <v>272</v>
      </c>
      <c r="J148" s="16" t="str">
        <f>IFERROR(VLOOKUP(I148,[1]Sheet1!$A$1:$B$200,2,0),"_")</f>
        <v>Z9</v>
      </c>
      <c r="K148" s="19" t="s">
        <v>272</v>
      </c>
      <c r="L148" s="16" t="str">
        <f>IFERROR(VLOOKUP(K148,[1]Sheet1!$A$1:$B$200,2,0),"-")</f>
        <v>Z9</v>
      </c>
      <c r="M148" s="19" t="s">
        <v>667</v>
      </c>
      <c r="N148" s="16" t="str">
        <f>IFERROR(VLOOKUP(M148,[1]Sheet1!$G$2:$H$200,2,0),"-")</f>
        <v>CKCO</v>
      </c>
      <c r="O148" s="18" t="s">
        <v>55</v>
      </c>
      <c r="P148" s="17" t="s">
        <v>55</v>
      </c>
      <c r="Q148" s="20" t="s">
        <v>668</v>
      </c>
      <c r="R148" s="20"/>
      <c r="S148" s="21" t="str" cm="1">
        <f t="array" ref="S148">IF(
OR(AD148="",ISERROR(AD148)),
"-",
_xlfn.UNIQUE(_xlfn._xlws.FILTER([1]Sheet1!$D$2:$D$200,ISNUMBER(SEARCH(AD148,[1]Sheet1!$D$2:$D$200))))
)</f>
        <v>에스지로지스틱</v>
      </c>
      <c r="T148" s="22" t="s">
        <v>669</v>
      </c>
      <c r="U148" s="16" t="str" cm="1">
        <f t="array" ref="U148">IF(
OR(AD148="",ISERROR(AD148)),
"-",
_xlfn.UNIQUE(_xlfn._xlws.FILTER([1]Sheet1!$D$2:$D$200,ISNUMBER(SEARCH(AD148,[1]Sheet1!$D$2:$D$200))))
)</f>
        <v>에스지로지스틱</v>
      </c>
      <c r="V148" s="23">
        <v>20000</v>
      </c>
      <c r="W148" s="23">
        <v>20000</v>
      </c>
      <c r="X148" s="23">
        <f t="shared" si="4"/>
        <v>0</v>
      </c>
      <c r="Y148" s="25" t="s">
        <v>671</v>
      </c>
      <c r="Z148" s="19" t="s">
        <v>51</v>
      </c>
      <c r="AA148" s="19" t="s">
        <v>472</v>
      </c>
      <c r="AB148" s="18" t="s">
        <v>672</v>
      </c>
      <c r="AC148" s="17" t="str">
        <f t="shared" si="5"/>
        <v>Y</v>
      </c>
      <c r="AD148" s="17" t="s">
        <v>184</v>
      </c>
      <c r="AF148" s="27" t="s">
        <v>55</v>
      </c>
      <c r="AG148" s="27" t="s">
        <v>55</v>
      </c>
      <c r="AI148" s="28" t="s">
        <v>57</v>
      </c>
    </row>
    <row r="149" spans="1:35" ht="34.950000000000003" customHeight="1" x14ac:dyDescent="0.4">
      <c r="A149" s="16" t="s">
        <v>71</v>
      </c>
      <c r="B149" s="16" t="s">
        <v>37</v>
      </c>
      <c r="C149" s="17">
        <v>45997</v>
      </c>
      <c r="D149" s="16" t="s">
        <v>628</v>
      </c>
      <c r="E149" s="16" t="s">
        <v>665</v>
      </c>
      <c r="F149" s="16">
        <v>28651</v>
      </c>
      <c r="G149" s="18" t="s">
        <v>666</v>
      </c>
      <c r="H149" s="16" t="s">
        <v>41</v>
      </c>
      <c r="I149" s="19" t="s">
        <v>272</v>
      </c>
      <c r="J149" s="16" t="str">
        <f>IFERROR(VLOOKUP(I149,[1]Sheet1!$A$1:$B$200,2,0),"_")</f>
        <v>Z9</v>
      </c>
      <c r="K149" s="19" t="s">
        <v>272</v>
      </c>
      <c r="L149" s="16" t="str">
        <f>IFERROR(VLOOKUP(K149,[1]Sheet1!$A$1:$B$200,2,0),"-")</f>
        <v>Z9</v>
      </c>
      <c r="M149" s="19" t="s">
        <v>667</v>
      </c>
      <c r="N149" s="16" t="str">
        <f>IFERROR(VLOOKUP(M149,[1]Sheet1!$G$2:$H$200,2,0),"-")</f>
        <v>CKCO</v>
      </c>
      <c r="O149" s="18" t="s">
        <v>55</v>
      </c>
      <c r="P149" s="17" t="s">
        <v>55</v>
      </c>
      <c r="Q149" s="20" t="s">
        <v>673</v>
      </c>
      <c r="R149" s="20"/>
      <c r="S149" s="21" t="str" cm="1">
        <f t="array" ref="S149">IF(
OR(AD149="",ISERROR(AD149)),
"-",
_xlfn.UNIQUE(_xlfn._xlws.FILTER([1]Sheet1!$D$2:$D$200,ISNUMBER(SEARCH(AD149,[1]Sheet1!$D$2:$D$200))))
)</f>
        <v>에스지로지스틱</v>
      </c>
      <c r="T149" s="22" t="s">
        <v>674</v>
      </c>
      <c r="U149" s="16" t="str" cm="1">
        <f t="array" ref="U149">IF(
OR(AD149="",ISERROR(AD149)),
"-",
_xlfn.UNIQUE(_xlfn._xlws.FILTER([1]Sheet1!$D$2:$D$200,ISNUMBER(SEARCH(AD149,[1]Sheet1!$D$2:$D$200))))
)</f>
        <v>에스지로지스틱</v>
      </c>
      <c r="V149" s="23">
        <v>394000</v>
      </c>
      <c r="W149" s="23">
        <v>369000</v>
      </c>
      <c r="X149" s="23">
        <f t="shared" si="4"/>
        <v>25000</v>
      </c>
      <c r="Y149" s="25" t="s">
        <v>670</v>
      </c>
      <c r="Z149" s="19" t="s">
        <v>51</v>
      </c>
      <c r="AA149" s="19" t="s">
        <v>472</v>
      </c>
      <c r="AC149" s="17" t="str">
        <f t="shared" si="5"/>
        <v>Y</v>
      </c>
      <c r="AD149" s="17" t="s">
        <v>184</v>
      </c>
      <c r="AF149" s="27" t="s">
        <v>55</v>
      </c>
      <c r="AG149" s="27" t="s">
        <v>55</v>
      </c>
      <c r="AI149" s="28" t="s">
        <v>57</v>
      </c>
    </row>
    <row r="150" spans="1:35" ht="34.950000000000003" customHeight="1" x14ac:dyDescent="0.4">
      <c r="A150" s="16" t="s">
        <v>71</v>
      </c>
      <c r="B150" s="16" t="s">
        <v>37</v>
      </c>
      <c r="C150" s="17">
        <v>45997</v>
      </c>
      <c r="D150" s="16" t="s">
        <v>628</v>
      </c>
      <c r="E150" s="16" t="s">
        <v>665</v>
      </c>
      <c r="F150" s="16">
        <v>28651</v>
      </c>
      <c r="G150" s="18" t="s">
        <v>666</v>
      </c>
      <c r="H150" s="16" t="s">
        <v>41</v>
      </c>
      <c r="I150" s="19" t="s">
        <v>272</v>
      </c>
      <c r="J150" s="16" t="str">
        <f>IFERROR(VLOOKUP(I150,[1]Sheet1!$A$1:$B$200,2,0),"_")</f>
        <v>Z9</v>
      </c>
      <c r="K150" s="19" t="s">
        <v>272</v>
      </c>
      <c r="L150" s="16" t="str">
        <f>IFERROR(VLOOKUP(K150,[1]Sheet1!$A$1:$B$200,2,0),"-")</f>
        <v>Z9</v>
      </c>
      <c r="M150" s="19" t="s">
        <v>667</v>
      </c>
      <c r="N150" s="16" t="str">
        <f>IFERROR(VLOOKUP(M150,[1]Sheet1!$G$2:$H$200,2,0),"-")</f>
        <v>CKCO</v>
      </c>
      <c r="O150" s="18" t="s">
        <v>55</v>
      </c>
      <c r="P150" s="17" t="s">
        <v>55</v>
      </c>
      <c r="Q150" s="20" t="s">
        <v>673</v>
      </c>
      <c r="R150" s="20"/>
      <c r="S150" s="21" t="str" cm="1">
        <f t="array" ref="S150">IF(
OR(AD150="",ISERROR(AD150)),
"-",
_xlfn.UNIQUE(_xlfn._xlws.FILTER([1]Sheet1!$D$2:$D$200,ISNUMBER(SEARCH(AD150,[1]Sheet1!$D$2:$D$200))))
)</f>
        <v>에스지로지스틱</v>
      </c>
      <c r="T150" s="22" t="s">
        <v>674</v>
      </c>
      <c r="U150" s="16" t="str" cm="1">
        <f t="array" ref="U150">IF(
OR(AD150="",ISERROR(AD150)),
"-",
_xlfn.UNIQUE(_xlfn._xlws.FILTER([1]Sheet1!$D$2:$D$200,ISNUMBER(SEARCH(AD150,[1]Sheet1!$D$2:$D$200))))
)</f>
        <v>에스지로지스틱</v>
      </c>
      <c r="V150" s="23">
        <v>120000</v>
      </c>
      <c r="W150" s="23">
        <v>50000</v>
      </c>
      <c r="X150" s="23">
        <f t="shared" si="4"/>
        <v>70000</v>
      </c>
      <c r="Y150" s="25" t="s">
        <v>675</v>
      </c>
      <c r="Z150" s="19" t="s">
        <v>51</v>
      </c>
      <c r="AA150" s="19" t="s">
        <v>472</v>
      </c>
      <c r="AC150" s="17" t="str">
        <f t="shared" si="5"/>
        <v>Y</v>
      </c>
      <c r="AD150" s="17" t="s">
        <v>184</v>
      </c>
      <c r="AF150" s="27" t="s">
        <v>55</v>
      </c>
      <c r="AG150" s="27" t="s">
        <v>55</v>
      </c>
      <c r="AI150" s="28" t="s">
        <v>57</v>
      </c>
    </row>
    <row r="151" spans="1:35" ht="34.950000000000003" customHeight="1" x14ac:dyDescent="0.4">
      <c r="A151" s="16" t="s">
        <v>36</v>
      </c>
      <c r="B151" s="16" t="s">
        <v>37</v>
      </c>
      <c r="C151" s="17">
        <v>45999</v>
      </c>
      <c r="D151" s="16" t="s">
        <v>188</v>
      </c>
      <c r="E151" s="16" t="s">
        <v>189</v>
      </c>
      <c r="F151" s="16">
        <v>16959</v>
      </c>
      <c r="G151" s="18" t="s">
        <v>190</v>
      </c>
      <c r="H151" s="16" t="s">
        <v>41</v>
      </c>
      <c r="I151" s="19" t="s">
        <v>42</v>
      </c>
      <c r="J151" s="16" t="str">
        <f>IFERROR(VLOOKUP(I151,[1]Sheet1!$A$1:$B$200,2,0),"_")</f>
        <v>P</v>
      </c>
      <c r="K151" s="19" t="s">
        <v>42</v>
      </c>
      <c r="L151" s="16" t="str">
        <f>IFERROR(VLOOKUP(K151,[1]Sheet1!$A$1:$B$200,2,0),"-")</f>
        <v>P</v>
      </c>
      <c r="M151" s="19" t="s">
        <v>87</v>
      </c>
      <c r="N151" s="16" t="str">
        <f>IFERROR(VLOOKUP(M151,[1]Sheet1!$G$2:$H$200,2,0),"-")</f>
        <v>HDMU</v>
      </c>
      <c r="O151" s="27" t="s">
        <v>676</v>
      </c>
      <c r="P151" s="17">
        <v>46001</v>
      </c>
      <c r="Q151" s="20" t="s">
        <v>677</v>
      </c>
      <c r="R151" s="20" t="s">
        <v>678</v>
      </c>
      <c r="S151" s="21" t="str" cm="1">
        <f t="array" ref="S151">IF(
OR(AD151="",ISERROR(AD151)),
"-",
_xlfn.UNIQUE(_xlfn._xlws.FILTER([1]Sheet1!$D$2:$D$200,ISNUMBER(SEARCH(AD151,[1]Sheet1!$D$2:$D$200))))
)</f>
        <v>(주)부강에너지</v>
      </c>
      <c r="T151" s="22" t="s">
        <v>426</v>
      </c>
      <c r="U151" s="16" t="str" cm="1">
        <f t="array" ref="U151">IF(
OR(AD151="",ISERROR(AD151)),
"-",
_xlfn.UNIQUE(_xlfn._xlws.FILTER([1]Sheet1!$D$2:$D$200,ISNUMBER(SEARCH(AD151,[1]Sheet1!$D$2:$D$200))))
)</f>
        <v>(주)부강에너지</v>
      </c>
      <c r="V151" s="23">
        <v>250000</v>
      </c>
      <c r="W151" s="24">
        <v>220000</v>
      </c>
      <c r="X151" s="23">
        <f t="shared" si="4"/>
        <v>30000</v>
      </c>
      <c r="Y151" s="25" t="s">
        <v>679</v>
      </c>
      <c r="Z151" s="19" t="s">
        <v>51</v>
      </c>
      <c r="AA151" s="19" t="s">
        <v>81</v>
      </c>
      <c r="AB151" s="18" t="s">
        <v>526</v>
      </c>
      <c r="AC151" s="17" t="str">
        <f t="shared" si="5"/>
        <v>Y</v>
      </c>
      <c r="AD151" s="17" t="s">
        <v>197</v>
      </c>
      <c r="AF151" s="27" t="s">
        <v>55</v>
      </c>
      <c r="AG151" s="27" t="s">
        <v>55</v>
      </c>
      <c r="AI151" s="28" t="s">
        <v>57</v>
      </c>
    </row>
    <row r="152" spans="1:35" ht="34.950000000000003" customHeight="1" x14ac:dyDescent="0.4">
      <c r="A152" s="16" t="s">
        <v>36</v>
      </c>
      <c r="B152" s="16" t="s">
        <v>37</v>
      </c>
      <c r="C152" s="17">
        <v>45999</v>
      </c>
      <c r="D152" s="16" t="s">
        <v>188</v>
      </c>
      <c r="E152" s="16" t="s">
        <v>189</v>
      </c>
      <c r="F152" s="16">
        <v>16959</v>
      </c>
      <c r="G152" s="18" t="s">
        <v>190</v>
      </c>
      <c r="H152" s="16" t="s">
        <v>41</v>
      </c>
      <c r="I152" s="19" t="s">
        <v>42</v>
      </c>
      <c r="J152" s="16" t="str">
        <f>IFERROR(VLOOKUP(I152,[1]Sheet1!$A$1:$B$200,2,0),"_")</f>
        <v>P</v>
      </c>
      <c r="K152" s="19" t="s">
        <v>42</v>
      </c>
      <c r="L152" s="16" t="str">
        <f>IFERROR(VLOOKUP(K152,[1]Sheet1!$A$1:$B$200,2,0),"-")</f>
        <v>P</v>
      </c>
      <c r="M152" s="19" t="s">
        <v>87</v>
      </c>
      <c r="N152" s="16" t="str">
        <f>IFERROR(VLOOKUP(M152,[1]Sheet1!$G$2:$H$200,2,0),"-")</f>
        <v>HDMU</v>
      </c>
      <c r="O152" s="27" t="s">
        <v>676</v>
      </c>
      <c r="P152" s="17">
        <v>46001</v>
      </c>
      <c r="Q152" s="20" t="s">
        <v>677</v>
      </c>
      <c r="R152" s="20" t="s">
        <v>678</v>
      </c>
      <c r="S152" s="21" t="str" cm="1">
        <f t="array" ref="S152">IF(
OR(AD152="",ISERROR(AD152)),
"-",
_xlfn.UNIQUE(_xlfn._xlws.FILTER([1]Sheet1!$D$2:$D$200,ISNUMBER(SEARCH(AD152,[1]Sheet1!$D$2:$D$200))))
)</f>
        <v>(주)부강에너지</v>
      </c>
      <c r="T152" s="22" t="s">
        <v>426</v>
      </c>
      <c r="U152" s="16" t="str" cm="1">
        <f t="array" ref="U152">IF(
OR(AD152="",ISERROR(AD152)),
"-",
_xlfn.UNIQUE(_xlfn._xlws.FILTER([1]Sheet1!$D$2:$D$200,ISNUMBER(SEARCH(AD152,[1]Sheet1!$D$2:$D$200))))
)</f>
        <v>(주)부강에너지</v>
      </c>
      <c r="V152" s="23">
        <v>110000</v>
      </c>
      <c r="W152" s="24">
        <v>50000</v>
      </c>
      <c r="X152" s="23">
        <f t="shared" si="4"/>
        <v>60000</v>
      </c>
      <c r="Y152" s="25" t="s">
        <v>680</v>
      </c>
      <c r="Z152" s="19" t="s">
        <v>51</v>
      </c>
      <c r="AA152" s="19" t="s">
        <v>81</v>
      </c>
      <c r="AB152" s="18" t="s">
        <v>526</v>
      </c>
      <c r="AC152" s="17" t="str">
        <f t="shared" si="5"/>
        <v>Y</v>
      </c>
      <c r="AD152" s="17" t="s">
        <v>197</v>
      </c>
      <c r="AF152" s="27" t="s">
        <v>55</v>
      </c>
      <c r="AG152" s="27" t="s">
        <v>55</v>
      </c>
      <c r="AI152" s="28" t="s">
        <v>57</v>
      </c>
    </row>
    <row r="153" spans="1:35" ht="34.950000000000003" customHeight="1" x14ac:dyDescent="0.4">
      <c r="A153" s="16" t="s">
        <v>36</v>
      </c>
      <c r="B153" s="16" t="s">
        <v>37</v>
      </c>
      <c r="C153" s="17">
        <v>45999</v>
      </c>
      <c r="D153" s="16" t="s">
        <v>188</v>
      </c>
      <c r="E153" s="16" t="s">
        <v>189</v>
      </c>
      <c r="F153" s="16">
        <v>16959</v>
      </c>
      <c r="G153" s="18" t="s">
        <v>190</v>
      </c>
      <c r="H153" s="16" t="s">
        <v>41</v>
      </c>
      <c r="I153" s="19" t="s">
        <v>42</v>
      </c>
      <c r="J153" s="16" t="str">
        <f>IFERROR(VLOOKUP(I153,[1]Sheet1!$A$1:$B$200,2,0),"_")</f>
        <v>P</v>
      </c>
      <c r="K153" s="19" t="s">
        <v>42</v>
      </c>
      <c r="L153" s="16" t="str">
        <f>IFERROR(VLOOKUP(K153,[1]Sheet1!$A$1:$B$200,2,0),"-")</f>
        <v>P</v>
      </c>
      <c r="M153" s="19" t="s">
        <v>87</v>
      </c>
      <c r="N153" s="16" t="str">
        <f>IFERROR(VLOOKUP(M153,[1]Sheet1!$G$2:$H$200,2,0),"-")</f>
        <v>HDMU</v>
      </c>
      <c r="O153" s="27" t="s">
        <v>676</v>
      </c>
      <c r="P153" s="17">
        <v>46001</v>
      </c>
      <c r="Q153" s="20" t="s">
        <v>677</v>
      </c>
      <c r="R153" s="20" t="s">
        <v>678</v>
      </c>
      <c r="S153" s="21" t="str" cm="1">
        <f t="array" ref="S153">IF(
OR(AD153="",ISERROR(AD153)),
"-",
_xlfn.UNIQUE(_xlfn._xlws.FILTER([1]Sheet1!$D$2:$D$200,ISNUMBER(SEARCH(AD153,[1]Sheet1!$D$2:$D$200))))
)</f>
        <v>(주)부강에너지</v>
      </c>
      <c r="T153" s="22" t="s">
        <v>426</v>
      </c>
      <c r="U153" s="16" t="str" cm="1">
        <f t="array" ref="U153">IF(
OR(AD153="",ISERROR(AD153)),
"-",
_xlfn.UNIQUE(_xlfn._xlws.FILTER([1]Sheet1!$D$2:$D$200,ISNUMBER(SEARCH(AD153,[1]Sheet1!$D$2:$D$200))))
)</f>
        <v>(주)부강에너지</v>
      </c>
      <c r="V153" s="23">
        <v>30000</v>
      </c>
      <c r="W153" s="24">
        <v>30000</v>
      </c>
      <c r="X153" s="23">
        <f t="shared" si="4"/>
        <v>0</v>
      </c>
      <c r="Y153" s="25" t="s">
        <v>681</v>
      </c>
      <c r="Z153" s="19" t="s">
        <v>51</v>
      </c>
      <c r="AA153" s="19" t="s">
        <v>81</v>
      </c>
      <c r="AB153" s="18" t="s">
        <v>526</v>
      </c>
      <c r="AC153" s="17" t="str">
        <f t="shared" si="5"/>
        <v>Y</v>
      </c>
      <c r="AD153" s="17" t="s">
        <v>197</v>
      </c>
      <c r="AF153" s="27" t="s">
        <v>55</v>
      </c>
      <c r="AG153" s="27" t="s">
        <v>55</v>
      </c>
      <c r="AI153" s="28" t="s">
        <v>57</v>
      </c>
    </row>
    <row r="154" spans="1:35" ht="34.950000000000003" customHeight="1" x14ac:dyDescent="0.4">
      <c r="A154" s="16" t="s">
        <v>682</v>
      </c>
      <c r="B154" s="16" t="s">
        <v>683</v>
      </c>
      <c r="C154" s="17">
        <v>45999</v>
      </c>
      <c r="D154" s="16" t="s">
        <v>684</v>
      </c>
      <c r="E154" s="16" t="s">
        <v>685</v>
      </c>
      <c r="F154" s="16">
        <v>26699</v>
      </c>
      <c r="G154" s="18" t="s">
        <v>686</v>
      </c>
      <c r="H154" s="16" t="s">
        <v>687</v>
      </c>
      <c r="I154" s="19" t="s">
        <v>688</v>
      </c>
      <c r="J154" s="16" t="str">
        <f>IFERROR(VLOOKUP(I154,[1]Sheet1!$A$1:$B$200,2,0),"_")</f>
        <v>BT</v>
      </c>
      <c r="K154" s="19" t="s">
        <v>328</v>
      </c>
      <c r="L154" s="16" t="str">
        <f>IFERROR(VLOOKUP(K154,[1]Sheet1!$A$1:$B$200,2,0),"-")</f>
        <v>BT</v>
      </c>
      <c r="M154" s="19" t="s">
        <v>689</v>
      </c>
      <c r="N154" s="16" t="str">
        <f>IFERROR(VLOOKUP(M154,[1]Sheet1!$G$2:$H$200,2,0),"-")</f>
        <v>NSSL</v>
      </c>
      <c r="O154" s="18" t="s">
        <v>690</v>
      </c>
      <c r="P154" s="17" t="s">
        <v>690</v>
      </c>
      <c r="Q154" s="20" t="s">
        <v>691</v>
      </c>
      <c r="R154" s="20"/>
      <c r="S154" s="21" t="str" cm="1">
        <f t="array" ref="S154">IF(
OR(AD154="",ISERROR(AD154)),
"-",
_xlfn.UNIQUE(_xlfn._xlws.FILTER([1]Sheet1!$D$2:$D$200,ISNUMBER(SEARCH(AD154,[1]Sheet1!$D$2:$D$200))))
)</f>
        <v>에스지로지스틱</v>
      </c>
      <c r="T154" s="22" t="s">
        <v>692</v>
      </c>
      <c r="U154" s="16" t="str" cm="1">
        <f t="array" ref="U154">IF(
OR(AD154="",ISERROR(AD154)),
"-",
_xlfn.UNIQUE(_xlfn._xlws.FILTER([1]Sheet1!$D$2:$D$200,ISNUMBER(SEARCH(AD154,[1]Sheet1!$D$2:$D$200))))
)</f>
        <v>에스지로지스틱</v>
      </c>
      <c r="V154" s="23">
        <v>350000</v>
      </c>
      <c r="W154" s="23">
        <v>337000</v>
      </c>
      <c r="X154" s="23">
        <v>13000</v>
      </c>
      <c r="Y154" s="25" t="s">
        <v>693</v>
      </c>
      <c r="Z154" s="19" t="s">
        <v>51</v>
      </c>
      <c r="AA154" s="19" t="s">
        <v>663</v>
      </c>
      <c r="AC154" s="17" t="str">
        <f t="shared" si="5"/>
        <v>Y</v>
      </c>
      <c r="AD154" s="17" t="s">
        <v>694</v>
      </c>
      <c r="AF154" s="27" t="s">
        <v>55</v>
      </c>
      <c r="AG154" s="27" t="s">
        <v>55</v>
      </c>
      <c r="AI154" s="28" t="s">
        <v>57</v>
      </c>
    </row>
    <row r="155" spans="1:35" ht="34.950000000000003" customHeight="1" x14ac:dyDescent="0.4">
      <c r="A155" s="16" t="s">
        <v>682</v>
      </c>
      <c r="B155" s="16" t="s">
        <v>683</v>
      </c>
      <c r="C155" s="17">
        <v>45999</v>
      </c>
      <c r="D155" s="16" t="s">
        <v>695</v>
      </c>
      <c r="E155" s="16" t="s">
        <v>696</v>
      </c>
      <c r="F155" s="16">
        <v>12650</v>
      </c>
      <c r="G155" s="18" t="s">
        <v>697</v>
      </c>
      <c r="H155" s="16" t="s">
        <v>687</v>
      </c>
      <c r="I155" s="19" t="s">
        <v>272</v>
      </c>
      <c r="J155" s="16" t="str">
        <f>IFERROR(VLOOKUP(I155,[1]Sheet1!$A$1:$B$200,2,0),"_")</f>
        <v>Z9</v>
      </c>
      <c r="K155" s="19" t="s">
        <v>272</v>
      </c>
      <c r="L155" s="16" t="str">
        <f>IFERROR(VLOOKUP(K155,[1]Sheet1!$A$1:$B$200,2,0),"-")</f>
        <v>Z9</v>
      </c>
      <c r="M155" s="19" t="s">
        <v>667</v>
      </c>
      <c r="N155" s="16" t="str">
        <f>IFERROR(VLOOKUP(M155,[1]Sheet1!$G$2:$H$200,2,0),"-")</f>
        <v>CKCO</v>
      </c>
      <c r="O155" s="18" t="s">
        <v>690</v>
      </c>
      <c r="P155" s="17" t="s">
        <v>690</v>
      </c>
      <c r="Q155" s="20" t="s">
        <v>698</v>
      </c>
      <c r="R155" s="20"/>
      <c r="S155" s="21" t="str" cm="1">
        <f t="array" ref="S155">IF(
OR(AD155="",ISERROR(AD155)),
"-",
_xlfn.UNIQUE(_xlfn._xlws.FILTER([1]Sheet1!$D$2:$D$200,ISNUMBER(SEARCH(AD155,[1]Sheet1!$D$2:$D$200))))
)</f>
        <v>에스지로지스틱</v>
      </c>
      <c r="T155" s="22" t="s">
        <v>699</v>
      </c>
      <c r="U155" s="16" t="str" cm="1">
        <f t="array" ref="U155">IF(
OR(AD155="",ISERROR(AD155)),
"-",
_xlfn.UNIQUE(_xlfn._xlws.FILTER([1]Sheet1!$D$2:$D$200,ISNUMBER(SEARCH(AD155,[1]Sheet1!$D$2:$D$200))))
)</f>
        <v>에스지로지스틱</v>
      </c>
      <c r="V155" s="23">
        <v>415000</v>
      </c>
      <c r="W155" s="23">
        <v>388000</v>
      </c>
      <c r="X155" s="23">
        <v>27000</v>
      </c>
      <c r="Y155" s="25" t="s">
        <v>700</v>
      </c>
      <c r="Z155" s="19" t="s">
        <v>51</v>
      </c>
      <c r="AA155" s="19" t="s">
        <v>701</v>
      </c>
      <c r="AC155" s="17" t="str">
        <f t="shared" si="5"/>
        <v>Y</v>
      </c>
      <c r="AD155" s="17" t="s">
        <v>184</v>
      </c>
      <c r="AF155" s="27" t="s">
        <v>55</v>
      </c>
      <c r="AG155" s="27" t="s">
        <v>55</v>
      </c>
      <c r="AI155" s="28" t="s">
        <v>57</v>
      </c>
    </row>
    <row r="156" spans="1:35" ht="34.950000000000003" customHeight="1" x14ac:dyDescent="0.4">
      <c r="A156" s="16" t="s">
        <v>36</v>
      </c>
      <c r="B156" s="16" t="s">
        <v>99</v>
      </c>
      <c r="C156" s="17">
        <v>45999</v>
      </c>
      <c r="D156" s="16" t="s">
        <v>261</v>
      </c>
      <c r="E156" s="16" t="s">
        <v>702</v>
      </c>
      <c r="F156" s="16">
        <v>26486</v>
      </c>
      <c r="G156" s="18" t="s">
        <v>703</v>
      </c>
      <c r="H156" s="16" t="s">
        <v>75</v>
      </c>
      <c r="I156" s="19" t="s">
        <v>129</v>
      </c>
      <c r="J156" s="16" t="str">
        <f>IFERROR(VLOOKUP(I156,[1]Sheet1!$A$1:$B$200,2,0),"_")</f>
        <v>E1</v>
      </c>
      <c r="K156" s="19" t="s">
        <v>129</v>
      </c>
      <c r="L156" s="16" t="str">
        <f>IFERROR(VLOOKUP(K156,[1]Sheet1!$A$1:$B$200,2,0),"-")</f>
        <v>E1</v>
      </c>
      <c r="M156" s="19" t="s">
        <v>578</v>
      </c>
      <c r="N156" s="16" t="str">
        <f>IFERROR(VLOOKUP(M156,[1]Sheet1!$G$2:$H$200,2,0),"-")</f>
        <v>PCSL</v>
      </c>
      <c r="O156" s="18" t="s">
        <v>704</v>
      </c>
      <c r="P156" s="17">
        <v>46002</v>
      </c>
      <c r="Q156" s="20" t="s">
        <v>705</v>
      </c>
      <c r="R156" s="20" t="s">
        <v>706</v>
      </c>
      <c r="S156" s="21" t="str" cm="1">
        <f t="array" ref="S156">IF(
OR(AD156="",ISERROR(AD156)),
"-",
_xlfn.UNIQUE(_xlfn._xlws.FILTER([1]Sheet1!$D$2:$D$200,ISNUMBER(SEARCH(AD156,[1]Sheet1!$D$2:$D$200))))
)</f>
        <v>태성종합물류</v>
      </c>
      <c r="T156" s="22" t="s">
        <v>707</v>
      </c>
      <c r="U156" s="16" t="str" cm="1">
        <f t="array" ref="U156">IF(
OR(AD156="",ISERROR(AD156)),
"-",
_xlfn.UNIQUE(_xlfn._xlws.FILTER([1]Sheet1!$D$2:$D$200,ISNUMBER(SEARCH(AD156,[1]Sheet1!$D$2:$D$200))))
)</f>
        <v>태성종합물류</v>
      </c>
      <c r="V156" s="23">
        <v>198000</v>
      </c>
      <c r="W156" s="23">
        <v>184400</v>
      </c>
      <c r="X156" s="23">
        <f t="shared" ref="X156:X221" si="6">V156-W156</f>
        <v>13600</v>
      </c>
      <c r="Y156" s="25" t="s">
        <v>708</v>
      </c>
      <c r="Z156" s="19" t="s">
        <v>51</v>
      </c>
      <c r="AA156" s="19" t="s">
        <v>93</v>
      </c>
      <c r="AC156" s="17" t="str">
        <f t="shared" si="5"/>
        <v>Y</v>
      </c>
      <c r="AD156" s="17" t="s">
        <v>82</v>
      </c>
      <c r="AF156" s="27" t="s">
        <v>55</v>
      </c>
      <c r="AG156" s="27" t="s">
        <v>55</v>
      </c>
      <c r="AI156" s="28" t="s">
        <v>57</v>
      </c>
    </row>
    <row r="157" spans="1:35" ht="34.950000000000003" customHeight="1" x14ac:dyDescent="0.4">
      <c r="A157" s="16" t="s">
        <v>36</v>
      </c>
      <c r="B157" s="16" t="s">
        <v>99</v>
      </c>
      <c r="C157" s="17">
        <v>45999</v>
      </c>
      <c r="D157" s="16" t="s">
        <v>261</v>
      </c>
      <c r="E157" s="16" t="s">
        <v>709</v>
      </c>
      <c r="F157" s="16">
        <v>28816</v>
      </c>
      <c r="G157" s="18" t="s">
        <v>710</v>
      </c>
      <c r="H157" s="16" t="s">
        <v>711</v>
      </c>
      <c r="I157" s="19" t="s">
        <v>76</v>
      </c>
      <c r="J157" s="16" t="str">
        <f>IFERROR(VLOOKUP(I157,[1]Sheet1!$A$1:$B$200,2,0),"_")</f>
        <v>NJ</v>
      </c>
      <c r="K157" s="19" t="s">
        <v>76</v>
      </c>
      <c r="L157" s="16" t="str">
        <f>IFERROR(VLOOKUP(K157,[1]Sheet1!$A$1:$B$200,2,0),"-")</f>
        <v>NJ</v>
      </c>
      <c r="M157" s="19" t="s">
        <v>578</v>
      </c>
      <c r="N157" s="16" t="str">
        <f>IFERROR(VLOOKUP(M157,[1]Sheet1!$G$2:$H$200,2,0),"-")</f>
        <v>PCSL</v>
      </c>
      <c r="O157" s="18" t="s">
        <v>712</v>
      </c>
      <c r="P157" s="17">
        <v>46004</v>
      </c>
      <c r="Q157" s="20" t="s">
        <v>713</v>
      </c>
      <c r="R157" s="20" t="s">
        <v>714</v>
      </c>
      <c r="S157" s="21" t="str" cm="1">
        <f t="array" ref="S157">IF(
OR(AD157="",ISERROR(AD157)),
"-",
_xlfn.UNIQUE(_xlfn._xlws.FILTER([1]Sheet1!$D$2:$D$200,ISNUMBER(SEARCH(AD157,[1]Sheet1!$D$2:$D$200))))
)</f>
        <v>태성종합물류</v>
      </c>
      <c r="T157" s="22" t="s">
        <v>715</v>
      </c>
      <c r="U157" s="16" t="str" cm="1">
        <f t="array" ref="U157">IF(
OR(AD157="",ISERROR(AD157)),
"-",
_xlfn.UNIQUE(_xlfn._xlws.FILTER([1]Sheet1!$D$2:$D$200,ISNUMBER(SEARCH(AD157,[1]Sheet1!$D$2:$D$200))))
)</f>
        <v>태성종합물류</v>
      </c>
      <c r="V157" s="23">
        <v>285000</v>
      </c>
      <c r="W157" s="23">
        <v>269300</v>
      </c>
      <c r="X157" s="23">
        <f t="shared" si="6"/>
        <v>15700</v>
      </c>
      <c r="Y157" s="25" t="s">
        <v>716</v>
      </c>
      <c r="Z157" s="19" t="s">
        <v>51</v>
      </c>
      <c r="AA157" s="19" t="s">
        <v>93</v>
      </c>
      <c r="AB157" s="30" t="s">
        <v>717</v>
      </c>
      <c r="AC157" s="17" t="str">
        <f t="shared" si="5"/>
        <v>Y</v>
      </c>
      <c r="AD157" s="17" t="s">
        <v>82</v>
      </c>
      <c r="AF157" s="27" t="s">
        <v>55</v>
      </c>
      <c r="AG157" s="27" t="s">
        <v>55</v>
      </c>
      <c r="AI157" s="28" t="s">
        <v>57</v>
      </c>
    </row>
    <row r="158" spans="1:35" ht="34.950000000000003" customHeight="1" x14ac:dyDescent="0.4">
      <c r="A158" s="16" t="s">
        <v>36</v>
      </c>
      <c r="B158" s="16" t="s">
        <v>99</v>
      </c>
      <c r="C158" s="17">
        <v>45999</v>
      </c>
      <c r="D158" s="16" t="s">
        <v>261</v>
      </c>
      <c r="E158" s="16" t="s">
        <v>709</v>
      </c>
      <c r="F158" s="16">
        <v>28816</v>
      </c>
      <c r="G158" s="18" t="s">
        <v>710</v>
      </c>
      <c r="H158" s="16" t="s">
        <v>711</v>
      </c>
      <c r="I158" s="19" t="s">
        <v>76</v>
      </c>
      <c r="J158" s="16" t="str">
        <f>IFERROR(VLOOKUP(I158,[1]Sheet1!$A$1:$B$200,2,0),"_")</f>
        <v>NJ</v>
      </c>
      <c r="K158" s="19" t="s">
        <v>76</v>
      </c>
      <c r="L158" s="16" t="str">
        <f>IFERROR(VLOOKUP(K158,[1]Sheet1!$A$1:$B$200,2,0),"-")</f>
        <v>NJ</v>
      </c>
      <c r="M158" s="19" t="s">
        <v>578</v>
      </c>
      <c r="N158" s="16" t="str">
        <f>IFERROR(VLOOKUP(M158,[1]Sheet1!$G$2:$H$200,2,0),"-")</f>
        <v>PCSL</v>
      </c>
      <c r="O158" s="18" t="s">
        <v>712</v>
      </c>
      <c r="P158" s="17">
        <v>46004</v>
      </c>
      <c r="Q158" s="20" t="s">
        <v>718</v>
      </c>
      <c r="R158" s="20" t="s">
        <v>719</v>
      </c>
      <c r="S158" s="21" t="str" cm="1">
        <f t="array" ref="S158">IF(
OR(AD158="",ISERROR(AD158)),
"-",
_xlfn.UNIQUE(_xlfn._xlws.FILTER([1]Sheet1!$D$2:$D$200,ISNUMBER(SEARCH(AD158,[1]Sheet1!$D$2:$D$200))))
)</f>
        <v>태성종합물류</v>
      </c>
      <c r="T158" s="22" t="s">
        <v>720</v>
      </c>
      <c r="U158" s="16" t="str" cm="1">
        <f t="array" ref="U158">IF(
OR(AD158="",ISERROR(AD158)),
"-",
_xlfn.UNIQUE(_xlfn._xlws.FILTER([1]Sheet1!$D$2:$D$200,ISNUMBER(SEARCH(AD158,[1]Sheet1!$D$2:$D$200))))
)</f>
        <v>태성종합물류</v>
      </c>
      <c r="V158" s="23">
        <v>285000</v>
      </c>
      <c r="W158" s="23">
        <v>269300</v>
      </c>
      <c r="X158" s="23">
        <f t="shared" si="6"/>
        <v>15700</v>
      </c>
      <c r="Y158" s="25" t="s">
        <v>716</v>
      </c>
      <c r="Z158" s="19" t="s">
        <v>51</v>
      </c>
      <c r="AA158" s="19" t="s">
        <v>93</v>
      </c>
      <c r="AB158" s="30" t="s">
        <v>717</v>
      </c>
      <c r="AC158" s="17" t="str">
        <f t="shared" si="5"/>
        <v>Y</v>
      </c>
      <c r="AD158" s="17" t="s">
        <v>82</v>
      </c>
      <c r="AF158" s="27" t="s">
        <v>55</v>
      </c>
      <c r="AG158" s="27" t="s">
        <v>55</v>
      </c>
      <c r="AI158" s="28" t="s">
        <v>57</v>
      </c>
    </row>
    <row r="159" spans="1:35" ht="34.950000000000003" customHeight="1" x14ac:dyDescent="0.4">
      <c r="A159" s="16" t="s">
        <v>36</v>
      </c>
      <c r="B159" s="16" t="s">
        <v>99</v>
      </c>
      <c r="C159" s="17">
        <v>45999</v>
      </c>
      <c r="D159" s="16" t="s">
        <v>261</v>
      </c>
      <c r="E159" s="16" t="s">
        <v>709</v>
      </c>
      <c r="F159" s="16">
        <v>28816</v>
      </c>
      <c r="G159" s="18" t="s">
        <v>710</v>
      </c>
      <c r="H159" s="16" t="s">
        <v>721</v>
      </c>
      <c r="I159" s="19" t="s">
        <v>76</v>
      </c>
      <c r="J159" s="16" t="str">
        <f>IFERROR(VLOOKUP(I159,[1]Sheet1!$A$1:$B$200,2,0),"_")</f>
        <v>NJ</v>
      </c>
      <c r="K159" s="19" t="s">
        <v>76</v>
      </c>
      <c r="L159" s="16" t="str">
        <f>IFERROR(VLOOKUP(K159,[1]Sheet1!$A$1:$B$200,2,0),"-")</f>
        <v>NJ</v>
      </c>
      <c r="M159" s="19" t="s">
        <v>578</v>
      </c>
      <c r="N159" s="16" t="str">
        <f>IFERROR(VLOOKUP(M159,[1]Sheet1!$G$2:$H$200,2,0),"-")</f>
        <v>PCSL</v>
      </c>
      <c r="O159" s="18" t="s">
        <v>712</v>
      </c>
      <c r="P159" s="17">
        <v>46004</v>
      </c>
      <c r="Q159" s="20" t="s">
        <v>722</v>
      </c>
      <c r="R159" s="20" t="s">
        <v>723</v>
      </c>
      <c r="S159" s="21" t="str" cm="1">
        <f t="array" ref="S159">IF(
OR(AD159="",ISERROR(AD159)),
"-",
_xlfn.UNIQUE(_xlfn._xlws.FILTER([1]Sheet1!$D$2:$D$200,ISNUMBER(SEARCH(AD159,[1]Sheet1!$D$2:$D$200))))
)</f>
        <v>동화로지스틱스</v>
      </c>
      <c r="T159" s="22" t="s">
        <v>724</v>
      </c>
      <c r="U159" s="16" t="str" cm="1">
        <f t="array" ref="U159">IF(
OR(AD159="",ISERROR(AD159)),
"-",
_xlfn.UNIQUE(_xlfn._xlws.FILTER([1]Sheet1!$D$2:$D$200,ISNUMBER(SEARCH(AD159,[1]Sheet1!$D$2:$D$200))))
)</f>
        <v>동화로지스틱스</v>
      </c>
      <c r="V159" s="23">
        <v>560000</v>
      </c>
      <c r="W159" s="23">
        <v>370000</v>
      </c>
      <c r="X159" s="23">
        <f t="shared" si="6"/>
        <v>190000</v>
      </c>
      <c r="Y159" s="25" t="s">
        <v>725</v>
      </c>
      <c r="Z159" s="19" t="s">
        <v>51</v>
      </c>
      <c r="AA159" s="19" t="s">
        <v>93</v>
      </c>
      <c r="AB159" s="30" t="s">
        <v>726</v>
      </c>
      <c r="AC159" s="17" t="str">
        <f t="shared" si="5"/>
        <v>Y</v>
      </c>
      <c r="AD159" s="17" t="s">
        <v>727</v>
      </c>
      <c r="AF159" s="27" t="s">
        <v>55</v>
      </c>
      <c r="AG159" s="27" t="s">
        <v>55</v>
      </c>
      <c r="AI159" s="28" t="s">
        <v>57</v>
      </c>
    </row>
    <row r="160" spans="1:35" ht="34.950000000000003" customHeight="1" x14ac:dyDescent="0.4">
      <c r="A160" s="16" t="s">
        <v>36</v>
      </c>
      <c r="B160" s="16" t="s">
        <v>37</v>
      </c>
      <c r="C160" s="17">
        <v>45999</v>
      </c>
      <c r="D160" s="16" t="s">
        <v>248</v>
      </c>
      <c r="E160" s="16" t="s">
        <v>728</v>
      </c>
      <c r="F160" s="16">
        <v>27897</v>
      </c>
      <c r="G160" s="18" t="s">
        <v>729</v>
      </c>
      <c r="H160" s="16" t="s">
        <v>75</v>
      </c>
      <c r="I160" s="19" t="s">
        <v>219</v>
      </c>
      <c r="J160" s="16" t="str">
        <f>IFERROR(VLOOKUP(I160,[1]Sheet1!$A$1:$B$200,2,0),"_")</f>
        <v>NN</v>
      </c>
      <c r="K160" s="19" t="s">
        <v>730</v>
      </c>
      <c r="L160" s="16" t="str">
        <f>IFERROR(VLOOKUP(K160,[1]Sheet1!$A$1:$B$200,2,0),"-")</f>
        <v>TG</v>
      </c>
      <c r="M160" s="19" t="s">
        <v>566</v>
      </c>
      <c r="N160" s="16" t="str">
        <f>IFERROR(VLOOKUP(M160,[1]Sheet1!$G$2:$H$200,2,0),"-")</f>
        <v>WHLU</v>
      </c>
      <c r="O160" s="18" t="s">
        <v>731</v>
      </c>
      <c r="P160" s="17">
        <v>46001</v>
      </c>
      <c r="Q160" s="20" t="s">
        <v>732</v>
      </c>
      <c r="R160" s="20" t="s">
        <v>733</v>
      </c>
      <c r="S160" s="21" t="str" cm="1">
        <f t="array" ref="S160">IF(
OR(AD160="",ISERROR(AD160)),
"-",
_xlfn.UNIQUE(_xlfn._xlws.FILTER([1]Sheet1!$D$2:$D$200,ISNUMBER(SEARCH(AD160,[1]Sheet1!$D$2:$D$200))))
)</f>
        <v>천일정기화물</v>
      </c>
      <c r="T160" s="22" t="s">
        <v>734</v>
      </c>
      <c r="U160" s="16" t="str" cm="1">
        <f t="array" ref="U160">IF(
OR(AD160="",ISERROR(AD160)),
"-",
_xlfn.UNIQUE(_xlfn._xlws.FILTER([1]Sheet1!$D$2:$D$200,ISNUMBER(SEARCH(AD160,[1]Sheet1!$D$2:$D$200))))
)</f>
        <v>천일정기화물</v>
      </c>
      <c r="V160" s="23">
        <v>623000</v>
      </c>
      <c r="W160" s="23">
        <v>552000</v>
      </c>
      <c r="X160" s="23">
        <f t="shared" si="6"/>
        <v>71000</v>
      </c>
      <c r="Y160" s="25" t="s">
        <v>735</v>
      </c>
      <c r="Z160" s="19" t="s">
        <v>51</v>
      </c>
      <c r="AA160" s="19" t="s">
        <v>144</v>
      </c>
      <c r="AB160" s="18" t="s">
        <v>736</v>
      </c>
      <c r="AC160" s="17" t="str">
        <f t="shared" si="5"/>
        <v>Y</v>
      </c>
      <c r="AD160" s="17" t="s">
        <v>737</v>
      </c>
      <c r="AF160" s="27" t="s">
        <v>55</v>
      </c>
      <c r="AG160" s="27" t="s">
        <v>55</v>
      </c>
      <c r="AI160" s="28" t="s">
        <v>57</v>
      </c>
    </row>
    <row r="161" spans="1:35" ht="34.950000000000003" customHeight="1" x14ac:dyDescent="0.4">
      <c r="A161" s="16" t="s">
        <v>36</v>
      </c>
      <c r="B161" s="16" t="s">
        <v>37</v>
      </c>
      <c r="C161" s="17">
        <v>45999</v>
      </c>
      <c r="D161" s="16" t="s">
        <v>248</v>
      </c>
      <c r="E161" s="16" t="s">
        <v>728</v>
      </c>
      <c r="F161" s="16">
        <v>27897</v>
      </c>
      <c r="G161" s="18" t="s">
        <v>729</v>
      </c>
      <c r="H161" s="16" t="s">
        <v>75</v>
      </c>
      <c r="I161" s="19" t="s">
        <v>219</v>
      </c>
      <c r="J161" s="16" t="str">
        <f>IFERROR(VLOOKUP(I161,[1]Sheet1!$A$1:$B$200,2,0),"_")</f>
        <v>NN</v>
      </c>
      <c r="K161" s="19" t="s">
        <v>730</v>
      </c>
      <c r="L161" s="16" t="str">
        <f>IFERROR(VLOOKUP(K161,[1]Sheet1!$A$1:$B$200,2,0),"-")</f>
        <v>TG</v>
      </c>
      <c r="M161" s="19" t="s">
        <v>566</v>
      </c>
      <c r="N161" s="16" t="str">
        <f>IFERROR(VLOOKUP(M161,[1]Sheet1!$G$2:$H$200,2,0),"-")</f>
        <v>WHLU</v>
      </c>
      <c r="O161" s="18" t="s">
        <v>731</v>
      </c>
      <c r="P161" s="17">
        <v>46001</v>
      </c>
      <c r="Q161" s="20" t="s">
        <v>732</v>
      </c>
      <c r="R161" s="20" t="s">
        <v>733</v>
      </c>
      <c r="S161" s="21" t="str" cm="1">
        <f t="array" ref="S161">IF(
OR(AD161="",ISERROR(AD161)),
"-",
_xlfn.UNIQUE(_xlfn._xlws.FILTER([1]Sheet1!$D$2:$D$200,ISNUMBER(SEARCH(AD161,[1]Sheet1!$D$2:$D$200))))
)</f>
        <v>천일정기화물</v>
      </c>
      <c r="T161" s="22" t="s">
        <v>734</v>
      </c>
      <c r="U161" s="16" t="str" cm="1">
        <f t="array" ref="U161">IF(
OR(AD161="",ISERROR(AD161)),
"-",
_xlfn.UNIQUE(_xlfn._xlws.FILTER([1]Sheet1!$D$2:$D$200,ISNUMBER(SEARCH(AD161,[1]Sheet1!$D$2:$D$200))))
)</f>
        <v>천일정기화물</v>
      </c>
      <c r="V161" s="23">
        <v>100000</v>
      </c>
      <c r="W161" s="23">
        <v>60000</v>
      </c>
      <c r="X161" s="23">
        <f t="shared" si="6"/>
        <v>40000</v>
      </c>
      <c r="Y161" s="25" t="s">
        <v>738</v>
      </c>
      <c r="Z161" s="19" t="s">
        <v>51</v>
      </c>
      <c r="AA161" s="19" t="s">
        <v>144</v>
      </c>
      <c r="AB161" s="18" t="s">
        <v>736</v>
      </c>
      <c r="AC161" s="17" t="str">
        <f t="shared" si="5"/>
        <v>Y</v>
      </c>
      <c r="AD161" s="17" t="s">
        <v>737</v>
      </c>
      <c r="AF161" s="27" t="s">
        <v>55</v>
      </c>
      <c r="AG161" s="27" t="s">
        <v>55</v>
      </c>
      <c r="AI161" s="28" t="s">
        <v>57</v>
      </c>
    </row>
    <row r="162" spans="1:35" ht="34.950000000000003" customHeight="1" x14ac:dyDescent="0.4">
      <c r="A162" s="16" t="s">
        <v>36</v>
      </c>
      <c r="B162" s="16" t="s">
        <v>37</v>
      </c>
      <c r="C162" s="17">
        <v>45999</v>
      </c>
      <c r="D162" s="16" t="s">
        <v>248</v>
      </c>
      <c r="E162" s="16" t="s">
        <v>728</v>
      </c>
      <c r="F162" s="16">
        <v>27897</v>
      </c>
      <c r="G162" s="18" t="s">
        <v>729</v>
      </c>
      <c r="H162" s="16" t="s">
        <v>75</v>
      </c>
      <c r="I162" s="19" t="s">
        <v>219</v>
      </c>
      <c r="J162" s="16" t="str">
        <f>IFERROR(VLOOKUP(I162,[1]Sheet1!$A$1:$B$200,2,0),"_")</f>
        <v>NN</v>
      </c>
      <c r="K162" s="19" t="s">
        <v>730</v>
      </c>
      <c r="L162" s="16" t="str">
        <f>IFERROR(VLOOKUP(K162,[1]Sheet1!$A$1:$B$200,2,0),"-")</f>
        <v>TG</v>
      </c>
      <c r="M162" s="19" t="s">
        <v>566</v>
      </c>
      <c r="N162" s="16" t="str">
        <f>IFERROR(VLOOKUP(M162,[1]Sheet1!$G$2:$H$200,2,0),"-")</f>
        <v>WHLU</v>
      </c>
      <c r="O162" s="18" t="s">
        <v>731</v>
      </c>
      <c r="P162" s="17">
        <v>46001</v>
      </c>
      <c r="Q162" s="20" t="s">
        <v>732</v>
      </c>
      <c r="R162" s="20" t="s">
        <v>733</v>
      </c>
      <c r="S162" s="21" t="str" cm="1">
        <f t="array" ref="S162">IF(
OR(AD162="",ISERROR(AD162)),
"-",
_xlfn.UNIQUE(_xlfn._xlws.FILTER([1]Sheet1!$D$2:$D$200,ISNUMBER(SEARCH(AD162,[1]Sheet1!$D$2:$D$200))))
)</f>
        <v>천일정기화물</v>
      </c>
      <c r="T162" s="22" t="s">
        <v>734</v>
      </c>
      <c r="U162" s="16" t="str" cm="1">
        <f t="array" ref="U162">IF(
OR(AD162="",ISERROR(AD162)),
"-",
_xlfn.UNIQUE(_xlfn._xlws.FILTER([1]Sheet1!$D$2:$D$200,ISNUMBER(SEARCH(AD162,[1]Sheet1!$D$2:$D$200))))
)</f>
        <v>천일정기화물</v>
      </c>
      <c r="V162" s="23">
        <v>10000</v>
      </c>
      <c r="W162" s="23">
        <v>10000</v>
      </c>
      <c r="X162" s="23">
        <f t="shared" si="6"/>
        <v>0</v>
      </c>
      <c r="Y162" s="25" t="s">
        <v>739</v>
      </c>
      <c r="Z162" s="19" t="s">
        <v>51</v>
      </c>
      <c r="AA162" s="19" t="s">
        <v>144</v>
      </c>
      <c r="AB162" s="18" t="s">
        <v>736</v>
      </c>
      <c r="AC162" s="17" t="str">
        <f t="shared" si="5"/>
        <v>Y</v>
      </c>
      <c r="AD162" s="17" t="s">
        <v>737</v>
      </c>
      <c r="AF162" s="27" t="s">
        <v>55</v>
      </c>
      <c r="AG162" s="27" t="s">
        <v>55</v>
      </c>
      <c r="AI162" s="28" t="s">
        <v>57</v>
      </c>
    </row>
    <row r="163" spans="1:35" ht="34.950000000000003" customHeight="1" x14ac:dyDescent="0.4">
      <c r="A163" s="16" t="s">
        <v>36</v>
      </c>
      <c r="B163" s="16" t="s">
        <v>37</v>
      </c>
      <c r="C163" s="17">
        <v>45999</v>
      </c>
      <c r="D163" s="16" t="s">
        <v>248</v>
      </c>
      <c r="E163" s="16" t="s">
        <v>728</v>
      </c>
      <c r="F163" s="16">
        <v>27897</v>
      </c>
      <c r="G163" s="18" t="s">
        <v>729</v>
      </c>
      <c r="H163" s="16" t="s">
        <v>75</v>
      </c>
      <c r="I163" s="19" t="s">
        <v>219</v>
      </c>
      <c r="J163" s="16" t="str">
        <f>IFERROR(VLOOKUP(I163,[1]Sheet1!$A$1:$B$200,2,0),"_")</f>
        <v>NN</v>
      </c>
      <c r="K163" s="19" t="s">
        <v>730</v>
      </c>
      <c r="L163" s="16" t="str">
        <f>IFERROR(VLOOKUP(K163,[1]Sheet1!$A$1:$B$200,2,0),"-")</f>
        <v>TG</v>
      </c>
      <c r="M163" s="19" t="s">
        <v>566</v>
      </c>
      <c r="N163" s="16" t="str">
        <f>IFERROR(VLOOKUP(M163,[1]Sheet1!$G$2:$H$200,2,0),"-")</f>
        <v>WHLU</v>
      </c>
      <c r="O163" s="18" t="s">
        <v>731</v>
      </c>
      <c r="P163" s="17">
        <v>46001</v>
      </c>
      <c r="Q163" s="20" t="s">
        <v>740</v>
      </c>
      <c r="R163" s="20" t="s">
        <v>741</v>
      </c>
      <c r="S163" s="21" t="str" cm="1">
        <f t="array" ref="S163">IF(
OR(AD163="",ISERROR(AD163)),
"-",
_xlfn.UNIQUE(_xlfn._xlws.FILTER([1]Sheet1!$D$2:$D$200,ISNUMBER(SEARCH(AD163,[1]Sheet1!$D$2:$D$200))))
)</f>
        <v>천일정기화물</v>
      </c>
      <c r="T163" s="22" t="s">
        <v>742</v>
      </c>
      <c r="U163" s="16" t="str" cm="1">
        <f t="array" ref="U163">IF(
OR(AD163="",ISERROR(AD163)),
"-",
_xlfn.UNIQUE(_xlfn._xlws.FILTER([1]Sheet1!$D$2:$D$200,ISNUMBER(SEARCH(AD163,[1]Sheet1!$D$2:$D$200))))
)</f>
        <v>천일정기화물</v>
      </c>
      <c r="V163" s="23">
        <v>623000</v>
      </c>
      <c r="W163" s="23">
        <v>552000</v>
      </c>
      <c r="X163" s="23">
        <f t="shared" si="6"/>
        <v>71000</v>
      </c>
      <c r="Y163" s="25" t="s">
        <v>735</v>
      </c>
      <c r="Z163" s="19" t="s">
        <v>51</v>
      </c>
      <c r="AA163" s="19" t="s">
        <v>144</v>
      </c>
      <c r="AB163" s="18" t="s">
        <v>736</v>
      </c>
      <c r="AC163" s="17" t="str">
        <f t="shared" si="5"/>
        <v>Y</v>
      </c>
      <c r="AD163" s="17" t="s">
        <v>737</v>
      </c>
      <c r="AF163" s="27" t="s">
        <v>55</v>
      </c>
      <c r="AG163" s="27" t="s">
        <v>55</v>
      </c>
      <c r="AI163" s="28" t="s">
        <v>57</v>
      </c>
    </row>
    <row r="164" spans="1:35" ht="34.950000000000003" customHeight="1" x14ac:dyDescent="0.4">
      <c r="A164" s="16" t="s">
        <v>36</v>
      </c>
      <c r="B164" s="16" t="s">
        <v>37</v>
      </c>
      <c r="C164" s="17">
        <v>45999</v>
      </c>
      <c r="D164" s="16" t="s">
        <v>248</v>
      </c>
      <c r="E164" s="16" t="s">
        <v>728</v>
      </c>
      <c r="F164" s="16">
        <v>27897</v>
      </c>
      <c r="G164" s="18" t="s">
        <v>729</v>
      </c>
      <c r="H164" s="16" t="s">
        <v>75</v>
      </c>
      <c r="I164" s="19" t="s">
        <v>219</v>
      </c>
      <c r="J164" s="16" t="str">
        <f>IFERROR(VLOOKUP(I164,[1]Sheet1!$A$1:$B$200,2,0),"_")</f>
        <v>NN</v>
      </c>
      <c r="K164" s="19" t="s">
        <v>730</v>
      </c>
      <c r="L164" s="16" t="str">
        <f>IFERROR(VLOOKUP(K164,[1]Sheet1!$A$1:$B$200,2,0),"-")</f>
        <v>TG</v>
      </c>
      <c r="M164" s="19" t="s">
        <v>566</v>
      </c>
      <c r="N164" s="16" t="str">
        <f>IFERROR(VLOOKUP(M164,[1]Sheet1!$G$2:$H$200,2,0),"-")</f>
        <v>WHLU</v>
      </c>
      <c r="O164" s="18" t="s">
        <v>731</v>
      </c>
      <c r="P164" s="17">
        <v>46001</v>
      </c>
      <c r="Q164" s="20" t="s">
        <v>740</v>
      </c>
      <c r="R164" s="20" t="s">
        <v>741</v>
      </c>
      <c r="S164" s="21" t="str" cm="1">
        <f t="array" ref="S164">IF(
OR(AD164="",ISERROR(AD164)),
"-",
_xlfn.UNIQUE(_xlfn._xlws.FILTER([1]Sheet1!$D$2:$D$200,ISNUMBER(SEARCH(AD164,[1]Sheet1!$D$2:$D$200))))
)</f>
        <v>천일정기화물</v>
      </c>
      <c r="T164" s="22" t="s">
        <v>742</v>
      </c>
      <c r="U164" s="16" t="str" cm="1">
        <f t="array" ref="U164">IF(
OR(AD164="",ISERROR(AD164)),
"-",
_xlfn.UNIQUE(_xlfn._xlws.FILTER([1]Sheet1!$D$2:$D$200,ISNUMBER(SEARCH(AD164,[1]Sheet1!$D$2:$D$200))))
)</f>
        <v>천일정기화물</v>
      </c>
      <c r="V164" s="23">
        <v>100000</v>
      </c>
      <c r="W164" s="23">
        <v>60000</v>
      </c>
      <c r="X164" s="23">
        <f t="shared" si="6"/>
        <v>40000</v>
      </c>
      <c r="Y164" s="25" t="s">
        <v>743</v>
      </c>
      <c r="Z164" s="19" t="s">
        <v>51</v>
      </c>
      <c r="AA164" s="19" t="s">
        <v>144</v>
      </c>
      <c r="AB164" s="18" t="s">
        <v>736</v>
      </c>
      <c r="AC164" s="17" t="str">
        <f t="shared" si="5"/>
        <v>Y</v>
      </c>
      <c r="AD164" s="17" t="s">
        <v>737</v>
      </c>
      <c r="AF164" s="27" t="s">
        <v>55</v>
      </c>
      <c r="AG164" s="27" t="s">
        <v>55</v>
      </c>
      <c r="AI164" s="28" t="s">
        <v>57</v>
      </c>
    </row>
    <row r="165" spans="1:35" ht="34.950000000000003" customHeight="1" x14ac:dyDescent="0.4">
      <c r="A165" s="16" t="s">
        <v>36</v>
      </c>
      <c r="B165" s="16" t="s">
        <v>37</v>
      </c>
      <c r="C165" s="17">
        <v>45999</v>
      </c>
      <c r="D165" s="16" t="s">
        <v>248</v>
      </c>
      <c r="E165" s="16" t="s">
        <v>728</v>
      </c>
      <c r="F165" s="16">
        <v>27897</v>
      </c>
      <c r="G165" s="18" t="s">
        <v>729</v>
      </c>
      <c r="H165" s="16" t="s">
        <v>75</v>
      </c>
      <c r="I165" s="19" t="s">
        <v>219</v>
      </c>
      <c r="J165" s="16" t="str">
        <f>IFERROR(VLOOKUP(I165,[1]Sheet1!$A$1:$B$200,2,0),"_")</f>
        <v>NN</v>
      </c>
      <c r="K165" s="19" t="s">
        <v>730</v>
      </c>
      <c r="L165" s="16" t="str">
        <f>IFERROR(VLOOKUP(K165,[1]Sheet1!$A$1:$B$200,2,0),"-")</f>
        <v>TG</v>
      </c>
      <c r="M165" s="19" t="s">
        <v>566</v>
      </c>
      <c r="N165" s="16" t="str">
        <f>IFERROR(VLOOKUP(M165,[1]Sheet1!$G$2:$H$200,2,0),"-")</f>
        <v>WHLU</v>
      </c>
      <c r="O165" s="18" t="s">
        <v>731</v>
      </c>
      <c r="P165" s="17">
        <v>46001</v>
      </c>
      <c r="Q165" s="20" t="s">
        <v>740</v>
      </c>
      <c r="R165" s="20" t="s">
        <v>741</v>
      </c>
      <c r="S165" s="21" t="str" cm="1">
        <f t="array" ref="S165">IF(
OR(AD165="",ISERROR(AD165)),
"-",
_xlfn.UNIQUE(_xlfn._xlws.FILTER([1]Sheet1!$D$2:$D$200,ISNUMBER(SEARCH(AD165,[1]Sheet1!$D$2:$D$200))))
)</f>
        <v>천일정기화물</v>
      </c>
      <c r="T165" s="22" t="s">
        <v>742</v>
      </c>
      <c r="U165" s="16" t="str" cm="1">
        <f t="array" ref="U165">IF(
OR(AD165="",ISERROR(AD165)),
"-",
_xlfn.UNIQUE(_xlfn._xlws.FILTER([1]Sheet1!$D$2:$D$200,ISNUMBER(SEARCH(AD165,[1]Sheet1!$D$2:$D$200))))
)</f>
        <v>천일정기화물</v>
      </c>
      <c r="V165" s="23">
        <v>10000</v>
      </c>
      <c r="W165" s="23">
        <v>10000</v>
      </c>
      <c r="X165" s="23">
        <f t="shared" si="6"/>
        <v>0</v>
      </c>
      <c r="Y165" s="25" t="s">
        <v>739</v>
      </c>
      <c r="Z165" s="19" t="s">
        <v>51</v>
      </c>
      <c r="AA165" s="19" t="s">
        <v>144</v>
      </c>
      <c r="AB165" s="18" t="s">
        <v>736</v>
      </c>
      <c r="AC165" s="17" t="str">
        <f t="shared" si="5"/>
        <v>Y</v>
      </c>
      <c r="AD165" s="17" t="s">
        <v>737</v>
      </c>
      <c r="AF165" s="27" t="s">
        <v>55</v>
      </c>
      <c r="AG165" s="27" t="s">
        <v>55</v>
      </c>
      <c r="AI165" s="28" t="s">
        <v>57</v>
      </c>
    </row>
    <row r="166" spans="1:35" ht="34.950000000000003" customHeight="1" x14ac:dyDescent="0.4">
      <c r="A166" s="16" t="s">
        <v>36</v>
      </c>
      <c r="B166" s="16" t="s">
        <v>99</v>
      </c>
      <c r="C166" s="17">
        <v>45999</v>
      </c>
      <c r="D166" s="16" t="s">
        <v>229</v>
      </c>
      <c r="E166" s="16" t="s">
        <v>229</v>
      </c>
      <c r="F166" s="16">
        <v>3641</v>
      </c>
      <c r="G166" s="18" t="s">
        <v>230</v>
      </c>
      <c r="H166" s="16" t="s">
        <v>41</v>
      </c>
      <c r="I166" s="19" t="s">
        <v>219</v>
      </c>
      <c r="J166" s="16" t="str">
        <f>IFERROR(VLOOKUP(I166,[1]Sheet1!$A$1:$B$200,2,0),"_")</f>
        <v>NN</v>
      </c>
      <c r="K166" s="19" t="s">
        <v>76</v>
      </c>
      <c r="L166" s="16" t="str">
        <f>IFERROR(VLOOKUP(K166,[1]Sheet1!$A$1:$B$200,2,0),"-")</f>
        <v>NJ</v>
      </c>
      <c r="M166" s="19" t="s">
        <v>77</v>
      </c>
      <c r="N166" s="16" t="str">
        <f>IFERROR(VLOOKUP(M166,[1]Sheet1!$G$2:$H$200,2,0),"-")</f>
        <v>KMTC</v>
      </c>
      <c r="O166" s="18" t="s">
        <v>744</v>
      </c>
      <c r="P166" s="17">
        <v>46004</v>
      </c>
      <c r="Q166" s="20" t="s">
        <v>745</v>
      </c>
      <c r="R166" s="20" t="s">
        <v>746</v>
      </c>
      <c r="S166" s="21" t="str" cm="1">
        <f t="array" ref="S166">IF(
OR(AD166="",ISERROR(AD166)),
"-",
_xlfn.UNIQUE(_xlfn._xlws.FILTER([1]Sheet1!$D$2:$D$200,ISNUMBER(SEARCH(AD166,[1]Sheet1!$D$2:$D$200))))
)</f>
        <v>로지아이솔루션</v>
      </c>
      <c r="T166" s="22" t="s">
        <v>747</v>
      </c>
      <c r="U166" s="16" t="str" cm="1">
        <f t="array" ref="U166">IF(
OR(AD166="",ISERROR(AD166)),
"-",
_xlfn.UNIQUE(_xlfn._xlws.FILTER([1]Sheet1!$D$2:$D$200,ISNUMBER(SEARCH(AD166,[1]Sheet1!$D$2:$D$200))))
)</f>
        <v>로지아이솔루션</v>
      </c>
      <c r="V166" s="23">
        <v>860000</v>
      </c>
      <c r="W166" s="23">
        <v>774300</v>
      </c>
      <c r="X166" s="23">
        <f t="shared" si="6"/>
        <v>85700</v>
      </c>
      <c r="Y166" s="25" t="s">
        <v>748</v>
      </c>
      <c r="Z166" s="19" t="s">
        <v>51</v>
      </c>
      <c r="AA166" s="19" t="s">
        <v>81</v>
      </c>
      <c r="AB166" s="18" t="s">
        <v>749</v>
      </c>
      <c r="AC166" s="17" t="str">
        <f t="shared" si="5"/>
        <v>Y</v>
      </c>
      <c r="AD166" s="17" t="s">
        <v>206</v>
      </c>
      <c r="AF166" s="27" t="s">
        <v>55</v>
      </c>
      <c r="AG166" s="27" t="s">
        <v>55</v>
      </c>
      <c r="AI166" s="28" t="s">
        <v>57</v>
      </c>
    </row>
    <row r="167" spans="1:35" ht="34.950000000000003" customHeight="1" x14ac:dyDescent="0.4">
      <c r="A167" s="16" t="s">
        <v>36</v>
      </c>
      <c r="B167" s="16" t="s">
        <v>99</v>
      </c>
      <c r="C167" s="17">
        <v>45999</v>
      </c>
      <c r="D167" s="16" t="s">
        <v>229</v>
      </c>
      <c r="E167" s="16" t="s">
        <v>229</v>
      </c>
      <c r="F167" s="16">
        <v>3641</v>
      </c>
      <c r="G167" s="18" t="s">
        <v>230</v>
      </c>
      <c r="H167" s="16" t="s">
        <v>41</v>
      </c>
      <c r="I167" s="19" t="s">
        <v>219</v>
      </c>
      <c r="J167" s="16" t="str">
        <f>IFERROR(VLOOKUP(I167,[1]Sheet1!$A$1:$B$200,2,0),"_")</f>
        <v>NN</v>
      </c>
      <c r="K167" s="19" t="s">
        <v>76</v>
      </c>
      <c r="L167" s="16" t="str">
        <f>IFERROR(VLOOKUP(K167,[1]Sheet1!$A$1:$B$200,2,0),"-")</f>
        <v>NJ</v>
      </c>
      <c r="M167" s="19" t="s">
        <v>77</v>
      </c>
      <c r="N167" s="16" t="str">
        <f>IFERROR(VLOOKUP(M167,[1]Sheet1!$G$2:$H$200,2,0),"-")</f>
        <v>KMTC</v>
      </c>
      <c r="O167" s="18" t="s">
        <v>744</v>
      </c>
      <c r="P167" s="17">
        <v>46004</v>
      </c>
      <c r="Q167" s="20" t="s">
        <v>745</v>
      </c>
      <c r="R167" s="20" t="s">
        <v>746</v>
      </c>
      <c r="S167" s="21" t="str" cm="1">
        <f t="array" ref="S167">IF(
OR(AD167="",ISERROR(AD167)),
"-",
_xlfn.UNIQUE(_xlfn._xlws.FILTER([1]Sheet1!$D$2:$D$200,ISNUMBER(SEARCH(AD167,[1]Sheet1!$D$2:$D$200))))
)</f>
        <v>로지아이솔루션</v>
      </c>
      <c r="T167" s="22" t="s">
        <v>747</v>
      </c>
      <c r="U167" s="16" t="str" cm="1">
        <f t="array" ref="U167">IF(
OR(AD167="",ISERROR(AD167)),
"-",
_xlfn.UNIQUE(_xlfn._xlws.FILTER([1]Sheet1!$D$2:$D$200,ISNUMBER(SEARCH(AD167,[1]Sheet1!$D$2:$D$200))))
)</f>
        <v>로지아이솔루션</v>
      </c>
      <c r="V167" s="23">
        <v>150000</v>
      </c>
      <c r="W167" s="23">
        <v>146000</v>
      </c>
      <c r="X167" s="23">
        <f t="shared" si="6"/>
        <v>4000</v>
      </c>
      <c r="Y167" s="25" t="s">
        <v>750</v>
      </c>
      <c r="Z167" s="19" t="s">
        <v>51</v>
      </c>
      <c r="AA167" s="19" t="s">
        <v>81</v>
      </c>
      <c r="AB167" s="18" t="s">
        <v>749</v>
      </c>
      <c r="AC167" s="17" t="str">
        <f t="shared" si="5"/>
        <v>Y</v>
      </c>
      <c r="AD167" s="17" t="s">
        <v>206</v>
      </c>
      <c r="AF167" s="27" t="s">
        <v>55</v>
      </c>
      <c r="AG167" s="27" t="s">
        <v>55</v>
      </c>
      <c r="AI167" s="28" t="s">
        <v>57</v>
      </c>
    </row>
    <row r="168" spans="1:35" ht="34.950000000000003" customHeight="1" x14ac:dyDescent="0.4">
      <c r="A168" s="16" t="s">
        <v>36</v>
      </c>
      <c r="B168" s="16" t="s">
        <v>37</v>
      </c>
      <c r="C168" s="17">
        <v>45999</v>
      </c>
      <c r="D168" s="16" t="s">
        <v>308</v>
      </c>
      <c r="E168" s="16" t="s">
        <v>485</v>
      </c>
      <c r="F168" s="16">
        <v>27274</v>
      </c>
      <c r="G168" s="18" t="s">
        <v>486</v>
      </c>
      <c r="H168" s="16" t="s">
        <v>75</v>
      </c>
      <c r="I168" s="19" t="s">
        <v>86</v>
      </c>
      <c r="J168" s="16" t="str">
        <f>IFERROR(VLOOKUP(I168,[1]Sheet1!$A$1:$B$200,2,0),"_")</f>
        <v>HP</v>
      </c>
      <c r="K168" s="19" t="s">
        <v>751</v>
      </c>
      <c r="L168" s="16" t="str">
        <f>IFERROR(VLOOKUP(K168,[1]Sheet1!$A$1:$B$200,2,0),"-")</f>
        <v>PN</v>
      </c>
      <c r="M168" s="19" t="s">
        <v>752</v>
      </c>
      <c r="N168" s="16" t="str">
        <f>IFERROR(VLOOKUP(M168,[1]Sheet1!$G$2:$H$200,2,0),"-")</f>
        <v>ONE</v>
      </c>
      <c r="O168" s="18" t="s">
        <v>753</v>
      </c>
      <c r="P168" s="17">
        <v>46001</v>
      </c>
      <c r="Q168" s="20" t="s">
        <v>754</v>
      </c>
      <c r="R168" s="20" t="s">
        <v>755</v>
      </c>
      <c r="S168" s="21" t="str" cm="1">
        <f t="array" ref="S168">IF(
OR(AD168="",ISERROR(AD168)),
"-",
_xlfn.UNIQUE(_xlfn._xlws.FILTER([1]Sheet1!$D$2:$D$200,ISNUMBER(SEARCH(AD168,[1]Sheet1!$D$2:$D$200))))
)</f>
        <v>(주)부강에너지</v>
      </c>
      <c r="T168" s="22" t="s">
        <v>756</v>
      </c>
      <c r="U168" s="16" t="str" cm="1">
        <f t="array" ref="U168">IF(
OR(AD168="",ISERROR(AD168)),
"-",
_xlfn.UNIQUE(_xlfn._xlws.FILTER([1]Sheet1!$D$2:$D$200,ISNUMBER(SEARCH(AD168,[1]Sheet1!$D$2:$D$200))))
)</f>
        <v>(주)부강에너지</v>
      </c>
      <c r="V168" s="23">
        <v>660000</v>
      </c>
      <c r="W168" s="23">
        <v>607000</v>
      </c>
      <c r="X168" s="23">
        <f t="shared" si="6"/>
        <v>53000</v>
      </c>
      <c r="Y168" s="25" t="s">
        <v>757</v>
      </c>
      <c r="Z168" s="19" t="s">
        <v>51</v>
      </c>
      <c r="AA168" s="19" t="s">
        <v>93</v>
      </c>
      <c r="AB168" s="18" t="s">
        <v>758</v>
      </c>
      <c r="AC168" s="17" t="str">
        <f t="shared" si="5"/>
        <v>Y</v>
      </c>
      <c r="AD168" s="17" t="s">
        <v>197</v>
      </c>
      <c r="AF168" s="27" t="s">
        <v>55</v>
      </c>
      <c r="AG168" s="27" t="s">
        <v>55</v>
      </c>
      <c r="AI168" s="28" t="s">
        <v>57</v>
      </c>
    </row>
    <row r="169" spans="1:35" ht="34.950000000000003" customHeight="1" x14ac:dyDescent="0.4">
      <c r="A169" s="16" t="s">
        <v>36</v>
      </c>
      <c r="B169" s="16" t="s">
        <v>37</v>
      </c>
      <c r="C169" s="17">
        <v>45999</v>
      </c>
      <c r="D169" s="16" t="s">
        <v>308</v>
      </c>
      <c r="E169" s="16" t="s">
        <v>485</v>
      </c>
      <c r="F169" s="16">
        <v>27274</v>
      </c>
      <c r="G169" s="18" t="s">
        <v>486</v>
      </c>
      <c r="H169" s="16" t="s">
        <v>75</v>
      </c>
      <c r="I169" s="19" t="s">
        <v>86</v>
      </c>
      <c r="J169" s="16" t="str">
        <f>IFERROR(VLOOKUP(I169,[1]Sheet1!$A$1:$B$200,2,0),"_")</f>
        <v>HP</v>
      </c>
      <c r="K169" s="19" t="s">
        <v>751</v>
      </c>
      <c r="L169" s="16" t="str">
        <f>IFERROR(VLOOKUP(K169,[1]Sheet1!$A$1:$B$200,2,0),"-")</f>
        <v>PN</v>
      </c>
      <c r="M169" s="19" t="s">
        <v>752</v>
      </c>
      <c r="N169" s="16" t="str">
        <f>IFERROR(VLOOKUP(M169,[1]Sheet1!$G$2:$H$200,2,0),"-")</f>
        <v>ONE</v>
      </c>
      <c r="O169" s="18" t="s">
        <v>753</v>
      </c>
      <c r="P169" s="17">
        <v>46001</v>
      </c>
      <c r="Q169" s="20" t="s">
        <v>754</v>
      </c>
      <c r="R169" s="20" t="s">
        <v>755</v>
      </c>
      <c r="S169" s="21" t="str" cm="1">
        <f t="array" ref="S169">IF(
OR(AD169="",ISERROR(AD169)),
"-",
_xlfn.UNIQUE(_xlfn._xlws.FILTER([1]Sheet1!$D$2:$D$200,ISNUMBER(SEARCH(AD169,[1]Sheet1!$D$2:$D$200))))
)</f>
        <v>(주)부강에너지</v>
      </c>
      <c r="T169" s="22" t="s">
        <v>759</v>
      </c>
      <c r="U169" s="16" t="str" cm="1">
        <f t="array" ref="U169">IF(
OR(AD169="",ISERROR(AD169)),
"-",
_xlfn.UNIQUE(_xlfn._xlws.FILTER([1]Sheet1!$D$2:$D$200,ISNUMBER(SEARCH(AD169,[1]Sheet1!$D$2:$D$200))))
)</f>
        <v>(주)부강에너지</v>
      </c>
      <c r="V169" s="23">
        <v>140000</v>
      </c>
      <c r="W169" s="23">
        <v>160000</v>
      </c>
      <c r="X169" s="23">
        <f t="shared" si="6"/>
        <v>-20000</v>
      </c>
      <c r="Y169" s="25" t="s">
        <v>760</v>
      </c>
      <c r="Z169" s="19" t="s">
        <v>51</v>
      </c>
      <c r="AA169" s="19" t="s">
        <v>93</v>
      </c>
      <c r="AB169" s="18" t="s">
        <v>761</v>
      </c>
      <c r="AC169" s="17" t="str">
        <f t="shared" si="5"/>
        <v>Y</v>
      </c>
      <c r="AD169" s="17" t="s">
        <v>197</v>
      </c>
      <c r="AF169" s="27" t="s">
        <v>55</v>
      </c>
      <c r="AG169" s="27" t="s">
        <v>55</v>
      </c>
      <c r="AI169" s="28" t="s">
        <v>57</v>
      </c>
    </row>
    <row r="170" spans="1:35" ht="34.950000000000003" customHeight="1" x14ac:dyDescent="0.4">
      <c r="A170" s="16" t="s">
        <v>36</v>
      </c>
      <c r="B170" s="16" t="s">
        <v>37</v>
      </c>
      <c r="C170" s="17">
        <v>45999</v>
      </c>
      <c r="D170" s="16" t="s">
        <v>188</v>
      </c>
      <c r="E170" s="16" t="s">
        <v>189</v>
      </c>
      <c r="F170" s="16">
        <v>16725</v>
      </c>
      <c r="G170" s="18" t="s">
        <v>190</v>
      </c>
      <c r="H170" s="16" t="s">
        <v>41</v>
      </c>
      <c r="I170" s="19" t="s">
        <v>42</v>
      </c>
      <c r="J170" s="16" t="str">
        <f>IFERROR(VLOOKUP(I170,[1]Sheet1!$A$1:$B$200,2,0),"_")</f>
        <v>P</v>
      </c>
      <c r="K170" s="19" t="s">
        <v>42</v>
      </c>
      <c r="L170" s="16" t="str">
        <f>IFERROR(VLOOKUP(K170,[1]Sheet1!$A$1:$B$200,2,0),"-")</f>
        <v>P</v>
      </c>
      <c r="M170" s="19" t="s">
        <v>191</v>
      </c>
      <c r="N170" s="16" t="str">
        <f>IFERROR(VLOOKUP(M170,[1]Sheet1!$G$2:$H$200,2,0),"-")</f>
        <v>HASL</v>
      </c>
      <c r="O170" s="27" t="s">
        <v>762</v>
      </c>
      <c r="P170" s="17">
        <v>46003</v>
      </c>
      <c r="Q170" s="20" t="s">
        <v>763</v>
      </c>
      <c r="R170" s="20" t="s">
        <v>764</v>
      </c>
      <c r="S170" s="21" t="str" cm="1">
        <f t="array" ref="S170">IF(
OR(AD170="",ISERROR(AD170)),
"-",
_xlfn.UNIQUE(_xlfn._xlws.FILTER([1]Sheet1!$D$2:$D$200,ISNUMBER(SEARCH(AD170,[1]Sheet1!$D$2:$D$200))))
)</f>
        <v>(주)부강에너지</v>
      </c>
      <c r="T170" s="22" t="s">
        <v>765</v>
      </c>
      <c r="U170" s="16" t="str" cm="1">
        <f t="array" ref="U170">IF(
OR(AD170="",ISERROR(AD170)),
"-",
_xlfn.UNIQUE(_xlfn._xlws.FILTER([1]Sheet1!$D$2:$D$200,ISNUMBER(SEARCH(AD170,[1]Sheet1!$D$2:$D$200))))
)</f>
        <v>(주)부강에너지</v>
      </c>
      <c r="V170" s="23">
        <v>250000</v>
      </c>
      <c r="W170" s="24">
        <v>220000</v>
      </c>
      <c r="X170" s="23">
        <f t="shared" si="6"/>
        <v>30000</v>
      </c>
      <c r="Y170" s="25" t="s">
        <v>766</v>
      </c>
      <c r="Z170" s="19" t="s">
        <v>51</v>
      </c>
      <c r="AA170" s="19" t="s">
        <v>81</v>
      </c>
      <c r="AB170" s="18" t="s">
        <v>767</v>
      </c>
      <c r="AC170" s="17" t="str">
        <f t="shared" si="5"/>
        <v>Y</v>
      </c>
      <c r="AD170" s="17" t="s">
        <v>197</v>
      </c>
      <c r="AF170" s="27" t="s">
        <v>55</v>
      </c>
      <c r="AG170" s="27" t="s">
        <v>55</v>
      </c>
      <c r="AI170" s="28" t="s">
        <v>57</v>
      </c>
    </row>
    <row r="171" spans="1:35" ht="34.950000000000003" customHeight="1" x14ac:dyDescent="0.4">
      <c r="A171" s="16" t="s">
        <v>36</v>
      </c>
      <c r="B171" s="16" t="s">
        <v>37</v>
      </c>
      <c r="C171" s="17">
        <v>45999</v>
      </c>
      <c r="D171" s="16" t="s">
        <v>188</v>
      </c>
      <c r="E171" s="16" t="s">
        <v>189</v>
      </c>
      <c r="F171" s="16">
        <v>16725</v>
      </c>
      <c r="G171" s="18" t="s">
        <v>190</v>
      </c>
      <c r="H171" s="16" t="s">
        <v>41</v>
      </c>
      <c r="I171" s="19" t="s">
        <v>42</v>
      </c>
      <c r="J171" s="16" t="str">
        <f>IFERROR(VLOOKUP(I171,[1]Sheet1!$A$1:$B$200,2,0),"_")</f>
        <v>P</v>
      </c>
      <c r="K171" s="19" t="s">
        <v>42</v>
      </c>
      <c r="L171" s="16" t="str">
        <f>IFERROR(VLOOKUP(K171,[1]Sheet1!$A$1:$B$200,2,0),"-")</f>
        <v>P</v>
      </c>
      <c r="M171" s="19" t="s">
        <v>191</v>
      </c>
      <c r="N171" s="16" t="str">
        <f>IFERROR(VLOOKUP(M171,[1]Sheet1!$G$2:$H$200,2,0),"-")</f>
        <v>HASL</v>
      </c>
      <c r="O171" s="27" t="s">
        <v>762</v>
      </c>
      <c r="P171" s="17">
        <v>46003</v>
      </c>
      <c r="Q171" s="20" t="s">
        <v>768</v>
      </c>
      <c r="R171" s="20" t="s">
        <v>769</v>
      </c>
      <c r="S171" s="21" t="str" cm="1">
        <f t="array" ref="S171">IF(
OR(AD171="",ISERROR(AD171)),
"-",
_xlfn.UNIQUE(_xlfn._xlws.FILTER([1]Sheet1!$D$2:$D$200,ISNUMBER(SEARCH(AD171,[1]Sheet1!$D$2:$D$200))))
)</f>
        <v>(주)부강에너지</v>
      </c>
      <c r="T171" s="22" t="s">
        <v>770</v>
      </c>
      <c r="U171" s="16" t="str" cm="1">
        <f t="array" ref="U171">IF(
OR(AD171="",ISERROR(AD171)),
"-",
_xlfn.UNIQUE(_xlfn._xlws.FILTER([1]Sheet1!$D$2:$D$200,ISNUMBER(SEARCH(AD171,[1]Sheet1!$D$2:$D$200))))
)</f>
        <v>(주)부강에너지</v>
      </c>
      <c r="V171" s="23">
        <v>250000</v>
      </c>
      <c r="W171" s="24">
        <v>220000</v>
      </c>
      <c r="X171" s="23">
        <f t="shared" si="6"/>
        <v>30000</v>
      </c>
      <c r="Y171" s="25" t="s">
        <v>766</v>
      </c>
      <c r="Z171" s="19" t="s">
        <v>51</v>
      </c>
      <c r="AA171" s="19" t="s">
        <v>81</v>
      </c>
      <c r="AB171" s="18" t="s">
        <v>767</v>
      </c>
      <c r="AC171" s="17" t="str">
        <f t="shared" si="5"/>
        <v>Y</v>
      </c>
      <c r="AD171" s="17" t="s">
        <v>197</v>
      </c>
      <c r="AF171" s="27" t="s">
        <v>55</v>
      </c>
      <c r="AG171" s="27" t="s">
        <v>55</v>
      </c>
      <c r="AI171" s="28" t="s">
        <v>57</v>
      </c>
    </row>
    <row r="172" spans="1:35" ht="34.950000000000003" customHeight="1" x14ac:dyDescent="0.4">
      <c r="A172" s="16" t="s">
        <v>71</v>
      </c>
      <c r="B172" s="16" t="s">
        <v>99</v>
      </c>
      <c r="C172" s="17">
        <v>45999</v>
      </c>
      <c r="D172" s="16" t="s">
        <v>126</v>
      </c>
      <c r="E172" s="16" t="s">
        <v>199</v>
      </c>
      <c r="F172" s="16">
        <v>22141</v>
      </c>
      <c r="G172" s="18" t="s">
        <v>200</v>
      </c>
      <c r="H172" s="16" t="s">
        <v>41</v>
      </c>
      <c r="I172" s="19" t="s">
        <v>219</v>
      </c>
      <c r="J172" s="16" t="str">
        <f>IFERROR(VLOOKUP(I172,[1]Sheet1!$A$1:$B$200,2,0),"_")</f>
        <v>NN</v>
      </c>
      <c r="K172" s="19" t="s">
        <v>219</v>
      </c>
      <c r="L172" s="16" t="str">
        <f>IFERROR(VLOOKUP(K172,[1]Sheet1!$A$1:$B$200,2,0),"-")</f>
        <v>NN</v>
      </c>
      <c r="M172" s="19" t="s">
        <v>311</v>
      </c>
      <c r="N172" s="16" t="str">
        <f>IFERROR(VLOOKUP(M172,[1]Sheet1!$G$2:$H$200,2,0),"-")</f>
        <v>COSU</v>
      </c>
      <c r="O172" s="31" t="s">
        <v>55</v>
      </c>
      <c r="P172" s="17" t="s">
        <v>55</v>
      </c>
      <c r="Q172" s="20" t="s">
        <v>771</v>
      </c>
      <c r="R172" s="20"/>
      <c r="S172" s="21" t="str" cm="1">
        <f t="array" ref="S172">IF(
OR(AD172="",ISERROR(AD172)),
"-",
_xlfn.UNIQUE(_xlfn._xlws.FILTER([1]Sheet1!$D$2:$D$200,ISNUMBER(SEARCH(AD172,[1]Sheet1!$D$2:$D$200))))
)</f>
        <v>로지아이솔루션</v>
      </c>
      <c r="T172" s="22" t="s">
        <v>772</v>
      </c>
      <c r="U172" s="16" t="str" cm="1">
        <f t="array" ref="U172">IF(
OR(AD172="",ISERROR(AD172)),
"-",
_xlfn.UNIQUE(_xlfn._xlws.FILTER([1]Sheet1!$D$2:$D$200,ISNUMBER(SEARCH(AD172,[1]Sheet1!$D$2:$D$200))))
)</f>
        <v>로지아이솔루션</v>
      </c>
      <c r="V172" s="23">
        <v>270000</v>
      </c>
      <c r="W172" s="24">
        <v>259850</v>
      </c>
      <c r="X172" s="23">
        <f t="shared" si="6"/>
        <v>10150</v>
      </c>
      <c r="Y172" s="25" t="s">
        <v>773</v>
      </c>
      <c r="Z172" s="19" t="s">
        <v>51</v>
      </c>
      <c r="AA172" s="19" t="s">
        <v>81</v>
      </c>
      <c r="AB172" s="30" t="s">
        <v>774</v>
      </c>
      <c r="AC172" s="17" t="str">
        <f t="shared" si="5"/>
        <v>Y</v>
      </c>
      <c r="AD172" s="17" t="s">
        <v>206</v>
      </c>
      <c r="AF172" s="27" t="s">
        <v>55</v>
      </c>
      <c r="AG172" s="27" t="s">
        <v>55</v>
      </c>
      <c r="AI172" s="28" t="s">
        <v>57</v>
      </c>
    </row>
    <row r="173" spans="1:35" ht="34.950000000000003" customHeight="1" x14ac:dyDescent="0.4">
      <c r="A173" s="16" t="s">
        <v>71</v>
      </c>
      <c r="B173" s="16" t="s">
        <v>99</v>
      </c>
      <c r="C173" s="17">
        <v>45999</v>
      </c>
      <c r="D173" s="16" t="s">
        <v>126</v>
      </c>
      <c r="E173" s="16" t="s">
        <v>199</v>
      </c>
      <c r="F173" s="16">
        <v>22141</v>
      </c>
      <c r="G173" s="18" t="s">
        <v>200</v>
      </c>
      <c r="H173" s="16" t="s">
        <v>41</v>
      </c>
      <c r="I173" s="19" t="s">
        <v>219</v>
      </c>
      <c r="J173" s="16" t="str">
        <f>IFERROR(VLOOKUP(I173,[1]Sheet1!$A$1:$B$200,2,0),"_")</f>
        <v>NN</v>
      </c>
      <c r="K173" s="19" t="s">
        <v>219</v>
      </c>
      <c r="L173" s="16" t="str">
        <f>IFERROR(VLOOKUP(K173,[1]Sheet1!$A$1:$B$200,2,0),"-")</f>
        <v>NN</v>
      </c>
      <c r="M173" s="19" t="s">
        <v>311</v>
      </c>
      <c r="N173" s="16" t="str">
        <f>IFERROR(VLOOKUP(M173,[1]Sheet1!$G$2:$H$200,2,0),"-")</f>
        <v>COSU</v>
      </c>
      <c r="O173" s="31" t="s">
        <v>55</v>
      </c>
      <c r="P173" s="17" t="s">
        <v>55</v>
      </c>
      <c r="Q173" s="20" t="s">
        <v>775</v>
      </c>
      <c r="R173" s="20"/>
      <c r="S173" s="21" t="str" cm="1">
        <f t="array" ref="S173">IF(
OR(AD173="",ISERROR(AD173)),
"-",
_xlfn.UNIQUE(_xlfn._xlws.FILTER([1]Sheet1!$D$2:$D$200,ISNUMBER(SEARCH(AD173,[1]Sheet1!$D$2:$D$200))))
)</f>
        <v>로지아이솔루션</v>
      </c>
      <c r="T173" s="22" t="s">
        <v>776</v>
      </c>
      <c r="U173" s="16" t="str" cm="1">
        <f t="array" ref="U173">IF(
OR(AD173="",ISERROR(AD173)),
"-",
_xlfn.UNIQUE(_xlfn._xlws.FILTER([1]Sheet1!$D$2:$D$200,ISNUMBER(SEARCH(AD173,[1]Sheet1!$D$2:$D$200))))
)</f>
        <v>로지아이솔루션</v>
      </c>
      <c r="V173" s="23">
        <v>270000</v>
      </c>
      <c r="W173" s="24">
        <v>259850</v>
      </c>
      <c r="X173" s="23">
        <f t="shared" si="6"/>
        <v>10150</v>
      </c>
      <c r="Y173" s="25" t="s">
        <v>773</v>
      </c>
      <c r="Z173" s="19" t="s">
        <v>51</v>
      </c>
      <c r="AA173" s="19" t="s">
        <v>81</v>
      </c>
      <c r="AB173" s="35" t="s">
        <v>777</v>
      </c>
      <c r="AC173" s="17" t="str">
        <f t="shared" si="5"/>
        <v>Y</v>
      </c>
      <c r="AD173" s="17" t="s">
        <v>206</v>
      </c>
      <c r="AF173" s="27" t="s">
        <v>55</v>
      </c>
      <c r="AG173" s="27" t="s">
        <v>55</v>
      </c>
      <c r="AI173" s="28" t="s">
        <v>57</v>
      </c>
    </row>
    <row r="174" spans="1:35" ht="34.950000000000003" customHeight="1" x14ac:dyDescent="0.4">
      <c r="A174" s="16" t="s">
        <v>36</v>
      </c>
      <c r="B174" s="16" t="s">
        <v>37</v>
      </c>
      <c r="C174" s="17">
        <v>45999</v>
      </c>
      <c r="D174" s="16" t="s">
        <v>72</v>
      </c>
      <c r="E174" s="16" t="s">
        <v>778</v>
      </c>
      <c r="F174" s="16">
        <v>3043</v>
      </c>
      <c r="G174" s="18" t="s">
        <v>779</v>
      </c>
      <c r="H174" s="16" t="s">
        <v>75</v>
      </c>
      <c r="I174" s="19" t="s">
        <v>137</v>
      </c>
      <c r="J174" s="16" t="str">
        <f>IFERROR(VLOOKUP(I174,[1]Sheet1!$A$1:$B$200,2,0),"_")</f>
        <v>BE</v>
      </c>
      <c r="K174" s="19" t="s">
        <v>317</v>
      </c>
      <c r="L174" s="16" t="str">
        <f>IFERROR(VLOOKUP(K174,[1]Sheet1!$A$1:$B$200,2,0),"-")</f>
        <v>HN</v>
      </c>
      <c r="M174" s="19" t="s">
        <v>752</v>
      </c>
      <c r="N174" s="16" t="str">
        <f>IFERROR(VLOOKUP(M174,[1]Sheet1!$G$2:$H$200,2,0),"-")</f>
        <v>ONE</v>
      </c>
      <c r="O174" s="18" t="s">
        <v>780</v>
      </c>
      <c r="P174" s="17">
        <v>46003</v>
      </c>
      <c r="Q174" s="20" t="s">
        <v>781</v>
      </c>
      <c r="R174" s="20" t="s">
        <v>782</v>
      </c>
      <c r="S174" s="21" t="str" cm="1">
        <f t="array" ref="S174">IF(
OR(AD174="",ISERROR(AD174)),
"-",
_xlfn.UNIQUE(_xlfn._xlws.FILTER([1]Sheet1!$D$2:$D$200,ISNUMBER(SEARCH(AD174,[1]Sheet1!$D$2:$D$200))))
)</f>
        <v>양양운수(주)</v>
      </c>
      <c r="T174" s="22" t="s">
        <v>783</v>
      </c>
      <c r="U174" s="16" t="str" cm="1">
        <f t="array" ref="U174">IF(
OR(AD174="",ISERROR(AD174)),
"-",
_xlfn.UNIQUE(_xlfn._xlws.FILTER([1]Sheet1!$D$2:$D$200,ISNUMBER(SEARCH(AD174,[1]Sheet1!$D$2:$D$200))))
)</f>
        <v>양양운수(주)</v>
      </c>
      <c r="V174" s="23">
        <v>615000</v>
      </c>
      <c r="W174" s="23">
        <v>577700</v>
      </c>
      <c r="X174" s="23">
        <f t="shared" si="6"/>
        <v>37300</v>
      </c>
      <c r="Y174" s="25" t="s">
        <v>784</v>
      </c>
      <c r="Z174" s="19" t="s">
        <v>51</v>
      </c>
      <c r="AA174" s="19" t="s">
        <v>81</v>
      </c>
      <c r="AB174" s="18" t="s">
        <v>758</v>
      </c>
      <c r="AC174" s="17" t="str">
        <f t="shared" si="5"/>
        <v>Y</v>
      </c>
      <c r="AD174" s="17" t="s">
        <v>238</v>
      </c>
      <c r="AF174" s="27" t="s">
        <v>55</v>
      </c>
      <c r="AG174" s="27" t="s">
        <v>55</v>
      </c>
      <c r="AI174" s="28" t="s">
        <v>57</v>
      </c>
    </row>
    <row r="175" spans="1:35" ht="34.950000000000003" customHeight="1" x14ac:dyDescent="0.4">
      <c r="A175" s="16" t="s">
        <v>36</v>
      </c>
      <c r="B175" s="16" t="s">
        <v>37</v>
      </c>
      <c r="C175" s="17">
        <v>45999</v>
      </c>
      <c r="D175" s="16" t="s">
        <v>72</v>
      </c>
      <c r="E175" s="16" t="s">
        <v>778</v>
      </c>
      <c r="F175" s="16">
        <v>3043</v>
      </c>
      <c r="G175" s="18" t="s">
        <v>779</v>
      </c>
      <c r="H175" s="16" t="s">
        <v>75</v>
      </c>
      <c r="I175" s="19" t="s">
        <v>137</v>
      </c>
      <c r="J175" s="16" t="str">
        <f>IFERROR(VLOOKUP(I175,[1]Sheet1!$A$1:$B$200,2,0),"_")</f>
        <v>BE</v>
      </c>
      <c r="K175" s="19" t="s">
        <v>317</v>
      </c>
      <c r="L175" s="16" t="str">
        <f>IFERROR(VLOOKUP(K175,[1]Sheet1!$A$1:$B$200,2,0),"-")</f>
        <v>HN</v>
      </c>
      <c r="M175" s="19" t="s">
        <v>752</v>
      </c>
      <c r="N175" s="16" t="str">
        <f>IFERROR(VLOOKUP(M175,[1]Sheet1!$G$2:$H$200,2,0),"-")</f>
        <v>ONE</v>
      </c>
      <c r="O175" s="18" t="s">
        <v>780</v>
      </c>
      <c r="P175" s="17">
        <v>46003</v>
      </c>
      <c r="Q175" s="20" t="s">
        <v>781</v>
      </c>
      <c r="R175" s="20" t="s">
        <v>782</v>
      </c>
      <c r="S175" s="21" t="str" cm="1">
        <f t="array" ref="S175">IF(
OR(AD175="",ISERROR(AD175)),
"-",
_xlfn.UNIQUE(_xlfn._xlws.FILTER([1]Sheet1!$D$2:$D$200,ISNUMBER(SEARCH(AD175,[1]Sheet1!$D$2:$D$200))))
)</f>
        <v>양양운수(주)</v>
      </c>
      <c r="T175" s="22" t="s">
        <v>783</v>
      </c>
      <c r="U175" s="16" t="str" cm="1">
        <f t="array" ref="U175">IF(
OR(AD175="",ISERROR(AD175)),
"-",
_xlfn.UNIQUE(_xlfn._xlws.FILTER([1]Sheet1!$D$2:$D$200,ISNUMBER(SEARCH(AD175,[1]Sheet1!$D$2:$D$200))))
)</f>
        <v>양양운수(주)</v>
      </c>
      <c r="V175" s="23">
        <v>50000</v>
      </c>
      <c r="W175" s="23">
        <v>0</v>
      </c>
      <c r="X175" s="23">
        <f t="shared" si="6"/>
        <v>50000</v>
      </c>
      <c r="Y175" s="25" t="s">
        <v>785</v>
      </c>
      <c r="Z175" s="19" t="s">
        <v>51</v>
      </c>
      <c r="AA175" s="19" t="s">
        <v>81</v>
      </c>
      <c r="AB175" s="18" t="s">
        <v>758</v>
      </c>
      <c r="AC175" s="17" t="str">
        <f t="shared" si="5"/>
        <v>Y</v>
      </c>
      <c r="AD175" s="17" t="s">
        <v>238</v>
      </c>
      <c r="AF175" s="27" t="s">
        <v>55</v>
      </c>
      <c r="AG175" s="27" t="s">
        <v>55</v>
      </c>
      <c r="AI175" s="28" t="s">
        <v>57</v>
      </c>
    </row>
    <row r="176" spans="1:35" ht="34.950000000000003" customHeight="1" x14ac:dyDescent="0.4">
      <c r="A176" s="16" t="s">
        <v>36</v>
      </c>
      <c r="B176" s="16" t="s">
        <v>37</v>
      </c>
      <c r="C176" s="17">
        <v>45999</v>
      </c>
      <c r="D176" s="16" t="s">
        <v>72</v>
      </c>
      <c r="E176" s="16" t="s">
        <v>778</v>
      </c>
      <c r="F176" s="16">
        <v>3043</v>
      </c>
      <c r="G176" s="18" t="s">
        <v>779</v>
      </c>
      <c r="H176" s="16" t="s">
        <v>75</v>
      </c>
      <c r="I176" s="19" t="s">
        <v>137</v>
      </c>
      <c r="J176" s="16" t="str">
        <f>IFERROR(VLOOKUP(I176,[1]Sheet1!$A$1:$B$200,2,0),"_")</f>
        <v>BE</v>
      </c>
      <c r="K176" s="19" t="s">
        <v>317</v>
      </c>
      <c r="L176" s="16" t="str">
        <f>IFERROR(VLOOKUP(K176,[1]Sheet1!$A$1:$B$200,2,0),"-")</f>
        <v>HN</v>
      </c>
      <c r="M176" s="19" t="s">
        <v>752</v>
      </c>
      <c r="N176" s="16" t="str">
        <f>IFERROR(VLOOKUP(M176,[1]Sheet1!$G$2:$H$200,2,0),"-")</f>
        <v>ONE</v>
      </c>
      <c r="O176" s="18" t="s">
        <v>780</v>
      </c>
      <c r="P176" s="17">
        <v>46003</v>
      </c>
      <c r="Q176" s="20" t="s">
        <v>781</v>
      </c>
      <c r="R176" s="20" t="s">
        <v>782</v>
      </c>
      <c r="S176" s="21" t="str" cm="1">
        <f t="array" ref="S176">IF(
OR(AD176="",ISERROR(AD176)),
"-",
_xlfn.UNIQUE(_xlfn._xlws.FILTER([1]Sheet1!$D$2:$D$200,ISNUMBER(SEARCH(AD176,[1]Sheet1!$D$2:$D$200))))
)</f>
        <v>양양운수(주)</v>
      </c>
      <c r="T176" s="22" t="s">
        <v>783</v>
      </c>
      <c r="U176" s="16" t="str" cm="1">
        <f t="array" ref="U176">IF(
OR(AD176="",ISERROR(AD176)),
"-",
_xlfn.UNIQUE(_xlfn._xlws.FILTER([1]Sheet1!$D$2:$D$200,ISNUMBER(SEARCH(AD176,[1]Sheet1!$D$2:$D$200))))
)</f>
        <v>양양운수(주)</v>
      </c>
      <c r="V176" s="23">
        <v>49000</v>
      </c>
      <c r="W176" s="23">
        <v>49000</v>
      </c>
      <c r="X176" s="23">
        <f t="shared" si="6"/>
        <v>0</v>
      </c>
      <c r="Y176" s="25" t="s">
        <v>786</v>
      </c>
      <c r="Z176" s="19" t="s">
        <v>51</v>
      </c>
      <c r="AA176" s="19" t="s">
        <v>81</v>
      </c>
      <c r="AB176" s="18" t="s">
        <v>758</v>
      </c>
      <c r="AC176" s="17" t="str">
        <f t="shared" si="5"/>
        <v>Y</v>
      </c>
      <c r="AD176" s="17" t="s">
        <v>238</v>
      </c>
      <c r="AF176" s="27" t="s">
        <v>55</v>
      </c>
      <c r="AG176" s="27" t="s">
        <v>55</v>
      </c>
      <c r="AI176" s="28" t="s">
        <v>57</v>
      </c>
    </row>
    <row r="177" spans="1:35" ht="34.950000000000003" customHeight="1" x14ac:dyDescent="0.4">
      <c r="A177" s="16" t="s">
        <v>36</v>
      </c>
      <c r="B177" s="16" t="s">
        <v>37</v>
      </c>
      <c r="C177" s="17">
        <v>45999</v>
      </c>
      <c r="D177" s="16" t="s">
        <v>248</v>
      </c>
      <c r="E177" s="16" t="s">
        <v>787</v>
      </c>
      <c r="F177" s="16">
        <v>28562</v>
      </c>
      <c r="G177" s="18" t="s">
        <v>788</v>
      </c>
      <c r="H177" s="16" t="s">
        <v>519</v>
      </c>
      <c r="I177" s="19" t="s">
        <v>789</v>
      </c>
      <c r="J177" s="16" t="str">
        <f>IFERROR(VLOOKUP(I177,[1]Sheet1!$A$1:$B$200,2,0),"_")</f>
        <v>QK</v>
      </c>
      <c r="K177" s="19" t="s">
        <v>790</v>
      </c>
      <c r="L177" s="16" t="str">
        <f>IFERROR(VLOOKUP(K177,[1]Sheet1!$A$1:$B$200,2,0),"-")</f>
        <v>PP</v>
      </c>
      <c r="M177" s="19" t="s">
        <v>752</v>
      </c>
      <c r="N177" s="16" t="str">
        <f>IFERROR(VLOOKUP(M177,[1]Sheet1!$G$2:$H$200,2,0),"-")</f>
        <v>ONE</v>
      </c>
      <c r="O177" s="31" t="s">
        <v>55</v>
      </c>
      <c r="P177" s="17" t="s">
        <v>55</v>
      </c>
      <c r="Q177" s="20" t="s">
        <v>791</v>
      </c>
      <c r="R177" s="20" t="s">
        <v>792</v>
      </c>
      <c r="S177" s="21" t="str" cm="1">
        <f t="array" ref="S177">IF(
OR(AD177="",ISERROR(AD177)),
"-",
_xlfn.UNIQUE(_xlfn._xlws.FILTER([1]Sheet1!$D$2:$D$200,ISNUMBER(SEARCH(AD177,[1]Sheet1!$D$2:$D$200))))
)</f>
        <v>(주)유진로직스</v>
      </c>
      <c r="T177" s="22" t="s">
        <v>793</v>
      </c>
      <c r="U177" s="16" t="str" cm="1">
        <f t="array" ref="U177">IF(
OR(AD177="",ISERROR(AD177)),
"-",
_xlfn.UNIQUE(_xlfn._xlws.FILTER([1]Sheet1!$D$2:$D$200,ISNUMBER(SEARCH(AD177,[1]Sheet1!$D$2:$D$200))))
)</f>
        <v>(주)유진로직스</v>
      </c>
      <c r="V177" s="23">
        <v>220000</v>
      </c>
      <c r="W177" s="23">
        <v>180000</v>
      </c>
      <c r="X177" s="23">
        <f t="shared" si="6"/>
        <v>40000</v>
      </c>
      <c r="Y177" s="25" t="s">
        <v>794</v>
      </c>
      <c r="Z177" s="19" t="s">
        <v>51</v>
      </c>
      <c r="AA177" s="19" t="s">
        <v>144</v>
      </c>
      <c r="AB177" s="18" t="s">
        <v>795</v>
      </c>
      <c r="AC177" s="17" t="str">
        <f t="shared" si="5"/>
        <v>Y</v>
      </c>
      <c r="AD177" s="17" t="s">
        <v>70</v>
      </c>
      <c r="AF177" s="27" t="s">
        <v>55</v>
      </c>
      <c r="AG177" s="27" t="s">
        <v>55</v>
      </c>
      <c r="AI177" s="28" t="s">
        <v>57</v>
      </c>
    </row>
    <row r="178" spans="1:35" ht="34.950000000000003" customHeight="1" x14ac:dyDescent="0.4">
      <c r="A178" s="16" t="s">
        <v>36</v>
      </c>
      <c r="B178" s="16" t="s">
        <v>37</v>
      </c>
      <c r="C178" s="17">
        <v>45999</v>
      </c>
      <c r="D178" s="16" t="s">
        <v>248</v>
      </c>
      <c r="E178" s="16" t="s">
        <v>787</v>
      </c>
      <c r="F178" s="16">
        <v>28562</v>
      </c>
      <c r="G178" s="18" t="s">
        <v>788</v>
      </c>
      <c r="H178" s="16" t="s">
        <v>519</v>
      </c>
      <c r="I178" s="19" t="s">
        <v>789</v>
      </c>
      <c r="J178" s="16" t="str">
        <f>IFERROR(VLOOKUP(I178,[1]Sheet1!$A$1:$B$200,2,0),"_")</f>
        <v>QK</v>
      </c>
      <c r="K178" s="19" t="s">
        <v>790</v>
      </c>
      <c r="L178" s="16" t="str">
        <f>IFERROR(VLOOKUP(K178,[1]Sheet1!$A$1:$B$200,2,0),"-")</f>
        <v>PP</v>
      </c>
      <c r="M178" s="19" t="s">
        <v>752</v>
      </c>
      <c r="N178" s="16" t="str">
        <f>IFERROR(VLOOKUP(M178,[1]Sheet1!$G$2:$H$200,2,0),"-")</f>
        <v>ONE</v>
      </c>
      <c r="O178" s="31" t="s">
        <v>55</v>
      </c>
      <c r="P178" s="17" t="s">
        <v>55</v>
      </c>
      <c r="Q178" s="20" t="s">
        <v>791</v>
      </c>
      <c r="R178" s="20" t="s">
        <v>796</v>
      </c>
      <c r="S178" s="21" t="str" cm="1">
        <f t="array" ref="S178">IF(
OR(AD178="",ISERROR(AD178)),
"-",
_xlfn.UNIQUE(_xlfn._xlws.FILTER([1]Sheet1!$D$2:$D$200,ISNUMBER(SEARCH(AD178,[1]Sheet1!$D$2:$D$200))))
)</f>
        <v>(주)유진로직스</v>
      </c>
      <c r="T178" s="22" t="s">
        <v>797</v>
      </c>
      <c r="U178" s="16" t="str" cm="1">
        <f t="array" ref="U178">IF(
OR(AD178="",ISERROR(AD178)),
"-",
_xlfn.UNIQUE(_xlfn._xlws.FILTER([1]Sheet1!$D$2:$D$200,ISNUMBER(SEARCH(AD178,[1]Sheet1!$D$2:$D$200))))
)</f>
        <v>(주)유진로직스</v>
      </c>
      <c r="V178" s="23">
        <v>220000</v>
      </c>
      <c r="W178" s="23">
        <v>180000</v>
      </c>
      <c r="X178" s="23">
        <f t="shared" si="6"/>
        <v>40000</v>
      </c>
      <c r="Y178" s="25" t="s">
        <v>798</v>
      </c>
      <c r="Z178" s="19" t="s">
        <v>51</v>
      </c>
      <c r="AA178" s="19" t="s">
        <v>144</v>
      </c>
      <c r="AB178" s="18" t="s">
        <v>795</v>
      </c>
      <c r="AC178" s="17" t="str">
        <f t="shared" si="5"/>
        <v>Y</v>
      </c>
      <c r="AD178" s="17" t="s">
        <v>70</v>
      </c>
      <c r="AF178" s="27" t="s">
        <v>55</v>
      </c>
      <c r="AG178" s="27" t="s">
        <v>55</v>
      </c>
      <c r="AI178" s="28" t="s">
        <v>57</v>
      </c>
    </row>
    <row r="179" spans="1:35" ht="34.950000000000003" customHeight="1" x14ac:dyDescent="0.4">
      <c r="A179" s="16" t="s">
        <v>36</v>
      </c>
      <c r="B179" s="16" t="s">
        <v>37</v>
      </c>
      <c r="C179" s="17">
        <v>45999</v>
      </c>
      <c r="D179" s="16" t="s">
        <v>248</v>
      </c>
      <c r="E179" s="16" t="s">
        <v>787</v>
      </c>
      <c r="F179" s="16">
        <v>28562</v>
      </c>
      <c r="G179" s="18" t="s">
        <v>788</v>
      </c>
      <c r="H179" s="16" t="s">
        <v>519</v>
      </c>
      <c r="I179" s="19" t="s">
        <v>789</v>
      </c>
      <c r="J179" s="16" t="str">
        <f>IFERROR(VLOOKUP(I179,[1]Sheet1!$A$1:$B$200,2,0),"_")</f>
        <v>QK</v>
      </c>
      <c r="K179" s="19" t="s">
        <v>790</v>
      </c>
      <c r="L179" s="16" t="str">
        <f>IFERROR(VLOOKUP(K179,[1]Sheet1!$A$1:$B$200,2,0),"-")</f>
        <v>PP</v>
      </c>
      <c r="M179" s="19" t="s">
        <v>752</v>
      </c>
      <c r="N179" s="16" t="str">
        <f>IFERROR(VLOOKUP(M179,[1]Sheet1!$G$2:$H$200,2,0),"-")</f>
        <v>ONE</v>
      </c>
      <c r="O179" s="31" t="s">
        <v>55</v>
      </c>
      <c r="P179" s="17" t="s">
        <v>55</v>
      </c>
      <c r="Q179" s="20" t="s">
        <v>799</v>
      </c>
      <c r="R179" s="20" t="s">
        <v>800</v>
      </c>
      <c r="S179" s="21" t="str" cm="1">
        <f t="array" ref="S179">IF(
OR(AD179="",ISERROR(AD179)),
"-",
_xlfn.UNIQUE(_xlfn._xlws.FILTER([1]Sheet1!$D$2:$D$200,ISNUMBER(SEARCH(AD179,[1]Sheet1!$D$2:$D$200))))
)</f>
        <v>(주)유진로직스</v>
      </c>
      <c r="T179" s="22" t="s">
        <v>801</v>
      </c>
      <c r="U179" s="16" t="str" cm="1">
        <f t="array" ref="U179">IF(
OR(AD179="",ISERROR(AD179)),
"-",
_xlfn.UNIQUE(_xlfn._xlws.FILTER([1]Sheet1!$D$2:$D$200,ISNUMBER(SEARCH(AD179,[1]Sheet1!$D$2:$D$200))))
)</f>
        <v>(주)유진로직스</v>
      </c>
      <c r="V179" s="23">
        <v>330000</v>
      </c>
      <c r="W179" s="23">
        <v>300000</v>
      </c>
      <c r="X179" s="23">
        <f t="shared" si="6"/>
        <v>30000</v>
      </c>
      <c r="Y179" s="25" t="s">
        <v>802</v>
      </c>
      <c r="Z179" s="19" t="s">
        <v>51</v>
      </c>
      <c r="AA179" s="19" t="s">
        <v>144</v>
      </c>
      <c r="AB179" s="18" t="s">
        <v>795</v>
      </c>
      <c r="AC179" s="17" t="str">
        <f t="shared" si="5"/>
        <v>Y</v>
      </c>
      <c r="AD179" s="17" t="s">
        <v>70</v>
      </c>
      <c r="AF179" s="27" t="s">
        <v>55</v>
      </c>
      <c r="AG179" s="27" t="s">
        <v>55</v>
      </c>
      <c r="AI179" s="28" t="s">
        <v>57</v>
      </c>
    </row>
    <row r="180" spans="1:35" ht="34.950000000000003" customHeight="1" x14ac:dyDescent="0.4">
      <c r="A180" s="16" t="s">
        <v>71</v>
      </c>
      <c r="B180" s="16" t="s">
        <v>99</v>
      </c>
      <c r="C180" s="17">
        <v>45999</v>
      </c>
      <c r="D180" s="16" t="s">
        <v>308</v>
      </c>
      <c r="E180" s="16" t="s">
        <v>803</v>
      </c>
      <c r="F180" s="16">
        <v>28090</v>
      </c>
      <c r="G180" s="18" t="s">
        <v>150</v>
      </c>
      <c r="H180" s="16" t="s">
        <v>41</v>
      </c>
      <c r="I180" s="19" t="s">
        <v>76</v>
      </c>
      <c r="J180" s="16" t="str">
        <f>IFERROR(VLOOKUP(I180,[1]Sheet1!$A$1:$B$200,2,0),"_")</f>
        <v>NJ</v>
      </c>
      <c r="K180" s="19" t="s">
        <v>76</v>
      </c>
      <c r="L180" s="16" t="str">
        <f>IFERROR(VLOOKUP(K180,[1]Sheet1!$A$1:$B$200,2,0),"-")</f>
        <v>NJ</v>
      </c>
      <c r="M180" s="19" t="s">
        <v>151</v>
      </c>
      <c r="N180" s="16" t="str">
        <f>IFERROR(VLOOKUP(M180,[1]Sheet1!$G$2:$H$200,2,0),"-")</f>
        <v>NSSL</v>
      </c>
      <c r="O180" s="31" t="s">
        <v>55</v>
      </c>
      <c r="P180" s="17" t="s">
        <v>55</v>
      </c>
      <c r="Q180" s="20" t="s">
        <v>804</v>
      </c>
      <c r="R180" s="20"/>
      <c r="S180" s="21" t="str" cm="1">
        <f t="array" ref="S180">IF(
OR(AD180="",ISERROR(AD180)),
"-",
_xlfn.UNIQUE(_xlfn._xlws.FILTER([1]Sheet1!$D$2:$D$200,ISNUMBER(SEARCH(AD180,[1]Sheet1!$D$2:$D$200))))
)</f>
        <v>태성종합물류</v>
      </c>
      <c r="T180" s="22" t="s">
        <v>720</v>
      </c>
      <c r="U180" s="16" t="str" cm="1">
        <f t="array" ref="U180">IF(
OR(AD180="",ISERROR(AD180)),
"-",
_xlfn.UNIQUE(_xlfn._xlws.FILTER([1]Sheet1!$D$2:$D$200,ISNUMBER(SEARCH(AD180,[1]Sheet1!$D$2:$D$200))))
)</f>
        <v>태성종합물류</v>
      </c>
      <c r="V180" s="23">
        <v>415000</v>
      </c>
      <c r="W180" s="23">
        <v>388200</v>
      </c>
      <c r="X180" s="23">
        <f t="shared" si="6"/>
        <v>26800</v>
      </c>
      <c r="Y180" s="25" t="s">
        <v>805</v>
      </c>
      <c r="Z180" s="19" t="s">
        <v>51</v>
      </c>
      <c r="AA180" s="19" t="s">
        <v>93</v>
      </c>
      <c r="AC180" s="17" t="str">
        <f t="shared" si="5"/>
        <v>Y</v>
      </c>
      <c r="AD180" s="17" t="s">
        <v>82</v>
      </c>
      <c r="AF180" s="27" t="s">
        <v>55</v>
      </c>
      <c r="AG180" s="27" t="s">
        <v>55</v>
      </c>
      <c r="AI180" s="28" t="s">
        <v>57</v>
      </c>
    </row>
    <row r="181" spans="1:35" ht="34.950000000000003" customHeight="1" x14ac:dyDescent="0.4">
      <c r="A181" s="16" t="s">
        <v>36</v>
      </c>
      <c r="B181" s="16" t="s">
        <v>37</v>
      </c>
      <c r="C181" s="17">
        <v>45999</v>
      </c>
      <c r="D181" s="16" t="s">
        <v>126</v>
      </c>
      <c r="E181" s="16" t="s">
        <v>806</v>
      </c>
      <c r="F181" s="16">
        <v>26793</v>
      </c>
      <c r="G181" s="18" t="s">
        <v>807</v>
      </c>
      <c r="H181" s="16" t="s">
        <v>41</v>
      </c>
      <c r="I181" s="19" t="s">
        <v>137</v>
      </c>
      <c r="J181" s="16" t="str">
        <f>IFERROR(VLOOKUP(I181,[1]Sheet1!$A$1:$B$200,2,0),"_")</f>
        <v>BE</v>
      </c>
      <c r="K181" s="19" t="s">
        <v>42</v>
      </c>
      <c r="L181" s="16" t="str">
        <f>IFERROR(VLOOKUP(K181,[1]Sheet1!$A$1:$B$200,2,0),"-")</f>
        <v>P</v>
      </c>
      <c r="M181" s="19" t="s">
        <v>130</v>
      </c>
      <c r="N181" s="16" t="str">
        <f>IFERROR(VLOOKUP(M181,[1]Sheet1!$G$2:$H$200,2,0),"-")</f>
        <v>PCLU</v>
      </c>
      <c r="O181" s="18" t="s">
        <v>808</v>
      </c>
      <c r="P181" s="17">
        <v>46001</v>
      </c>
      <c r="Q181" s="20" t="s">
        <v>809</v>
      </c>
      <c r="R181" s="20" t="s">
        <v>810</v>
      </c>
      <c r="S181" s="21" t="str" cm="1">
        <f t="array" ref="S181">IF(
OR(AD181="",ISERROR(AD181)),
"-",
_xlfn.UNIQUE(_xlfn._xlws.FILTER([1]Sheet1!$D$2:$D$200,ISNUMBER(SEARCH(AD181,[1]Sheet1!$D$2:$D$200))))
)</f>
        <v>씨제이대한통운(주)</v>
      </c>
      <c r="T181" s="22" t="s">
        <v>811</v>
      </c>
      <c r="U181" s="16" t="str" cm="1">
        <f t="array" ref="U181">IF(
OR(AD181="",ISERROR(AD181)),
"-",
_xlfn.UNIQUE(_xlfn._xlws.FILTER([1]Sheet1!$D$2:$D$200,ISNUMBER(SEARCH(AD181,[1]Sheet1!$D$2:$D$200))))
)</f>
        <v>씨제이대한통운(주)</v>
      </c>
      <c r="V181" s="23">
        <v>740000</v>
      </c>
      <c r="W181" s="23">
        <v>662300</v>
      </c>
      <c r="X181" s="23">
        <f t="shared" si="6"/>
        <v>77700</v>
      </c>
      <c r="Y181" s="25" t="s">
        <v>812</v>
      </c>
      <c r="Z181" s="19" t="s">
        <v>51</v>
      </c>
      <c r="AA181" s="19" t="s">
        <v>52</v>
      </c>
      <c r="AB181" s="18" t="s">
        <v>813</v>
      </c>
      <c r="AC181" s="17" t="str">
        <f t="shared" si="5"/>
        <v>Y</v>
      </c>
      <c r="AD181" s="17" t="s">
        <v>814</v>
      </c>
      <c r="AF181" s="27" t="s">
        <v>55</v>
      </c>
      <c r="AG181" s="27" t="s">
        <v>55</v>
      </c>
      <c r="AI181" s="28" t="s">
        <v>57</v>
      </c>
    </row>
    <row r="182" spans="1:35" ht="34.950000000000003" customHeight="1" x14ac:dyDescent="0.4">
      <c r="A182" s="16" t="s">
        <v>71</v>
      </c>
      <c r="B182" s="16" t="s">
        <v>37</v>
      </c>
      <c r="C182" s="17">
        <v>45999</v>
      </c>
      <c r="D182" s="16" t="s">
        <v>575</v>
      </c>
      <c r="E182" s="16" t="s">
        <v>815</v>
      </c>
      <c r="F182" s="16">
        <v>26392</v>
      </c>
      <c r="G182" s="18" t="s">
        <v>816</v>
      </c>
      <c r="H182" s="16" t="s">
        <v>519</v>
      </c>
      <c r="I182" s="19" t="s">
        <v>817</v>
      </c>
      <c r="J182" s="16" t="s">
        <v>818</v>
      </c>
      <c r="K182" s="19" t="s">
        <v>819</v>
      </c>
      <c r="L182" s="16" t="str">
        <f>IFERROR(VLOOKUP(K182,[1]Sheet1!$A$1:$B$200,2,0),"-")</f>
        <v>AS</v>
      </c>
      <c r="M182" s="19" t="s">
        <v>382</v>
      </c>
      <c r="N182" s="16" t="str">
        <f>IFERROR(VLOOKUP(M182,[1]Sheet1!$G$2:$H$200,2,0),"-")</f>
        <v>EASL</v>
      </c>
      <c r="O182" s="31" t="s">
        <v>55</v>
      </c>
      <c r="P182" s="17" t="s">
        <v>55</v>
      </c>
      <c r="Q182" s="20" t="s">
        <v>820</v>
      </c>
      <c r="R182" s="20"/>
      <c r="S182" s="21" t="str" cm="1">
        <f t="array" ref="S182">IF(
OR(AD182="",ISERROR(AD182)),
"-",
_xlfn.UNIQUE(_xlfn._xlws.FILTER([1]Sheet1!$D$2:$D$200,ISNUMBER(SEARCH(AD182,[1]Sheet1!$D$2:$D$200))))
)</f>
        <v>(주)유진로직스</v>
      </c>
      <c r="T182" s="22" t="s">
        <v>821</v>
      </c>
      <c r="U182" s="16" t="str" cm="1">
        <f t="array" ref="U182">IF(
OR(AD182="",ISERROR(AD182)),
"-",
_xlfn.UNIQUE(_xlfn._xlws.FILTER([1]Sheet1!$D$2:$D$200,ISNUMBER(SEARCH(AD182,[1]Sheet1!$D$2:$D$200))))
)</f>
        <v>(주)유진로직스</v>
      </c>
      <c r="V182" s="23">
        <v>470000</v>
      </c>
      <c r="W182" s="23">
        <v>409000</v>
      </c>
      <c r="X182" s="23">
        <f t="shared" si="6"/>
        <v>61000</v>
      </c>
      <c r="Y182" s="25" t="s">
        <v>822</v>
      </c>
      <c r="Z182" s="19" t="s">
        <v>51</v>
      </c>
      <c r="AA182" s="19" t="s">
        <v>144</v>
      </c>
      <c r="AC182" s="17" t="str">
        <f t="shared" si="5"/>
        <v>Y</v>
      </c>
      <c r="AD182" s="17" t="s">
        <v>70</v>
      </c>
      <c r="AF182" s="27" t="s">
        <v>55</v>
      </c>
      <c r="AG182" s="27" t="s">
        <v>55</v>
      </c>
      <c r="AI182" s="28" t="s">
        <v>57</v>
      </c>
    </row>
    <row r="183" spans="1:35" ht="34.950000000000003" customHeight="1" x14ac:dyDescent="0.4">
      <c r="A183" s="16" t="s">
        <v>71</v>
      </c>
      <c r="B183" s="16" t="s">
        <v>37</v>
      </c>
      <c r="C183" s="17">
        <v>45999</v>
      </c>
      <c r="D183" s="16" t="s">
        <v>216</v>
      </c>
      <c r="E183" s="16" t="s">
        <v>823</v>
      </c>
      <c r="F183" s="16">
        <v>28259</v>
      </c>
      <c r="G183" s="18" t="s">
        <v>824</v>
      </c>
      <c r="H183" s="16" t="s">
        <v>75</v>
      </c>
      <c r="I183" s="19" t="s">
        <v>381</v>
      </c>
      <c r="J183" s="16" t="str">
        <f>IFERROR(VLOOKUP(I183,[1]Sheet1!$A$1:$B$200,2,0),"_")</f>
        <v>PT</v>
      </c>
      <c r="K183" s="19" t="s">
        <v>381</v>
      </c>
      <c r="L183" s="16" t="str">
        <f>IFERROR(VLOOKUP(K183,[1]Sheet1!$A$1:$B$200,2,0),"-")</f>
        <v>PT</v>
      </c>
      <c r="M183" s="19" t="s">
        <v>825</v>
      </c>
      <c r="N183" s="16" t="str">
        <f>IFERROR(VLOOKUP(M183,[1]Sheet1!$G$2:$H$200,2,0),"-")</f>
        <v>DOOW</v>
      </c>
      <c r="O183" s="31" t="s">
        <v>55</v>
      </c>
      <c r="P183" s="17" t="s">
        <v>55</v>
      </c>
      <c r="Q183" s="20" t="s">
        <v>826</v>
      </c>
      <c r="R183" s="20"/>
      <c r="S183" s="21" t="str" cm="1">
        <f t="array" ref="S183">IF(
OR(AD183="",ISERROR(AD183)),
"-",
_xlfn.UNIQUE(_xlfn._xlws.FILTER([1]Sheet1!$D$2:$D$200,ISNUMBER(SEARCH(AD183,[1]Sheet1!$D$2:$D$200))))
)</f>
        <v>더로지스 주식회사</v>
      </c>
      <c r="T183" s="22" t="s">
        <v>592</v>
      </c>
      <c r="U183" s="16" t="str" cm="1">
        <f t="array" ref="U183">IF(
OR(AD183="",ISERROR(AD183)),
"-",
_xlfn.UNIQUE(_xlfn._xlws.FILTER([1]Sheet1!$D$2:$D$200,ISNUMBER(SEARCH(AD183,[1]Sheet1!$D$2:$D$200))))
)</f>
        <v>더로지스 주식회사</v>
      </c>
      <c r="V183" s="23">
        <v>345000</v>
      </c>
      <c r="W183" s="23">
        <v>320000</v>
      </c>
      <c r="X183" s="23">
        <f t="shared" si="6"/>
        <v>25000</v>
      </c>
      <c r="Y183" s="25" t="s">
        <v>827</v>
      </c>
      <c r="Z183" s="19" t="s">
        <v>51</v>
      </c>
      <c r="AA183" s="19" t="s">
        <v>93</v>
      </c>
      <c r="AC183" s="17" t="str">
        <f t="shared" si="5"/>
        <v>Y</v>
      </c>
      <c r="AD183" s="17" t="s">
        <v>386</v>
      </c>
      <c r="AF183" s="27" t="s">
        <v>55</v>
      </c>
      <c r="AG183" s="27" t="s">
        <v>55</v>
      </c>
      <c r="AI183" s="28" t="s">
        <v>57</v>
      </c>
    </row>
    <row r="184" spans="1:35" ht="34.950000000000003" customHeight="1" x14ac:dyDescent="0.4">
      <c r="A184" s="16" t="s">
        <v>71</v>
      </c>
      <c r="B184" s="16" t="s">
        <v>99</v>
      </c>
      <c r="C184" s="17">
        <v>45999</v>
      </c>
      <c r="D184" s="16" t="s">
        <v>248</v>
      </c>
      <c r="E184" s="16" t="s">
        <v>536</v>
      </c>
      <c r="F184" s="16">
        <v>8577</v>
      </c>
      <c r="G184" s="18" t="s">
        <v>828</v>
      </c>
      <c r="H184" s="16" t="s">
        <v>59</v>
      </c>
      <c r="I184" s="1" t="s">
        <v>829</v>
      </c>
      <c r="J184" s="16" t="str">
        <f>IFERROR(VLOOKUP(I184,[1]Sheet1!$A$1:$B$200,2,0),"_")</f>
        <v>AI</v>
      </c>
      <c r="K184" s="19" t="s">
        <v>538</v>
      </c>
      <c r="L184" s="16" t="str">
        <f>IFERROR(VLOOKUP(K184,[1]Sheet1!$A$1:$B$200,2,0),"-")</f>
        <v>OS</v>
      </c>
      <c r="M184" s="19" t="s">
        <v>64</v>
      </c>
      <c r="N184" s="16" t="str">
        <f>IFERROR(VLOOKUP(M184,[1]Sheet1!$G$2:$H$200,2,0),"-")</f>
        <v>XXXX</v>
      </c>
      <c r="O184" s="31" t="s">
        <v>55</v>
      </c>
      <c r="P184" s="17" t="s">
        <v>55</v>
      </c>
      <c r="Q184" s="20" t="s">
        <v>830</v>
      </c>
      <c r="R184" s="20"/>
      <c r="S184" s="21" t="str" cm="1">
        <f t="array" ref="S184">IF(
OR(AD184="",ISERROR(AD184)),
"-",
_xlfn.UNIQUE(_xlfn._xlws.FILTER([1]Sheet1!$D$2:$D$200,ISNUMBER(SEARCH(AD184,[1]Sheet1!$D$2:$D$200))))
)</f>
        <v>로지스팟 주식회사</v>
      </c>
      <c r="T184" s="22" t="s">
        <v>831</v>
      </c>
      <c r="U184" s="16" t="str" cm="1">
        <f t="array" ref="U184">IF(
OR(AD184="",ISERROR(AD184)),
"-",
_xlfn.UNIQUE(_xlfn._xlws.FILTER([1]Sheet1!$D$2:$D$200,ISNUMBER(SEARCH(AD184,[1]Sheet1!$D$2:$D$200))))
)</f>
        <v>로지스팟 주식회사</v>
      </c>
      <c r="V184" s="23">
        <v>160000</v>
      </c>
      <c r="W184" s="23">
        <v>130000</v>
      </c>
      <c r="X184" s="23">
        <f t="shared" si="6"/>
        <v>30000</v>
      </c>
      <c r="Y184" s="25" t="s">
        <v>832</v>
      </c>
      <c r="Z184" s="19" t="s">
        <v>51</v>
      </c>
      <c r="AA184" s="19" t="s">
        <v>144</v>
      </c>
      <c r="AC184" s="17" t="str">
        <f t="shared" si="5"/>
        <v>Y</v>
      </c>
      <c r="AD184" s="17" t="s">
        <v>833</v>
      </c>
      <c r="AF184" s="27" t="s">
        <v>55</v>
      </c>
      <c r="AG184" s="27" t="s">
        <v>55</v>
      </c>
      <c r="AI184" s="28" t="s">
        <v>57</v>
      </c>
    </row>
    <row r="185" spans="1:35" ht="34.950000000000003" customHeight="1" x14ac:dyDescent="0.4">
      <c r="A185" s="16" t="s">
        <v>36</v>
      </c>
      <c r="B185" s="16" t="s">
        <v>37</v>
      </c>
      <c r="C185" s="17">
        <v>45993</v>
      </c>
      <c r="D185" s="16" t="s">
        <v>248</v>
      </c>
      <c r="E185" s="16" t="s">
        <v>315</v>
      </c>
      <c r="F185" s="16">
        <v>24022</v>
      </c>
      <c r="G185" s="18" t="s">
        <v>316</v>
      </c>
      <c r="H185" s="16" t="s">
        <v>41</v>
      </c>
      <c r="I185" s="19" t="s">
        <v>317</v>
      </c>
      <c r="J185" s="16" t="str">
        <f>IFERROR(VLOOKUP(I185,[1]Sheet1!$A$1:$B$200,2,0),"_")</f>
        <v>HN</v>
      </c>
      <c r="K185" s="19" t="s">
        <v>317</v>
      </c>
      <c r="L185" s="16" t="str">
        <f>IFERROR(VLOOKUP(K185,[1]Sheet1!$A$1:$B$200,2,0),"-")</f>
        <v>HN</v>
      </c>
      <c r="M185" s="19" t="s">
        <v>318</v>
      </c>
      <c r="N185" s="16" t="str">
        <f>IFERROR(VLOOKUP(M185,[1]Sheet1!$G$2:$H$200,2,0),"-")</f>
        <v>SM</v>
      </c>
      <c r="O185" s="27" t="s">
        <v>834</v>
      </c>
      <c r="P185" s="17">
        <v>46007</v>
      </c>
      <c r="Q185" s="20" t="s">
        <v>835</v>
      </c>
      <c r="R185" s="20" t="s">
        <v>836</v>
      </c>
      <c r="S185" s="21" t="str" cm="1">
        <f t="array" ref="S185">IF(
OR(AD185="",ISERROR(AD185)),
"-",
_xlfn.UNIQUE(_xlfn._xlws.FILTER([1]Sheet1!$D$2:$D$200,ISNUMBER(SEARCH(AD185,[1]Sheet1!$D$2:$D$200))))
)</f>
        <v>에이치엔엘트랜스</v>
      </c>
      <c r="T185" s="22" t="s">
        <v>837</v>
      </c>
      <c r="U185" s="16" t="str" cm="1">
        <f t="array" ref="U185">IF(
OR(AD185="",ISERROR(AD185)),
"-",
_xlfn.UNIQUE(_xlfn._xlws.FILTER([1]Sheet1!$D$2:$D$200,ISNUMBER(SEARCH(AD185,[1]Sheet1!$D$2:$D$200))))
)</f>
        <v>에이치엔엘트랜스</v>
      </c>
      <c r="V185" s="23">
        <v>418000</v>
      </c>
      <c r="W185" s="24">
        <v>385000</v>
      </c>
      <c r="X185" s="23">
        <f t="shared" si="6"/>
        <v>33000</v>
      </c>
      <c r="Y185" s="25" t="s">
        <v>838</v>
      </c>
      <c r="Z185" s="19" t="s">
        <v>51</v>
      </c>
      <c r="AA185" s="19" t="s">
        <v>144</v>
      </c>
      <c r="AC185" s="17" t="str">
        <f t="shared" si="5"/>
        <v>Y</v>
      </c>
      <c r="AD185" s="17" t="s">
        <v>324</v>
      </c>
      <c r="AF185" s="27" t="s">
        <v>55</v>
      </c>
      <c r="AG185" s="27" t="s">
        <v>55</v>
      </c>
      <c r="AI185" s="28" t="s">
        <v>57</v>
      </c>
    </row>
    <row r="186" spans="1:35" ht="34.950000000000003" customHeight="1" x14ac:dyDescent="0.4">
      <c r="A186" s="16" t="s">
        <v>71</v>
      </c>
      <c r="B186" s="16" t="s">
        <v>99</v>
      </c>
      <c r="C186" s="17">
        <v>46000</v>
      </c>
      <c r="D186" s="16" t="s">
        <v>100</v>
      </c>
      <c r="E186" s="16" t="s">
        <v>839</v>
      </c>
      <c r="F186" s="16">
        <v>18702</v>
      </c>
      <c r="G186" s="18" t="s">
        <v>102</v>
      </c>
      <c r="H186" s="16" t="s">
        <v>41</v>
      </c>
      <c r="I186" s="19" t="s">
        <v>76</v>
      </c>
      <c r="J186" s="16" t="str">
        <f>IFERROR(VLOOKUP(I186,[1]Sheet1!$A$2:$B$166,2,0),"_")</f>
        <v>NJ</v>
      </c>
      <c r="K186" s="19" t="s">
        <v>76</v>
      </c>
      <c r="L186" s="16" t="str">
        <f>IFERROR(VLOOKUP(K186,[1]Sheet1!$A$2:$B$166,2,0),"-")</f>
        <v>NJ</v>
      </c>
      <c r="M186" s="19" t="s">
        <v>77</v>
      </c>
      <c r="N186" s="16" t="str">
        <f>IFERROR(VLOOKUP(M186,[1]Sheet1!$G$2:$H$200,2,0),"-")</f>
        <v>KMTC</v>
      </c>
      <c r="O186" s="18" t="s">
        <v>55</v>
      </c>
      <c r="P186" s="17" t="s">
        <v>55</v>
      </c>
      <c r="Q186" s="20" t="s">
        <v>840</v>
      </c>
      <c r="R186" s="20"/>
      <c r="S186" s="21" t="str" cm="1">
        <f t="array" ref="S186">IF(
OR(AD186="",ISERROR(AD186)),
"-",
_xlfn.UNIQUE(_xlfn._xlws.FILTER([1]Sheet1!$D$2:$D$200,ISNUMBER(SEARCH(AD186,[1]Sheet1!$D$2:$D$200))))
)</f>
        <v>태성종합물류</v>
      </c>
      <c r="T186" s="22" t="s">
        <v>841</v>
      </c>
      <c r="U186" s="16" t="str" cm="1">
        <f t="array" ref="U186">IF(
OR(AD186="",ISERROR(AD186)),
"-",
_xlfn.UNIQUE(_xlfn._xlws.FILTER([1]Sheet1!$D$2:$D$200,ISNUMBER(SEARCH(AD186,[1]Sheet1!$D$2:$D$200))))
)</f>
        <v>태성종합물류</v>
      </c>
      <c r="V186" s="23">
        <v>335000</v>
      </c>
      <c r="W186" s="23">
        <v>307300</v>
      </c>
      <c r="X186" s="23">
        <f t="shared" si="6"/>
        <v>27700</v>
      </c>
      <c r="Y186" s="25" t="s">
        <v>842</v>
      </c>
      <c r="Z186" s="19" t="s">
        <v>51</v>
      </c>
      <c r="AA186" s="19" t="s">
        <v>81</v>
      </c>
      <c r="AC186" s="17" t="str">
        <f t="shared" si="5"/>
        <v>Y</v>
      </c>
      <c r="AD186" s="17" t="s">
        <v>82</v>
      </c>
      <c r="AF186" s="27" t="s">
        <v>55</v>
      </c>
      <c r="AG186" s="27" t="s">
        <v>55</v>
      </c>
      <c r="AI186" s="28" t="s">
        <v>57</v>
      </c>
    </row>
    <row r="187" spans="1:35" ht="34.950000000000003" customHeight="1" x14ac:dyDescent="0.4">
      <c r="A187" s="16" t="s">
        <v>71</v>
      </c>
      <c r="B187" s="16" t="s">
        <v>99</v>
      </c>
      <c r="C187" s="17">
        <v>46000</v>
      </c>
      <c r="D187" s="16" t="s">
        <v>308</v>
      </c>
      <c r="E187" s="16" t="s">
        <v>149</v>
      </c>
      <c r="F187" s="16">
        <v>28090</v>
      </c>
      <c r="G187" s="18" t="s">
        <v>74</v>
      </c>
      <c r="H187" s="16" t="s">
        <v>41</v>
      </c>
      <c r="I187" s="19" t="s">
        <v>843</v>
      </c>
      <c r="J187" s="16" t="str">
        <f>IFERROR(VLOOKUP(I187,[1]Sheet1!$A$2:$B$166,2,0),"_")</f>
        <v>NJ</v>
      </c>
      <c r="K187" s="19" t="s">
        <v>843</v>
      </c>
      <c r="L187" s="16" t="str">
        <f>IFERROR(VLOOKUP(K187,[1]Sheet1!$A$2:$B$166,2,0),"-")</f>
        <v>NJ</v>
      </c>
      <c r="M187" s="19" t="s">
        <v>151</v>
      </c>
      <c r="N187" s="16" t="str">
        <f>IFERROR(VLOOKUP(M187,[1]Sheet1!$G$2:$H$200,2,0),"-")</f>
        <v>NSSL</v>
      </c>
      <c r="O187" s="18" t="s">
        <v>55</v>
      </c>
      <c r="P187" s="17" t="s">
        <v>55</v>
      </c>
      <c r="Q187" s="20" t="s">
        <v>844</v>
      </c>
      <c r="R187" s="20"/>
      <c r="S187" s="21" t="str" cm="1">
        <f t="array" ref="S187">IF(
OR(AD187="",ISERROR(AD187)),
"-",
_xlfn.UNIQUE(_xlfn._xlws.FILTER([1]Sheet1!$D$2:$D$200,ISNUMBER(SEARCH(AD187,[1]Sheet1!$D$2:$D$200))))
)</f>
        <v>태성종합물류</v>
      </c>
      <c r="T187" s="22" t="s">
        <v>715</v>
      </c>
      <c r="U187" s="16" t="str" cm="1">
        <f t="array" ref="U187">IF(
OR(AD187="",ISERROR(AD187)),
"-",
_xlfn.UNIQUE(_xlfn._xlws.FILTER([1]Sheet1!$D$2:$D$200,ISNUMBER(SEARCH(AD187,[1]Sheet1!$D$2:$D$200))))
)</f>
        <v>태성종합물류</v>
      </c>
      <c r="V187" s="23">
        <v>415000</v>
      </c>
      <c r="W187" s="23">
        <v>388200</v>
      </c>
      <c r="X187" s="23">
        <f t="shared" si="6"/>
        <v>26800</v>
      </c>
      <c r="Y187" s="25" t="s">
        <v>845</v>
      </c>
      <c r="Z187" s="19" t="s">
        <v>51</v>
      </c>
      <c r="AA187" s="19" t="s">
        <v>93</v>
      </c>
      <c r="AB187" s="18" t="s">
        <v>846</v>
      </c>
      <c r="AC187" s="17" t="str">
        <f t="shared" si="5"/>
        <v>Y</v>
      </c>
      <c r="AD187" s="17" t="s">
        <v>82</v>
      </c>
      <c r="AF187" s="27" t="s">
        <v>55</v>
      </c>
      <c r="AG187" s="27" t="s">
        <v>55</v>
      </c>
      <c r="AI187" s="28" t="s">
        <v>57</v>
      </c>
    </row>
    <row r="188" spans="1:35" ht="34.950000000000003" customHeight="1" x14ac:dyDescent="0.4">
      <c r="A188" s="16" t="s">
        <v>36</v>
      </c>
      <c r="B188" s="16" t="s">
        <v>37</v>
      </c>
      <c r="C188" s="17">
        <v>46000</v>
      </c>
      <c r="D188" s="16" t="s">
        <v>442</v>
      </c>
      <c r="E188" s="16" t="s">
        <v>442</v>
      </c>
      <c r="F188" s="16">
        <v>6763</v>
      </c>
      <c r="G188" s="18" t="s">
        <v>847</v>
      </c>
      <c r="H188" s="16" t="s">
        <v>41</v>
      </c>
      <c r="I188" s="19" t="s">
        <v>62</v>
      </c>
      <c r="J188" s="16" t="str">
        <f>IFERROR(VLOOKUP(I188,[1]Sheet1!$A$2:$B$166,2,0),"_")</f>
        <v>Y1</v>
      </c>
      <c r="K188" s="36" t="s">
        <v>272</v>
      </c>
      <c r="L188" s="16" t="str">
        <f>IFERROR(VLOOKUP(K188,[1]Sheet1!$A$2:$B$166,2,0),"-")</f>
        <v>Z9</v>
      </c>
      <c r="M188" s="19" t="s">
        <v>151</v>
      </c>
      <c r="N188" s="16" t="str">
        <f>IFERROR(VLOOKUP(M188,[1]Sheet1!$G$2:$H$200,2,0),"-")</f>
        <v>NSSL</v>
      </c>
      <c r="O188" s="18" t="s">
        <v>848</v>
      </c>
      <c r="P188" s="17">
        <v>46004</v>
      </c>
      <c r="Q188" s="20" t="s">
        <v>849</v>
      </c>
      <c r="R188" s="20" t="s">
        <v>850</v>
      </c>
      <c r="S188" s="21" t="str" cm="1">
        <f t="array" ref="S188">IF(
OR(AD188="",ISERROR(AD188)),
"-",
_xlfn.UNIQUE(_xlfn._xlws.FILTER([1]Sheet1!$D$2:$D$200,ISNUMBER(SEARCH(AD188,[1]Sheet1!$D$2:$D$200))))
)</f>
        <v>(주)부강에너지</v>
      </c>
      <c r="T188" s="22" t="s">
        <v>851</v>
      </c>
      <c r="U188" s="16" t="str" cm="1">
        <f t="array" ref="U188">IF(
OR(AD188="",ISERROR(AD188)),
"-",
_xlfn.UNIQUE(_xlfn._xlws.FILTER([1]Sheet1!$D$2:$D$200,ISNUMBER(SEARCH(AD188,[1]Sheet1!$D$2:$D$200))))
)</f>
        <v>(주)부강에너지</v>
      </c>
      <c r="V188" s="23">
        <v>1200000</v>
      </c>
      <c r="W188" s="23">
        <v>934300</v>
      </c>
      <c r="X188" s="23">
        <f t="shared" si="6"/>
        <v>265700</v>
      </c>
      <c r="Y188" s="25" t="s">
        <v>852</v>
      </c>
      <c r="Z188" s="19" t="s">
        <v>51</v>
      </c>
      <c r="AA188" s="19" t="s">
        <v>81</v>
      </c>
      <c r="AB188" s="18" t="s">
        <v>853</v>
      </c>
      <c r="AC188" s="17" t="str">
        <f t="shared" si="5"/>
        <v>Y</v>
      </c>
      <c r="AD188" s="17" t="s">
        <v>197</v>
      </c>
      <c r="AE188" s="26">
        <v>0.375</v>
      </c>
      <c r="AF188" s="27" t="s">
        <v>55</v>
      </c>
      <c r="AG188" s="27" t="s">
        <v>55</v>
      </c>
      <c r="AI188" s="28" t="s">
        <v>57</v>
      </c>
    </row>
    <row r="189" spans="1:35" ht="34.950000000000003" customHeight="1" x14ac:dyDescent="0.4">
      <c r="A189" s="16" t="s">
        <v>36</v>
      </c>
      <c r="B189" s="16" t="s">
        <v>37</v>
      </c>
      <c r="C189" s="17">
        <v>46000</v>
      </c>
      <c r="D189" s="16" t="s">
        <v>442</v>
      </c>
      <c r="E189" s="16" t="s">
        <v>442</v>
      </c>
      <c r="F189" s="16">
        <v>6763</v>
      </c>
      <c r="G189" s="18" t="s">
        <v>847</v>
      </c>
      <c r="H189" s="16" t="s">
        <v>41</v>
      </c>
      <c r="I189" s="19" t="s">
        <v>62</v>
      </c>
      <c r="J189" s="16" t="str">
        <f>IFERROR(VLOOKUP(I189,[1]Sheet1!$A$2:$B$166,2,0),"_")</f>
        <v>Y1</v>
      </c>
      <c r="K189" s="36" t="s">
        <v>272</v>
      </c>
      <c r="L189" s="16" t="str">
        <f>IFERROR(VLOOKUP(K189,[1]Sheet1!$A$2:$B$166,2,0),"-")</f>
        <v>Z9</v>
      </c>
      <c r="M189" s="19" t="s">
        <v>151</v>
      </c>
      <c r="N189" s="16" t="str">
        <f>IFERROR(VLOOKUP(M189,[1]Sheet1!$G$2:$H$200,2,0),"-")</f>
        <v>NSSL</v>
      </c>
      <c r="O189" s="18" t="s">
        <v>848</v>
      </c>
      <c r="P189" s="17">
        <v>46004</v>
      </c>
      <c r="Q189" s="20" t="s">
        <v>849</v>
      </c>
      <c r="R189" s="20" t="s">
        <v>850</v>
      </c>
      <c r="S189" s="21" t="str" cm="1">
        <f t="array" ref="S189">IF(
OR(AD189="",ISERROR(AD189)),
"-",
_xlfn.UNIQUE(_xlfn._xlws.FILTER([1]Sheet1!$D$2:$D$200,ISNUMBER(SEARCH(AD189,[1]Sheet1!$D$2:$D$200))))
)</f>
        <v>(주)부강에너지</v>
      </c>
      <c r="T189" s="22" t="s">
        <v>851</v>
      </c>
      <c r="U189" s="16" t="str" cm="1">
        <f t="array" ref="U189">IF(
OR(AD189="",ISERROR(AD189)),
"-",
_xlfn.UNIQUE(_xlfn._xlws.FILTER([1]Sheet1!$D$2:$D$200,ISNUMBER(SEARCH(AD189,[1]Sheet1!$D$2:$D$200))))
)</f>
        <v>(주)부강에너지</v>
      </c>
      <c r="V189" s="23">
        <v>48000</v>
      </c>
      <c r="W189" s="23">
        <v>48000</v>
      </c>
      <c r="X189" s="23">
        <f t="shared" si="6"/>
        <v>0</v>
      </c>
      <c r="Y189" s="25" t="s">
        <v>854</v>
      </c>
      <c r="Z189" s="19" t="s">
        <v>51</v>
      </c>
      <c r="AA189" s="19" t="s">
        <v>81</v>
      </c>
      <c r="AB189" s="18" t="s">
        <v>853</v>
      </c>
      <c r="AC189" s="17" t="str">
        <f t="shared" si="5"/>
        <v>Y</v>
      </c>
      <c r="AD189" s="17" t="s">
        <v>197</v>
      </c>
      <c r="AE189" s="26">
        <v>0.375</v>
      </c>
      <c r="AF189" s="27" t="s">
        <v>55</v>
      </c>
      <c r="AG189" s="27" t="s">
        <v>55</v>
      </c>
      <c r="AI189" s="28" t="s">
        <v>57</v>
      </c>
    </row>
    <row r="190" spans="1:35" ht="34.950000000000003" customHeight="1" x14ac:dyDescent="0.4">
      <c r="A190" s="16" t="s">
        <v>71</v>
      </c>
      <c r="B190" s="16" t="s">
        <v>37</v>
      </c>
      <c r="C190" s="17">
        <v>46000</v>
      </c>
      <c r="D190" s="16" t="s">
        <v>855</v>
      </c>
      <c r="E190" s="16" t="s">
        <v>856</v>
      </c>
      <c r="F190" s="16">
        <v>26969</v>
      </c>
      <c r="G190" s="18" t="s">
        <v>857</v>
      </c>
      <c r="H190" s="16" t="s">
        <v>41</v>
      </c>
      <c r="I190" s="19" t="s">
        <v>42</v>
      </c>
      <c r="J190" s="16" t="str">
        <f>IFERROR(VLOOKUP(I190,[1]Sheet1!$A$2:$B$166,2,0),"_")</f>
        <v>P</v>
      </c>
      <c r="K190" s="19" t="s">
        <v>42</v>
      </c>
      <c r="L190" s="16" t="str">
        <f>IFERROR(VLOOKUP(K190,[1]Sheet1!$A$2:$B$166,2,0),"-")</f>
        <v>P</v>
      </c>
      <c r="M190" s="19" t="s">
        <v>151</v>
      </c>
      <c r="N190" s="16" t="str">
        <f>IFERROR(VLOOKUP(M190,[1]Sheet1!$G$2:$H$200,2,0),"-")</f>
        <v>NSSL</v>
      </c>
      <c r="O190" s="18" t="s">
        <v>690</v>
      </c>
      <c r="P190" s="17" t="s">
        <v>690</v>
      </c>
      <c r="Q190" s="20" t="s">
        <v>858</v>
      </c>
      <c r="R190" s="20"/>
      <c r="S190" s="21" t="str" cm="1">
        <f t="array" ref="S190">IF(
OR(AD190="",ISERROR(AD190)),
"-",
_xlfn.UNIQUE(_xlfn._xlws.FILTER([1]Sheet1!$D$2:$D$200,ISNUMBER(SEARCH(AD190,[1]Sheet1!$D$2:$D$200))))
)</f>
        <v>에스지로지스틱</v>
      </c>
      <c r="T190" s="22" t="s">
        <v>859</v>
      </c>
      <c r="U190" s="16" t="str" cm="1">
        <f t="array" ref="U190">IF(
OR(AD190="",ISERROR(AD190)),
"-",
_xlfn.UNIQUE(_xlfn._xlws.FILTER([1]Sheet1!$D$2:$D$200,ISNUMBER(SEARCH(AD190,[1]Sheet1!$D$2:$D$200))))
)</f>
        <v>에스지로지스틱</v>
      </c>
      <c r="V190" s="23">
        <v>310000</v>
      </c>
      <c r="W190" s="23">
        <v>274000</v>
      </c>
      <c r="X190" s="23">
        <f t="shared" si="6"/>
        <v>36000</v>
      </c>
      <c r="Y190" s="25" t="s">
        <v>860</v>
      </c>
      <c r="Z190" s="19" t="s">
        <v>51</v>
      </c>
      <c r="AA190" s="19" t="s">
        <v>144</v>
      </c>
      <c r="AC190" s="17" t="str">
        <f t="shared" si="5"/>
        <v>Y</v>
      </c>
      <c r="AD190" s="17" t="s">
        <v>184</v>
      </c>
      <c r="AF190" s="27" t="s">
        <v>55</v>
      </c>
      <c r="AG190" s="27" t="s">
        <v>55</v>
      </c>
      <c r="AI190" s="28" t="s">
        <v>57</v>
      </c>
    </row>
    <row r="191" spans="1:35" ht="34.950000000000003" customHeight="1" x14ac:dyDescent="0.4">
      <c r="A191" s="16" t="s">
        <v>36</v>
      </c>
      <c r="B191" s="16" t="s">
        <v>37</v>
      </c>
      <c r="C191" s="17">
        <v>46000</v>
      </c>
      <c r="D191" s="16" t="s">
        <v>83</v>
      </c>
      <c r="E191" s="16" t="s">
        <v>545</v>
      </c>
      <c r="F191" s="16">
        <v>22902</v>
      </c>
      <c r="G191" s="18" t="s">
        <v>546</v>
      </c>
      <c r="H191" s="16" t="s">
        <v>75</v>
      </c>
      <c r="I191" s="19" t="s">
        <v>861</v>
      </c>
      <c r="J191" s="16" t="str">
        <f>IFERROR(VLOOKUP(I191,[1]Sheet1!$A$2:$B$166,2,0),"_")</f>
        <v>PC</v>
      </c>
      <c r="K191" s="19" t="s">
        <v>381</v>
      </c>
      <c r="L191" s="16" t="str">
        <f>IFERROR(VLOOKUP(K191,[1]Sheet1!$A$2:$B$166,2,0),"-")</f>
        <v>PT</v>
      </c>
      <c r="M191" s="19" t="s">
        <v>273</v>
      </c>
      <c r="N191" s="16" t="str">
        <f>IFERROR(VLOOKUP(M191,[1]Sheet1!$G$2:$H$200,2,0),"-")</f>
        <v>DJSC</v>
      </c>
      <c r="O191" s="18" t="s">
        <v>862</v>
      </c>
      <c r="P191" s="17">
        <v>46006</v>
      </c>
      <c r="Q191" s="20" t="s">
        <v>863</v>
      </c>
      <c r="R191" s="20" t="s">
        <v>864</v>
      </c>
      <c r="S191" s="21" t="str" cm="1">
        <f t="array" ref="S191">IF(
OR(AD191="",ISERROR(AD191)),
"-",
_xlfn.UNIQUE(_xlfn._xlws.FILTER([1]Sheet1!$D$2:$D$200,ISNUMBER(SEARCH(AD191,[1]Sheet1!$D$2:$D$200))))
)</f>
        <v>주식회사 다원로직스</v>
      </c>
      <c r="T191" s="33" t="s">
        <v>865</v>
      </c>
      <c r="U191" s="16" t="str" cm="1">
        <f t="array" ref="U191">IF(
OR(AD191="",ISERROR(AD191)),
"-",
_xlfn.UNIQUE(_xlfn._xlws.FILTER([1]Sheet1!$D$2:$D$200,ISNUMBER(SEARCH(AD191,[1]Sheet1!$D$2:$D$200))))
)</f>
        <v>주식회사 다원로직스</v>
      </c>
      <c r="V191" s="23">
        <v>240000</v>
      </c>
      <c r="W191" s="23">
        <v>200000</v>
      </c>
      <c r="X191" s="23">
        <f t="shared" si="6"/>
        <v>40000</v>
      </c>
      <c r="Y191" s="25" t="s">
        <v>866</v>
      </c>
      <c r="Z191" s="19" t="s">
        <v>51</v>
      </c>
      <c r="AA191" s="19" t="s">
        <v>93</v>
      </c>
      <c r="AC191" s="17" t="str">
        <f t="shared" si="5"/>
        <v>Y</v>
      </c>
      <c r="AD191" s="17" t="s">
        <v>867</v>
      </c>
      <c r="AF191" s="27" t="s">
        <v>55</v>
      </c>
      <c r="AG191" s="27" t="s">
        <v>55</v>
      </c>
      <c r="AI191" s="28" t="s">
        <v>57</v>
      </c>
    </row>
    <row r="192" spans="1:35" ht="34.950000000000003" customHeight="1" x14ac:dyDescent="0.4">
      <c r="A192" s="16" t="s">
        <v>36</v>
      </c>
      <c r="B192" s="16" t="s">
        <v>37</v>
      </c>
      <c r="C192" s="17">
        <v>46000</v>
      </c>
      <c r="D192" s="16" t="s">
        <v>83</v>
      </c>
      <c r="E192" s="16" t="s">
        <v>545</v>
      </c>
      <c r="F192" s="16">
        <v>22902</v>
      </c>
      <c r="G192" s="18" t="s">
        <v>546</v>
      </c>
      <c r="H192" s="16" t="s">
        <v>75</v>
      </c>
      <c r="I192" s="19" t="s">
        <v>861</v>
      </c>
      <c r="J192" s="16" t="str">
        <f>IFERROR(VLOOKUP(I192,[1]Sheet1!$A$2:$B$166,2,0),"_")</f>
        <v>PC</v>
      </c>
      <c r="K192" s="19" t="s">
        <v>381</v>
      </c>
      <c r="L192" s="16" t="str">
        <f>IFERROR(VLOOKUP(K192,[1]Sheet1!$A$2:$B$166,2,0),"-")</f>
        <v>PT</v>
      </c>
      <c r="M192" s="19" t="s">
        <v>273</v>
      </c>
      <c r="N192" s="16" t="str">
        <f>IFERROR(VLOOKUP(M192,[1]Sheet1!$G$2:$H$200,2,0),"-")</f>
        <v>DJSC</v>
      </c>
      <c r="O192" s="18" t="s">
        <v>868</v>
      </c>
      <c r="P192" s="17">
        <v>46006</v>
      </c>
      <c r="Q192" s="20" t="s">
        <v>869</v>
      </c>
      <c r="R192" s="20" t="s">
        <v>870</v>
      </c>
      <c r="S192" s="21" t="str" cm="1">
        <f t="array" ref="S192">IF(
OR(AD192="",ISERROR(AD192)),
"-",
_xlfn.UNIQUE(_xlfn._xlws.FILTER([1]Sheet1!$D$2:$D$200,ISNUMBER(SEARCH(AD192,[1]Sheet1!$D$2:$D$200))))
)</f>
        <v>주식회사 다원로직스</v>
      </c>
      <c r="T192" s="37" t="s">
        <v>871</v>
      </c>
      <c r="U192" s="16" t="str" cm="1">
        <f t="array" ref="U192">IF(
OR(AD192="",ISERROR(AD192)),
"-",
_xlfn.UNIQUE(_xlfn._xlws.FILTER([1]Sheet1!$D$2:$D$200,ISNUMBER(SEARCH(AD192,[1]Sheet1!$D$2:$D$200))))
)</f>
        <v>주식회사 다원로직스</v>
      </c>
      <c r="V192" s="23">
        <v>240000</v>
      </c>
      <c r="W192" s="23">
        <v>200000</v>
      </c>
      <c r="X192" s="23">
        <f t="shared" si="6"/>
        <v>40000</v>
      </c>
      <c r="Y192" s="25" t="s">
        <v>866</v>
      </c>
      <c r="Z192" s="19" t="s">
        <v>51</v>
      </c>
      <c r="AA192" s="19" t="s">
        <v>93</v>
      </c>
      <c r="AC192" s="17" t="str">
        <f t="shared" si="5"/>
        <v>Y</v>
      </c>
      <c r="AD192" s="17" t="s">
        <v>867</v>
      </c>
      <c r="AF192" s="27" t="s">
        <v>55</v>
      </c>
      <c r="AG192" s="27" t="s">
        <v>55</v>
      </c>
      <c r="AI192" s="28" t="s">
        <v>57</v>
      </c>
    </row>
    <row r="193" spans="1:35" ht="34.950000000000003" customHeight="1" x14ac:dyDescent="0.4">
      <c r="A193" s="16" t="s">
        <v>36</v>
      </c>
      <c r="B193" s="16" t="s">
        <v>37</v>
      </c>
      <c r="C193" s="17">
        <v>46000</v>
      </c>
      <c r="D193" s="16" t="s">
        <v>83</v>
      </c>
      <c r="E193" s="16" t="s">
        <v>545</v>
      </c>
      <c r="F193" s="16">
        <v>22902</v>
      </c>
      <c r="G193" s="18" t="s">
        <v>546</v>
      </c>
      <c r="H193" s="16" t="s">
        <v>75</v>
      </c>
      <c r="I193" s="19" t="s">
        <v>861</v>
      </c>
      <c r="J193" s="16" t="str">
        <f>IFERROR(VLOOKUP(I193,[1]Sheet1!$A$2:$B$166,2,0),"_")</f>
        <v>PC</v>
      </c>
      <c r="K193" s="19" t="s">
        <v>381</v>
      </c>
      <c r="L193" s="16" t="str">
        <f>IFERROR(VLOOKUP(K193,[1]Sheet1!$A$2:$B$166,2,0),"-")</f>
        <v>PT</v>
      </c>
      <c r="M193" s="19" t="s">
        <v>273</v>
      </c>
      <c r="N193" s="16" t="str">
        <f>IFERROR(VLOOKUP(M193,[1]Sheet1!$G$2:$H$200,2,0),"-")</f>
        <v>DJSC</v>
      </c>
      <c r="O193" s="18" t="s">
        <v>868</v>
      </c>
      <c r="P193" s="17">
        <v>46006</v>
      </c>
      <c r="Q193" s="20" t="s">
        <v>555</v>
      </c>
      <c r="R193" s="20" t="s">
        <v>872</v>
      </c>
      <c r="S193" s="21" t="str" cm="1">
        <f t="array" ref="S193">IF(
OR(AD193="",ISERROR(AD193)),
"-",
_xlfn.UNIQUE(_xlfn._xlws.FILTER([1]Sheet1!$D$2:$D$200,ISNUMBER(SEARCH(AD193,[1]Sheet1!$D$2:$D$200))))
)</f>
        <v>주식회사 다원로직스</v>
      </c>
      <c r="T193" s="33" t="s">
        <v>873</v>
      </c>
      <c r="U193" s="16" t="str" cm="1">
        <f t="array" ref="U193">IF(
OR(AD193="",ISERROR(AD193)),
"-",
_xlfn.UNIQUE(_xlfn._xlws.FILTER([1]Sheet1!$D$2:$D$200,ISNUMBER(SEARCH(AD193,[1]Sheet1!$D$2:$D$200))))
)</f>
        <v>주식회사 다원로직스</v>
      </c>
      <c r="V193" s="23">
        <v>200000</v>
      </c>
      <c r="W193" s="23">
        <v>200000</v>
      </c>
      <c r="X193" s="23">
        <f t="shared" si="6"/>
        <v>0</v>
      </c>
      <c r="Y193" s="25" t="s">
        <v>866</v>
      </c>
      <c r="Z193" s="19" t="s">
        <v>51</v>
      </c>
      <c r="AA193" s="19" t="s">
        <v>93</v>
      </c>
      <c r="AC193" s="17" t="str">
        <f t="shared" si="5"/>
        <v>Y</v>
      </c>
      <c r="AD193" s="17" t="s">
        <v>867</v>
      </c>
      <c r="AF193" s="27" t="s">
        <v>55</v>
      </c>
      <c r="AG193" s="27" t="s">
        <v>55</v>
      </c>
      <c r="AI193" s="28" t="s">
        <v>57</v>
      </c>
    </row>
    <row r="194" spans="1:35" ht="34.950000000000003" customHeight="1" x14ac:dyDescent="0.4">
      <c r="A194" s="16" t="s">
        <v>36</v>
      </c>
      <c r="B194" s="16" t="s">
        <v>37</v>
      </c>
      <c r="C194" s="17">
        <v>46000</v>
      </c>
      <c r="D194" s="16" t="s">
        <v>83</v>
      </c>
      <c r="E194" s="16" t="s">
        <v>545</v>
      </c>
      <c r="F194" s="16">
        <v>22902</v>
      </c>
      <c r="G194" s="18" t="s">
        <v>546</v>
      </c>
      <c r="H194" s="16" t="s">
        <v>75</v>
      </c>
      <c r="I194" s="19" t="s">
        <v>861</v>
      </c>
      <c r="J194" s="16" t="str">
        <f>IFERROR(VLOOKUP(I194,[1]Sheet1!$A$2:$B$166,2,0),"_")</f>
        <v>PC</v>
      </c>
      <c r="K194" s="19" t="s">
        <v>381</v>
      </c>
      <c r="L194" s="16" t="str">
        <f>IFERROR(VLOOKUP(K194,[1]Sheet1!$A$2:$B$166,2,0),"-")</f>
        <v>PT</v>
      </c>
      <c r="M194" s="19" t="s">
        <v>273</v>
      </c>
      <c r="N194" s="16" t="str">
        <f>IFERROR(VLOOKUP(M194,[1]Sheet1!$G$2:$H$200,2,0),"-")</f>
        <v>DJSC</v>
      </c>
      <c r="O194" s="18" t="s">
        <v>868</v>
      </c>
      <c r="P194" s="17">
        <v>46006</v>
      </c>
      <c r="Q194" s="20" t="s">
        <v>557</v>
      </c>
      <c r="R194" s="20" t="s">
        <v>872</v>
      </c>
      <c r="S194" s="21" t="str" cm="1">
        <f t="array" ref="S194">IF(
OR(AD194="",ISERROR(AD194)),
"-",
_xlfn.UNIQUE(_xlfn._xlws.FILTER([1]Sheet1!$D$2:$D$200,ISNUMBER(SEARCH(AD194,[1]Sheet1!$D$2:$D$200))))
)</f>
        <v>주식회사 다원로직스</v>
      </c>
      <c r="T194" s="33" t="s">
        <v>873</v>
      </c>
      <c r="U194" s="16" t="str" cm="1">
        <f t="array" ref="U194">IF(
OR(AD194="",ISERROR(AD194)),
"-",
_xlfn.UNIQUE(_xlfn._xlws.FILTER([1]Sheet1!$D$2:$D$200,ISNUMBER(SEARCH(AD194,[1]Sheet1!$D$2:$D$200))))
)</f>
        <v>주식회사 다원로직스</v>
      </c>
      <c r="V194" s="23">
        <v>80000</v>
      </c>
      <c r="W194" s="23">
        <v>50000</v>
      </c>
      <c r="X194" s="23">
        <f t="shared" si="6"/>
        <v>30000</v>
      </c>
      <c r="Y194" s="25" t="s">
        <v>866</v>
      </c>
      <c r="Z194" s="19" t="s">
        <v>51</v>
      </c>
      <c r="AA194" s="19" t="s">
        <v>93</v>
      </c>
      <c r="AC194" s="17" t="str">
        <f t="shared" si="5"/>
        <v>Y</v>
      </c>
      <c r="AD194" s="17" t="s">
        <v>867</v>
      </c>
      <c r="AF194" s="27" t="s">
        <v>55</v>
      </c>
      <c r="AG194" s="27" t="s">
        <v>55</v>
      </c>
      <c r="AI194" s="28" t="s">
        <v>57</v>
      </c>
    </row>
    <row r="195" spans="1:35" ht="34.950000000000003" customHeight="1" x14ac:dyDescent="0.4">
      <c r="A195" s="16" t="s">
        <v>36</v>
      </c>
      <c r="B195" s="16" t="s">
        <v>37</v>
      </c>
      <c r="C195" s="17">
        <v>46000</v>
      </c>
      <c r="D195" s="16" t="s">
        <v>188</v>
      </c>
      <c r="E195" s="16" t="s">
        <v>189</v>
      </c>
      <c r="F195" s="16">
        <v>16725</v>
      </c>
      <c r="G195" s="18" t="s">
        <v>874</v>
      </c>
      <c r="H195" s="16" t="s">
        <v>41</v>
      </c>
      <c r="I195" s="19" t="s">
        <v>42</v>
      </c>
      <c r="J195" s="16" t="str">
        <f>IFERROR(VLOOKUP(I195,[1]Sheet1!$A$2:$B$166,2,0),"_")</f>
        <v>P</v>
      </c>
      <c r="K195" s="19" t="s">
        <v>42</v>
      </c>
      <c r="L195" s="16" t="str">
        <f>IFERROR(VLOOKUP(K195,[1]Sheet1!$A$2:$B$166,2,0),"-")</f>
        <v>P</v>
      </c>
      <c r="M195" s="19" t="s">
        <v>191</v>
      </c>
      <c r="N195" s="16" t="str">
        <f>IFERROR(VLOOKUP(M195,[1]Sheet1!$G$2:$H$200,2,0),"-")</f>
        <v>HASL</v>
      </c>
      <c r="O195" s="18" t="s">
        <v>875</v>
      </c>
      <c r="P195" s="17">
        <v>46004</v>
      </c>
      <c r="Q195" s="20" t="s">
        <v>876</v>
      </c>
      <c r="R195" s="20" t="s">
        <v>877</v>
      </c>
      <c r="S195" s="21" t="str" cm="1">
        <f t="array" ref="S195">IF(
OR(AD195="",ISERROR(AD195)),
"-",
_xlfn.UNIQUE(_xlfn._xlws.FILTER([1]Sheet1!$D$2:$D$200,ISNUMBER(SEARCH(AD195,[1]Sheet1!$D$2:$D$200))))
)</f>
        <v>(주)부강에너지</v>
      </c>
      <c r="T195" s="22" t="s">
        <v>878</v>
      </c>
      <c r="U195" s="16" t="str" cm="1">
        <f t="array" ref="U195">IF(
OR(AD195="",ISERROR(AD195)),
"-",
_xlfn.UNIQUE(_xlfn._xlws.FILTER([1]Sheet1!$D$2:$D$200,ISNUMBER(SEARCH(AD195,[1]Sheet1!$D$2:$D$200))))
)</f>
        <v>(주)부강에너지</v>
      </c>
      <c r="V195" s="23">
        <v>250000</v>
      </c>
      <c r="W195" s="23">
        <v>220000</v>
      </c>
      <c r="X195" s="23">
        <f t="shared" si="6"/>
        <v>30000</v>
      </c>
      <c r="Y195" s="25" t="s">
        <v>766</v>
      </c>
      <c r="Z195" s="19" t="s">
        <v>51</v>
      </c>
      <c r="AA195" s="19" t="s">
        <v>81</v>
      </c>
      <c r="AB195" s="18" t="s">
        <v>767</v>
      </c>
      <c r="AC195" s="17" t="str">
        <f t="shared" si="5"/>
        <v>Y</v>
      </c>
      <c r="AD195" s="17" t="s">
        <v>197</v>
      </c>
      <c r="AF195" s="27" t="s">
        <v>55</v>
      </c>
      <c r="AG195" s="27" t="s">
        <v>55</v>
      </c>
      <c r="AI195" s="28" t="s">
        <v>57</v>
      </c>
    </row>
    <row r="196" spans="1:35" ht="34.950000000000003" customHeight="1" x14ac:dyDescent="0.4">
      <c r="A196" s="16" t="s">
        <v>36</v>
      </c>
      <c r="B196" s="16" t="s">
        <v>37</v>
      </c>
      <c r="C196" s="17">
        <v>46000</v>
      </c>
      <c r="D196" s="16" t="s">
        <v>188</v>
      </c>
      <c r="E196" s="16" t="s">
        <v>295</v>
      </c>
      <c r="F196" s="16">
        <v>14449</v>
      </c>
      <c r="G196" s="18" t="s">
        <v>879</v>
      </c>
      <c r="H196" s="16" t="s">
        <v>41</v>
      </c>
      <c r="I196" s="19" t="s">
        <v>42</v>
      </c>
      <c r="J196" s="16" t="str">
        <f>IFERROR(VLOOKUP(I196,[1]Sheet1!$A$2:$B$166,2,0),"_")</f>
        <v>P</v>
      </c>
      <c r="K196" s="19" t="s">
        <v>42</v>
      </c>
      <c r="L196" s="16" t="str">
        <f>IFERROR(VLOOKUP(K196,[1]Sheet1!$A$2:$B$166,2,0),"-")</f>
        <v>P</v>
      </c>
      <c r="M196" s="19" t="s">
        <v>191</v>
      </c>
      <c r="N196" s="16" t="str">
        <f>IFERROR(VLOOKUP(M196,[1]Sheet1!$G$2:$H$200,2,0),"-")</f>
        <v>HASL</v>
      </c>
      <c r="O196" s="18" t="s">
        <v>880</v>
      </c>
      <c r="P196" s="17">
        <v>46003</v>
      </c>
      <c r="Q196" s="20" t="s">
        <v>881</v>
      </c>
      <c r="R196" s="20" t="s">
        <v>882</v>
      </c>
      <c r="S196" s="21" t="str" cm="1">
        <f t="array" ref="S196">IF(
OR(AD196="",ISERROR(AD196)),
"-",
_xlfn.UNIQUE(_xlfn._xlws.FILTER([1]Sheet1!$D$2:$D$200,ISNUMBER(SEARCH(AD196,[1]Sheet1!$D$2:$D$200))))
)</f>
        <v>백승운수</v>
      </c>
      <c r="T196" s="22" t="s">
        <v>883</v>
      </c>
      <c r="U196" s="16" t="str" cm="1">
        <f t="array" ref="U196">IF(
OR(AD196="",ISERROR(AD196)),
"-",
_xlfn.UNIQUE(_xlfn._xlws.FILTER([1]Sheet1!$D$2:$D$200,ISNUMBER(SEARCH(AD196,[1]Sheet1!$D$2:$D$200))))
)</f>
        <v>백승운수</v>
      </c>
      <c r="V196" s="23">
        <v>700000</v>
      </c>
      <c r="W196" s="23">
        <v>608000</v>
      </c>
      <c r="X196" s="23">
        <f t="shared" si="6"/>
        <v>92000</v>
      </c>
      <c r="Y196" s="25" t="s">
        <v>884</v>
      </c>
      <c r="Z196" s="19" t="s">
        <v>51</v>
      </c>
      <c r="AA196" s="19" t="s">
        <v>81</v>
      </c>
      <c r="AC196" s="17" t="str">
        <f t="shared" si="5"/>
        <v>Y</v>
      </c>
      <c r="AD196" s="17" t="s">
        <v>95</v>
      </c>
      <c r="AF196" s="27" t="s">
        <v>55</v>
      </c>
      <c r="AG196" s="27" t="s">
        <v>55</v>
      </c>
      <c r="AI196" s="28" t="s">
        <v>57</v>
      </c>
    </row>
    <row r="197" spans="1:35" ht="34.950000000000003" customHeight="1" x14ac:dyDescent="0.4">
      <c r="A197" s="16" t="s">
        <v>36</v>
      </c>
      <c r="B197" s="16" t="s">
        <v>37</v>
      </c>
      <c r="C197" s="17">
        <v>46000</v>
      </c>
      <c r="D197" s="16" t="s">
        <v>396</v>
      </c>
      <c r="E197" s="16" t="s">
        <v>397</v>
      </c>
      <c r="F197" s="16">
        <v>16502</v>
      </c>
      <c r="G197" s="18" t="s">
        <v>885</v>
      </c>
      <c r="H197" s="16" t="s">
        <v>41</v>
      </c>
      <c r="I197" s="19" t="s">
        <v>363</v>
      </c>
      <c r="J197" s="16" t="str">
        <f>IFERROR(VLOOKUP(I197,[1]Sheet1!$A$1:$B$200,2,0),"_")</f>
        <v>BB</v>
      </c>
      <c r="K197" s="19" t="s">
        <v>363</v>
      </c>
      <c r="L197" s="16" t="str">
        <f>IFERROR(VLOOKUP(K197,[1]Sheet1!$A$1:$B$200,2,0),"-")</f>
        <v>BB</v>
      </c>
      <c r="M197" s="19" t="s">
        <v>311</v>
      </c>
      <c r="N197" s="16" t="str">
        <f>IFERROR(VLOOKUP(M197,[1]Sheet1!$G$2:$H$200,2,0),"-")</f>
        <v>COSU</v>
      </c>
      <c r="O197" s="18" t="s">
        <v>886</v>
      </c>
      <c r="P197" s="17">
        <v>46007</v>
      </c>
      <c r="Q197" s="20" t="s">
        <v>887</v>
      </c>
      <c r="R197" s="20" t="s">
        <v>888</v>
      </c>
      <c r="S197" s="21" t="str" cm="1">
        <f t="array" ref="S197">IF(
OR(AD197="",ISERROR(AD197)),
"-",
_xlfn.UNIQUE(_xlfn._xlws.FILTER([1]Sheet1!$D$2:$D$200,ISNUMBER(SEARCH(AD197,[1]Sheet1!$D$2:$D$200))))
)</f>
        <v>동방 익스프레스</v>
      </c>
      <c r="T197" s="22" t="s">
        <v>889</v>
      </c>
      <c r="U197" s="16" t="str" cm="1">
        <f t="array" ref="U197">IF(
OR(AD197="",ISERROR(AD197)),
"-",
_xlfn.UNIQUE(_xlfn._xlws.FILTER([1]Sheet1!$D$2:$D$200,ISNUMBER(SEARCH(AD197,[1]Sheet1!$D$2:$D$200))))
)</f>
        <v>동방 익스프레스</v>
      </c>
      <c r="V197" s="23">
        <v>720000</v>
      </c>
      <c r="W197" s="23">
        <v>650600</v>
      </c>
      <c r="X197" s="23">
        <f t="shared" si="6"/>
        <v>69400</v>
      </c>
      <c r="Y197" s="25" t="s">
        <v>890</v>
      </c>
      <c r="Z197" s="19" t="s">
        <v>51</v>
      </c>
      <c r="AA197" s="19" t="s">
        <v>52</v>
      </c>
      <c r="AC197" s="17" t="str">
        <f t="shared" si="5"/>
        <v>Y</v>
      </c>
      <c r="AD197" s="17" t="s">
        <v>116</v>
      </c>
      <c r="AF197" s="27" t="s">
        <v>55</v>
      </c>
      <c r="AG197" s="27" t="s">
        <v>55</v>
      </c>
      <c r="AI197" s="28" t="s">
        <v>57</v>
      </c>
    </row>
    <row r="198" spans="1:35" ht="34.950000000000003" customHeight="1" x14ac:dyDescent="0.4">
      <c r="A198" s="16" t="s">
        <v>36</v>
      </c>
      <c r="B198" s="16" t="s">
        <v>37</v>
      </c>
      <c r="C198" s="17">
        <v>46000</v>
      </c>
      <c r="D198" s="16" t="s">
        <v>396</v>
      </c>
      <c r="E198" s="16" t="s">
        <v>397</v>
      </c>
      <c r="F198" s="16">
        <v>16502</v>
      </c>
      <c r="G198" s="18" t="s">
        <v>885</v>
      </c>
      <c r="H198" s="16" t="s">
        <v>41</v>
      </c>
      <c r="I198" s="19" t="s">
        <v>363</v>
      </c>
      <c r="J198" s="16" t="str">
        <f>IFERROR(VLOOKUP(I198,[1]Sheet1!$A$1:$B$200,2,0),"_")</f>
        <v>BB</v>
      </c>
      <c r="K198" s="19" t="s">
        <v>363</v>
      </c>
      <c r="L198" s="16" t="str">
        <f>IFERROR(VLOOKUP(K198,[1]Sheet1!$A$1:$B$200,2,0),"-")</f>
        <v>BB</v>
      </c>
      <c r="M198" s="19" t="s">
        <v>311</v>
      </c>
      <c r="N198" s="16" t="str">
        <f>IFERROR(VLOOKUP(M198,[1]Sheet1!$G$2:$H$200,2,0),"-")</f>
        <v>COSU</v>
      </c>
      <c r="O198" s="18" t="s">
        <v>886</v>
      </c>
      <c r="P198" s="17">
        <v>46007</v>
      </c>
      <c r="Q198" s="20" t="s">
        <v>887</v>
      </c>
      <c r="R198" s="20" t="s">
        <v>888</v>
      </c>
      <c r="S198" s="21" t="str" cm="1">
        <f t="array" ref="S198">IF(
OR(AD198="",ISERROR(AD198)),
"-",
_xlfn.UNIQUE(_xlfn._xlws.FILTER([1]Sheet1!$D$2:$D$200,ISNUMBER(SEARCH(AD198,[1]Sheet1!$D$2:$D$200))))
)</f>
        <v>(주)금길종합운수</v>
      </c>
      <c r="T198" s="22" t="s">
        <v>889</v>
      </c>
      <c r="U198" s="16" t="str" cm="1">
        <f t="array" ref="U198">IF(
OR(AD198="",ISERROR(AD198)),
"-",
_xlfn.UNIQUE(_xlfn._xlws.FILTER([1]Sheet1!$D$2:$D$200,ISNUMBER(SEARCH(AD198,[1]Sheet1!$D$2:$D$200))))
)</f>
        <v>(주)금길종합운수</v>
      </c>
      <c r="V198" s="23">
        <v>82000</v>
      </c>
      <c r="W198" s="23">
        <v>82000</v>
      </c>
      <c r="X198" s="23">
        <f t="shared" si="6"/>
        <v>0</v>
      </c>
      <c r="Y198" s="25" t="s">
        <v>891</v>
      </c>
      <c r="Z198" s="19" t="s">
        <v>51</v>
      </c>
      <c r="AA198" s="19" t="s">
        <v>52</v>
      </c>
      <c r="AB198" s="18" t="s">
        <v>892</v>
      </c>
      <c r="AC198" s="17" t="str">
        <f t="shared" si="5"/>
        <v>Y</v>
      </c>
      <c r="AD198" s="17" t="s">
        <v>98</v>
      </c>
      <c r="AF198" s="27" t="s">
        <v>55</v>
      </c>
      <c r="AG198" s="27" t="s">
        <v>55</v>
      </c>
      <c r="AI198" s="28" t="s">
        <v>57</v>
      </c>
    </row>
    <row r="199" spans="1:35" ht="34.950000000000003" customHeight="1" x14ac:dyDescent="0.4">
      <c r="A199" s="16" t="s">
        <v>71</v>
      </c>
      <c r="B199" s="16" t="s">
        <v>99</v>
      </c>
      <c r="C199" s="17">
        <v>46000</v>
      </c>
      <c r="D199" s="16" t="s">
        <v>855</v>
      </c>
      <c r="E199" s="16" t="s">
        <v>893</v>
      </c>
      <c r="F199" s="16">
        <v>28822</v>
      </c>
      <c r="G199" s="38" t="s">
        <v>894</v>
      </c>
      <c r="H199" s="16" t="s">
        <v>75</v>
      </c>
      <c r="I199" s="19" t="s">
        <v>129</v>
      </c>
      <c r="J199" s="16" t="str">
        <f>IFERROR(VLOOKUP(I199,[1]Sheet1!$A$1:$B$200,2,0),"_")</f>
        <v>E1</v>
      </c>
      <c r="K199" s="19" t="s">
        <v>129</v>
      </c>
      <c r="L199" s="16" t="str">
        <f>IFERROR(VLOOKUP(K199,[1]Sheet1!$A$1:$B$200,2,0),"-")</f>
        <v>E1</v>
      </c>
      <c r="M199" s="19" t="s">
        <v>273</v>
      </c>
      <c r="N199" s="16" t="str">
        <f>IFERROR(VLOOKUP(M199,[1]Sheet1!$G$2:$H$200,2,0),"-")</f>
        <v>DJSC</v>
      </c>
      <c r="O199" s="18" t="s">
        <v>55</v>
      </c>
      <c r="P199" s="17" t="s">
        <v>55</v>
      </c>
      <c r="Q199" s="20" t="s">
        <v>895</v>
      </c>
      <c r="R199" s="20"/>
      <c r="S199" s="21" t="str" cm="1">
        <f t="array" ref="S199">IF(
OR(AD199="",ISERROR(AD199)),
"-",
_xlfn.UNIQUE(_xlfn._xlws.FILTER([1]Sheet1!$D$2:$D$200,ISNUMBER(SEARCH(AD199,[1]Sheet1!$D$2:$D$200))))
)</f>
        <v>로지아이솔루션</v>
      </c>
      <c r="T199" s="38" t="s">
        <v>896</v>
      </c>
      <c r="U199" s="16" t="str" cm="1">
        <f t="array" ref="U199">IF(
OR(AD199="",ISERROR(AD199)),
"-",
_xlfn.UNIQUE(_xlfn._xlws.FILTER([1]Sheet1!$D$2:$D$200,ISNUMBER(SEARCH(AD199,[1]Sheet1!$D$2:$D$200))))
)</f>
        <v>로지아이솔루션</v>
      </c>
      <c r="V199" s="23">
        <v>240000</v>
      </c>
      <c r="W199" s="23">
        <v>233000</v>
      </c>
      <c r="X199" s="23">
        <f t="shared" si="6"/>
        <v>7000</v>
      </c>
      <c r="Y199" s="25" t="s">
        <v>897</v>
      </c>
      <c r="Z199" s="19" t="s">
        <v>51</v>
      </c>
      <c r="AA199" s="19" t="s">
        <v>144</v>
      </c>
      <c r="AC199" s="17" t="str">
        <f t="shared" ref="AC199:AC244" si="7">IF(AI199="ㅇ", "Y", IF(Z199="강다영", "", "Y"))</f>
        <v>Y</v>
      </c>
      <c r="AD199" s="17" t="s">
        <v>206</v>
      </c>
      <c r="AF199" s="27" t="s">
        <v>55</v>
      </c>
      <c r="AG199" s="27" t="s">
        <v>55</v>
      </c>
      <c r="AI199" s="28" t="s">
        <v>57</v>
      </c>
    </row>
    <row r="200" spans="1:35" ht="34.950000000000003" customHeight="1" x14ac:dyDescent="0.4">
      <c r="A200" s="16" t="s">
        <v>71</v>
      </c>
      <c r="B200" s="16" t="s">
        <v>99</v>
      </c>
      <c r="C200" s="17">
        <v>46000</v>
      </c>
      <c r="D200" s="16" t="s">
        <v>855</v>
      </c>
      <c r="E200" s="16" t="s">
        <v>898</v>
      </c>
      <c r="F200" s="16">
        <v>28197</v>
      </c>
      <c r="G200" s="18" t="s">
        <v>899</v>
      </c>
      <c r="H200" s="16" t="s">
        <v>41</v>
      </c>
      <c r="I200" s="19" t="s">
        <v>129</v>
      </c>
      <c r="J200" s="16" t="str">
        <f>IFERROR(VLOOKUP(I200,[1]Sheet1!$A$1:$B$200,2,0),"_")</f>
        <v>E1</v>
      </c>
      <c r="K200" s="19" t="s">
        <v>129</v>
      </c>
      <c r="L200" s="16" t="str">
        <f>IFERROR(VLOOKUP(K200,[1]Sheet1!$A$1:$B$200,2,0),"-")</f>
        <v>E1</v>
      </c>
      <c r="M200" s="19" t="s">
        <v>578</v>
      </c>
      <c r="N200" s="16" t="str">
        <f>IFERROR(VLOOKUP(M200,[1]Sheet1!$G$2:$H$200,2,0),"-")</f>
        <v>PCSL</v>
      </c>
      <c r="O200" s="18" t="s">
        <v>55</v>
      </c>
      <c r="P200" s="17" t="s">
        <v>55</v>
      </c>
      <c r="Q200" s="20" t="s">
        <v>900</v>
      </c>
      <c r="R200" s="20"/>
      <c r="S200" s="21" t="str" cm="1">
        <f t="array" ref="S200">IF(
OR(AD200="",ISERROR(AD200)),
"-",
_xlfn.UNIQUE(_xlfn._xlws.FILTER([1]Sheet1!$D$2:$D$200,ISNUMBER(SEARCH(AD200,[1]Sheet1!$D$2:$D$200))))
)</f>
        <v>태성종합물류</v>
      </c>
      <c r="T200" s="22" t="s">
        <v>901</v>
      </c>
      <c r="U200" s="16" t="str" cm="1">
        <f t="array" ref="U200">IF(
OR(AD200="",ISERROR(AD200)),
"-",
_xlfn.UNIQUE(_xlfn._xlws.FILTER([1]Sheet1!$D$2:$D$200,ISNUMBER(SEARCH(AD200,[1]Sheet1!$D$2:$D$200))))
)</f>
        <v>태성종합물류</v>
      </c>
      <c r="V200" s="23">
        <v>233000</v>
      </c>
      <c r="W200" s="23">
        <v>216400</v>
      </c>
      <c r="X200" s="23">
        <f t="shared" si="6"/>
        <v>16600</v>
      </c>
      <c r="Y200" s="25" t="s">
        <v>902</v>
      </c>
      <c r="Z200" s="19" t="s">
        <v>51</v>
      </c>
      <c r="AA200" s="19" t="s">
        <v>144</v>
      </c>
      <c r="AB200" s="18" t="s">
        <v>903</v>
      </c>
      <c r="AC200" s="17" t="str">
        <f t="shared" si="7"/>
        <v>Y</v>
      </c>
      <c r="AD200" s="17" t="s">
        <v>82</v>
      </c>
      <c r="AF200" s="27" t="s">
        <v>55</v>
      </c>
      <c r="AG200" s="27" t="s">
        <v>55</v>
      </c>
      <c r="AI200" s="28" t="s">
        <v>57</v>
      </c>
    </row>
    <row r="201" spans="1:35" ht="34.950000000000003" customHeight="1" x14ac:dyDescent="0.4">
      <c r="A201" s="16" t="s">
        <v>36</v>
      </c>
      <c r="B201" s="16" t="s">
        <v>37</v>
      </c>
      <c r="C201" s="17">
        <v>46000</v>
      </c>
      <c r="D201" s="16" t="s">
        <v>229</v>
      </c>
      <c r="E201" s="16" t="s">
        <v>229</v>
      </c>
      <c r="F201" s="16">
        <v>3641</v>
      </c>
      <c r="G201" s="18" t="s">
        <v>230</v>
      </c>
      <c r="H201" s="16" t="s">
        <v>210</v>
      </c>
      <c r="I201" s="19" t="s">
        <v>137</v>
      </c>
      <c r="J201" s="16" t="str">
        <f>IFERROR(VLOOKUP(I201,[1]Sheet1!$A$1:$B$200,2,0),"_")</f>
        <v>BE</v>
      </c>
      <c r="K201" s="19" t="s">
        <v>42</v>
      </c>
      <c r="L201" s="16" t="str">
        <f>IFERROR(VLOOKUP(K201,[1]Sheet1!$A$1:$B$200,2,0),"-")</f>
        <v>P</v>
      </c>
      <c r="M201" s="19" t="s">
        <v>191</v>
      </c>
      <c r="N201" s="16" t="str">
        <f>IFERROR(VLOOKUP(M201,[1]Sheet1!$G$2:$H$200,2,0),"-")</f>
        <v>HASL</v>
      </c>
      <c r="O201" s="27" t="s">
        <v>904</v>
      </c>
      <c r="P201" s="17">
        <v>46004</v>
      </c>
      <c r="Q201" s="20" t="s">
        <v>905</v>
      </c>
      <c r="R201" s="20" t="s">
        <v>906</v>
      </c>
      <c r="S201" s="21" t="str" cm="1">
        <f t="array" ref="S201">IF(
OR(AD201="",ISERROR(AD201)),
"-",
_xlfn.UNIQUE(_xlfn._xlws.FILTER([1]Sheet1!$D$2:$D$200,ISNUMBER(SEARCH(AD201,[1]Sheet1!$D$2:$D$200))))
)</f>
        <v>양양운수(주)</v>
      </c>
      <c r="T201" s="22" t="s">
        <v>907</v>
      </c>
      <c r="U201" s="16" t="str" cm="1">
        <f t="array" ref="U201">IF(
OR(AD201="",ISERROR(AD201)),
"-",
_xlfn.UNIQUE(_xlfn._xlws.FILTER([1]Sheet1!$D$2:$D$200,ISNUMBER(SEARCH(AD201,[1]Sheet1!$D$2:$D$200))))
)</f>
        <v>양양운수(주)</v>
      </c>
      <c r="V201" s="23">
        <v>760000</v>
      </c>
      <c r="W201" s="24">
        <v>684400</v>
      </c>
      <c r="X201" s="23">
        <f t="shared" si="6"/>
        <v>75600</v>
      </c>
      <c r="Y201" s="25" t="s">
        <v>908</v>
      </c>
      <c r="Z201" s="19" t="s">
        <v>51</v>
      </c>
      <c r="AA201" s="19" t="s">
        <v>81</v>
      </c>
      <c r="AB201" s="18" t="s">
        <v>909</v>
      </c>
      <c r="AC201" s="17" t="str">
        <f t="shared" si="7"/>
        <v>Y</v>
      </c>
      <c r="AD201" s="17" t="s">
        <v>238</v>
      </c>
      <c r="AF201" s="27" t="s">
        <v>55</v>
      </c>
      <c r="AG201" s="27" t="s">
        <v>55</v>
      </c>
      <c r="AI201" s="28" t="s">
        <v>57</v>
      </c>
    </row>
    <row r="202" spans="1:35" ht="34.950000000000003" customHeight="1" x14ac:dyDescent="0.4">
      <c r="A202" s="16" t="s">
        <v>71</v>
      </c>
      <c r="B202" s="16" t="s">
        <v>37</v>
      </c>
      <c r="C202" s="17">
        <v>46000</v>
      </c>
      <c r="D202" s="16" t="s">
        <v>109</v>
      </c>
      <c r="E202" s="16" t="s">
        <v>110</v>
      </c>
      <c r="F202" s="16">
        <v>12650</v>
      </c>
      <c r="G202" s="18" t="s">
        <v>910</v>
      </c>
      <c r="H202" s="16" t="s">
        <v>75</v>
      </c>
      <c r="I202" s="19" t="s">
        <v>272</v>
      </c>
      <c r="J202" s="16" t="str">
        <f>IFERROR(VLOOKUP(I202,[1]Sheet1!$A$1:$B$200,2,0),"_")</f>
        <v>Z9</v>
      </c>
      <c r="K202" s="19" t="s">
        <v>272</v>
      </c>
      <c r="L202" s="16" t="str">
        <f>IFERROR(VLOOKUP(K202,[1]Sheet1!$A$1:$B$200,2,0),"-")</f>
        <v>Z9</v>
      </c>
      <c r="M202" s="19" t="s">
        <v>77</v>
      </c>
      <c r="N202" s="16" t="str">
        <f>IFERROR(VLOOKUP(M202,[1]Sheet1!$G$2:$H$200,2,0),"-")</f>
        <v>KMTC</v>
      </c>
      <c r="O202" s="18" t="s">
        <v>55</v>
      </c>
      <c r="P202" s="17" t="s">
        <v>55</v>
      </c>
      <c r="Q202" s="20" t="s">
        <v>911</v>
      </c>
      <c r="R202" s="20"/>
      <c r="S202" s="21" t="str" cm="1">
        <f t="array" ref="S202">IF(
OR(AD202="",ISERROR(AD202)),
"-",
_xlfn.UNIQUE(_xlfn._xlws.FILTER([1]Sheet1!$D$2:$D$200,ISNUMBER(SEARCH(AD202,[1]Sheet1!$D$2:$D$200))))
)</f>
        <v>에스지로지스틱</v>
      </c>
      <c r="T202" s="22" t="s">
        <v>912</v>
      </c>
      <c r="U202" s="16" t="str" cm="1">
        <f t="array" ref="U202">IF(
OR(AD202="",ISERROR(AD202)),
"-",
_xlfn.UNIQUE(_xlfn._xlws.FILTER([1]Sheet1!$D$2:$D$200,ISNUMBER(SEARCH(AD202,[1]Sheet1!$D$2:$D$200))))
)</f>
        <v>에스지로지스틱</v>
      </c>
      <c r="V202" s="23">
        <v>365000</v>
      </c>
      <c r="W202" s="23">
        <v>342000</v>
      </c>
      <c r="X202" s="23">
        <f t="shared" si="6"/>
        <v>23000</v>
      </c>
      <c r="Y202" s="25" t="s">
        <v>913</v>
      </c>
      <c r="Z202" s="19" t="s">
        <v>51</v>
      </c>
      <c r="AA202" s="19" t="s">
        <v>115</v>
      </c>
      <c r="AC202" s="17" t="str">
        <f t="shared" si="7"/>
        <v>Y</v>
      </c>
      <c r="AD202" s="17" t="s">
        <v>184</v>
      </c>
      <c r="AF202" s="27" t="s">
        <v>55</v>
      </c>
      <c r="AG202" s="27" t="s">
        <v>55</v>
      </c>
      <c r="AI202" s="28" t="s">
        <v>57</v>
      </c>
    </row>
    <row r="203" spans="1:35" ht="34.950000000000003" customHeight="1" x14ac:dyDescent="0.4">
      <c r="A203" s="16" t="s">
        <v>71</v>
      </c>
      <c r="B203" s="16" t="s">
        <v>99</v>
      </c>
      <c r="C203" s="17">
        <v>46000</v>
      </c>
      <c r="D203" s="16" t="s">
        <v>72</v>
      </c>
      <c r="E203" s="16" t="s">
        <v>914</v>
      </c>
      <c r="F203" s="16">
        <v>9978</v>
      </c>
      <c r="G203" s="18" t="s">
        <v>915</v>
      </c>
      <c r="H203" s="16" t="s">
        <v>41</v>
      </c>
      <c r="I203" s="19" t="s">
        <v>201</v>
      </c>
      <c r="J203" s="16" t="str">
        <f>IFERROR(VLOOKUP(I203,[1]Sheet1!$A$1:$B$200,2,0),"_")</f>
        <v>Y25</v>
      </c>
      <c r="K203" s="19" t="s">
        <v>76</v>
      </c>
      <c r="L203" s="16" t="str">
        <f>IFERROR(VLOOKUP(K203,[1]Sheet1!$A$1:$B$200,2,0),"-")</f>
        <v>NJ</v>
      </c>
      <c r="M203" s="19" t="s">
        <v>364</v>
      </c>
      <c r="N203" s="16" t="str">
        <f>IFERROR(VLOOKUP(M203,[1]Sheet1!$G$2:$H$200,2,0),"-")</f>
        <v>CMAL</v>
      </c>
      <c r="O203" s="18" t="s">
        <v>690</v>
      </c>
      <c r="P203" s="17" t="s">
        <v>690</v>
      </c>
      <c r="Q203" s="20" t="s">
        <v>916</v>
      </c>
      <c r="R203" s="20"/>
      <c r="S203" s="21" t="str" cm="1">
        <f t="array" ref="S203">IF(
OR(AD203="",ISERROR(AD203)),
"-",
_xlfn.UNIQUE(_xlfn._xlws.FILTER([1]Sheet1!$D$2:$D$200,ISNUMBER(SEARCH(AD203,[1]Sheet1!$D$2:$D$200))))
)</f>
        <v>태성종합물류</v>
      </c>
      <c r="T203" s="22" t="s">
        <v>917</v>
      </c>
      <c r="U203" s="16" t="str" cm="1">
        <f t="array" ref="U203">IF(
OR(AD203="",ISERROR(AD203)),
"-",
_xlfn.UNIQUE(_xlfn._xlws.FILTER([1]Sheet1!$D$2:$D$200,ISNUMBER(SEARCH(AD203,[1]Sheet1!$D$2:$D$200))))
)</f>
        <v>태성종합물류</v>
      </c>
      <c r="V203" s="23">
        <v>546000</v>
      </c>
      <c r="W203" s="23">
        <v>437600</v>
      </c>
      <c r="X203" s="23">
        <f t="shared" si="6"/>
        <v>108400</v>
      </c>
      <c r="Y203" s="25" t="s">
        <v>918</v>
      </c>
      <c r="Z203" s="19" t="s">
        <v>51</v>
      </c>
      <c r="AA203" s="19" t="s">
        <v>81</v>
      </c>
      <c r="AB203" s="18" t="s">
        <v>919</v>
      </c>
      <c r="AC203" s="17" t="str">
        <f t="shared" si="7"/>
        <v>Y</v>
      </c>
      <c r="AD203" s="17" t="s">
        <v>82</v>
      </c>
      <c r="AF203" s="27" t="s">
        <v>55</v>
      </c>
      <c r="AG203" s="27" t="s">
        <v>55</v>
      </c>
      <c r="AI203" s="28" t="s">
        <v>57</v>
      </c>
    </row>
    <row r="204" spans="1:35" ht="34.950000000000003" customHeight="1" x14ac:dyDescent="0.4">
      <c r="A204" s="16" t="s">
        <v>71</v>
      </c>
      <c r="B204" s="16" t="s">
        <v>99</v>
      </c>
      <c r="C204" s="17">
        <v>46000</v>
      </c>
      <c r="D204" s="16" t="s">
        <v>72</v>
      </c>
      <c r="E204" s="16" t="s">
        <v>914</v>
      </c>
      <c r="F204" s="16">
        <v>9978</v>
      </c>
      <c r="G204" s="18" t="s">
        <v>915</v>
      </c>
      <c r="H204" s="16" t="s">
        <v>41</v>
      </c>
      <c r="I204" s="19" t="s">
        <v>201</v>
      </c>
      <c r="J204" s="16" t="str">
        <f>IFERROR(VLOOKUP(I204,[1]Sheet1!$A$1:$B$200,2,0),"_")</f>
        <v>Y25</v>
      </c>
      <c r="K204" s="19" t="s">
        <v>76</v>
      </c>
      <c r="L204" s="16" t="str">
        <f>IFERROR(VLOOKUP(K204,[1]Sheet1!$A$1:$B$200,2,0),"-")</f>
        <v>NJ</v>
      </c>
      <c r="M204" s="19" t="s">
        <v>364</v>
      </c>
      <c r="N204" s="16" t="str">
        <f>IFERROR(VLOOKUP(M204,[1]Sheet1!$G$2:$H$200,2,0),"-")</f>
        <v>CMAL</v>
      </c>
      <c r="O204" s="18" t="s">
        <v>690</v>
      </c>
      <c r="P204" s="17" t="s">
        <v>690</v>
      </c>
      <c r="Q204" s="20" t="s">
        <v>916</v>
      </c>
      <c r="R204" s="20"/>
      <c r="S204" s="21" t="str" cm="1">
        <f t="array" ref="S204">IF(
OR(AD204="",ISERROR(AD204)),
"-",
_xlfn.UNIQUE(_xlfn._xlws.FILTER([1]Sheet1!$D$2:$D$200,ISNUMBER(SEARCH(AD204,[1]Sheet1!$D$2:$D$200))))
)</f>
        <v>태성종합물류</v>
      </c>
      <c r="T204" s="22" t="s">
        <v>917</v>
      </c>
      <c r="U204" s="16" t="str" cm="1">
        <f t="array" ref="U204">IF(
OR(AD204="",ISERROR(AD204)),
"-",
_xlfn.UNIQUE(_xlfn._xlws.FILTER([1]Sheet1!$D$2:$D$200,ISNUMBER(SEARCH(AD204,[1]Sheet1!$D$2:$D$200))))
)</f>
        <v>태성종합물류</v>
      </c>
      <c r="V204" s="23">
        <v>109200</v>
      </c>
      <c r="W204" s="23">
        <v>87520</v>
      </c>
      <c r="X204" s="23">
        <f t="shared" si="6"/>
        <v>21680</v>
      </c>
      <c r="Y204" s="25" t="s">
        <v>920</v>
      </c>
      <c r="Z204" s="19" t="s">
        <v>51</v>
      </c>
      <c r="AA204" s="19" t="s">
        <v>81</v>
      </c>
      <c r="AC204" s="17" t="str">
        <f t="shared" si="7"/>
        <v>Y</v>
      </c>
      <c r="AD204" s="17" t="s">
        <v>82</v>
      </c>
      <c r="AF204" s="27" t="s">
        <v>55</v>
      </c>
      <c r="AG204" s="27" t="s">
        <v>55</v>
      </c>
      <c r="AI204" s="28" t="s">
        <v>57</v>
      </c>
    </row>
    <row r="205" spans="1:35" ht="34.950000000000003" customHeight="1" x14ac:dyDescent="0.4">
      <c r="A205" s="16" t="s">
        <v>71</v>
      </c>
      <c r="B205" s="16" t="s">
        <v>99</v>
      </c>
      <c r="C205" s="17">
        <v>46000</v>
      </c>
      <c r="D205" s="16" t="s">
        <v>72</v>
      </c>
      <c r="E205" s="16" t="s">
        <v>914</v>
      </c>
      <c r="F205" s="16">
        <v>5981</v>
      </c>
      <c r="G205" s="18" t="s">
        <v>921</v>
      </c>
      <c r="H205" s="16" t="s">
        <v>41</v>
      </c>
      <c r="I205" s="19" t="s">
        <v>201</v>
      </c>
      <c r="J205" s="16" t="str">
        <f>IFERROR(VLOOKUP(I205,[1]Sheet1!$A$1:$B$200,2,0),"_")</f>
        <v>Y25</v>
      </c>
      <c r="K205" s="19" t="s">
        <v>76</v>
      </c>
      <c r="L205" s="16" t="str">
        <f>IFERROR(VLOOKUP(K205,[1]Sheet1!$A$1:$B$200,2,0),"-")</f>
        <v>NJ</v>
      </c>
      <c r="M205" s="19" t="s">
        <v>364</v>
      </c>
      <c r="N205" s="16" t="str">
        <f>IFERROR(VLOOKUP(M205,[1]Sheet1!$G$2:$H$200,2,0),"-")</f>
        <v>CMAL</v>
      </c>
      <c r="O205" s="18" t="s">
        <v>690</v>
      </c>
      <c r="P205" s="17" t="s">
        <v>690</v>
      </c>
      <c r="Q205" s="20" t="s">
        <v>922</v>
      </c>
      <c r="R205" s="20"/>
      <c r="S205" s="21" t="str" cm="1">
        <f t="array" ref="S205">IF(
OR(AD205="",ISERROR(AD205)),
"-",
_xlfn.UNIQUE(_xlfn._xlws.FILTER([1]Sheet1!$D$2:$D$200,ISNUMBER(SEARCH(AD205,[1]Sheet1!$D$2:$D$200))))
)</f>
        <v>태성종합물류</v>
      </c>
      <c r="T205" s="22" t="s">
        <v>923</v>
      </c>
      <c r="U205" s="16" t="str" cm="1">
        <f t="array" ref="U205">IF(
OR(AD205="",ISERROR(AD205)),
"-",
_xlfn.UNIQUE(_xlfn._xlws.FILTER([1]Sheet1!$D$2:$D$200,ISNUMBER(SEARCH(AD205,[1]Sheet1!$D$2:$D$200))))
)</f>
        <v>태성종합물류</v>
      </c>
      <c r="V205" s="23">
        <v>525000</v>
      </c>
      <c r="W205" s="23">
        <v>508700</v>
      </c>
      <c r="X205" s="23">
        <f t="shared" si="6"/>
        <v>16300</v>
      </c>
      <c r="Y205" s="25" t="s">
        <v>924</v>
      </c>
      <c r="Z205" s="19" t="s">
        <v>51</v>
      </c>
      <c r="AA205" s="19" t="s">
        <v>81</v>
      </c>
      <c r="AB205" s="18" t="s">
        <v>919</v>
      </c>
      <c r="AC205" s="17" t="str">
        <f t="shared" si="7"/>
        <v>Y</v>
      </c>
      <c r="AD205" s="17" t="s">
        <v>82</v>
      </c>
      <c r="AF205" s="27" t="s">
        <v>55</v>
      </c>
      <c r="AG205" s="27" t="s">
        <v>55</v>
      </c>
      <c r="AI205" s="28" t="s">
        <v>57</v>
      </c>
    </row>
    <row r="206" spans="1:35" ht="34.950000000000003" customHeight="1" x14ac:dyDescent="0.4">
      <c r="A206" s="16" t="s">
        <v>71</v>
      </c>
      <c r="B206" s="16" t="s">
        <v>99</v>
      </c>
      <c r="C206" s="17">
        <v>46000</v>
      </c>
      <c r="D206" s="16" t="s">
        <v>72</v>
      </c>
      <c r="E206" s="16" t="s">
        <v>914</v>
      </c>
      <c r="F206" s="16">
        <v>5981</v>
      </c>
      <c r="G206" s="18" t="s">
        <v>921</v>
      </c>
      <c r="H206" s="16" t="s">
        <v>41</v>
      </c>
      <c r="I206" s="19" t="s">
        <v>201</v>
      </c>
      <c r="J206" s="16" t="str">
        <f>IFERROR(VLOOKUP(I206,[1]Sheet1!$A$1:$B$200,2,0),"_")</f>
        <v>Y25</v>
      </c>
      <c r="K206" s="19" t="s">
        <v>76</v>
      </c>
      <c r="L206" s="16" t="str">
        <f>IFERROR(VLOOKUP(K206,[1]Sheet1!$A$1:$B$200,2,0),"-")</f>
        <v>NJ</v>
      </c>
      <c r="M206" s="19" t="s">
        <v>364</v>
      </c>
      <c r="N206" s="16" t="str">
        <f>IFERROR(VLOOKUP(M206,[1]Sheet1!$G$2:$H$200,2,0),"-")</f>
        <v>CMAL</v>
      </c>
      <c r="O206" s="18" t="s">
        <v>690</v>
      </c>
      <c r="P206" s="17" t="s">
        <v>690</v>
      </c>
      <c r="Q206" s="20" t="s">
        <v>922</v>
      </c>
      <c r="R206" s="20"/>
      <c r="S206" s="21" t="str" cm="1">
        <f t="array" ref="S206">IF(
OR(AD206="",ISERROR(AD206)),
"-",
_xlfn.UNIQUE(_xlfn._xlws.FILTER([1]Sheet1!$D$2:$D$200,ISNUMBER(SEARCH(AD206,[1]Sheet1!$D$2:$D$200))))
)</f>
        <v>태성종합물류</v>
      </c>
      <c r="T206" s="22" t="s">
        <v>923</v>
      </c>
      <c r="U206" s="16" t="str" cm="1">
        <f t="array" ref="U206">IF(
OR(AD206="",ISERROR(AD206)),
"-",
_xlfn.UNIQUE(_xlfn._xlws.FILTER([1]Sheet1!$D$2:$D$200,ISNUMBER(SEARCH(AD206,[1]Sheet1!$D$2:$D$200))))
)</f>
        <v>태성종합물류</v>
      </c>
      <c r="V206" s="23">
        <v>105000</v>
      </c>
      <c r="W206" s="23">
        <v>101740</v>
      </c>
      <c r="X206" s="23">
        <f t="shared" si="6"/>
        <v>3260</v>
      </c>
      <c r="Y206" s="25" t="s">
        <v>925</v>
      </c>
      <c r="Z206" s="19" t="s">
        <v>51</v>
      </c>
      <c r="AA206" s="19" t="s">
        <v>81</v>
      </c>
      <c r="AC206" s="17" t="str">
        <f t="shared" si="7"/>
        <v>Y</v>
      </c>
      <c r="AD206" s="17" t="s">
        <v>82</v>
      </c>
      <c r="AF206" s="27" t="s">
        <v>55</v>
      </c>
      <c r="AG206" s="27" t="s">
        <v>55</v>
      </c>
      <c r="AI206" s="28" t="s">
        <v>57</v>
      </c>
    </row>
    <row r="207" spans="1:35" ht="34.950000000000003" customHeight="1" x14ac:dyDescent="0.4">
      <c r="A207" s="16" t="s">
        <v>36</v>
      </c>
      <c r="B207" s="16" t="s">
        <v>99</v>
      </c>
      <c r="C207" s="17">
        <v>46001</v>
      </c>
      <c r="D207" s="16" t="s">
        <v>642</v>
      </c>
      <c r="E207" s="16" t="s">
        <v>656</v>
      </c>
      <c r="F207" s="16">
        <v>27594</v>
      </c>
      <c r="G207" s="18" t="s">
        <v>657</v>
      </c>
      <c r="H207" s="16" t="s">
        <v>41</v>
      </c>
      <c r="I207" s="19" t="s">
        <v>99</v>
      </c>
      <c r="J207" s="16" t="str">
        <f>IFERROR(VLOOKUP(I207,[1]Sheet1!$A$1:$B$200,2,0),"_")</f>
        <v>IX</v>
      </c>
      <c r="K207" s="19" t="s">
        <v>219</v>
      </c>
      <c r="L207" s="16" t="str">
        <f>IFERROR(VLOOKUP(K207,[1]Sheet1!$A$1:$B$200,2,0),"-")</f>
        <v>NN</v>
      </c>
      <c r="M207" s="19" t="s">
        <v>658</v>
      </c>
      <c r="N207" s="16" t="str">
        <f>IFERROR(VLOOKUP(M207,[1]Sheet1!$G$2:$H$200,2,0),"-")</f>
        <v>PANO</v>
      </c>
      <c r="O207" s="18" t="s">
        <v>329</v>
      </c>
      <c r="P207" s="17">
        <v>46004</v>
      </c>
      <c r="Q207" s="20" t="s">
        <v>659</v>
      </c>
      <c r="R207" s="20" t="s">
        <v>660</v>
      </c>
      <c r="S207" s="21" t="str" cm="1">
        <f t="array" ref="S207">IF(
OR(AD207="",ISERROR(AD207)),
"-",
_xlfn.UNIQUE(_xlfn._xlws.FILTER([1]Sheet1!$D$2:$D$200,ISNUMBER(SEARCH(AD207,[1]Sheet1!$D$2:$D$200))))
)</f>
        <v>태성종합물류</v>
      </c>
      <c r="T207" s="22" t="s">
        <v>306</v>
      </c>
      <c r="U207" s="16" t="str" cm="1">
        <f t="array" ref="U207">IF(
OR(AD207="",ISERROR(AD207)),
"-",
_xlfn.UNIQUE(_xlfn._xlws.FILTER([1]Sheet1!$D$2:$D$200,ISNUMBER(SEARCH(AD207,[1]Sheet1!$D$2:$D$200))))
)</f>
        <v>태성종합물류</v>
      </c>
      <c r="V207" s="23">
        <v>359000</v>
      </c>
      <c r="W207" s="23">
        <v>334800</v>
      </c>
      <c r="X207" s="23">
        <f t="shared" si="6"/>
        <v>24200</v>
      </c>
      <c r="Y207" s="25" t="s">
        <v>662</v>
      </c>
      <c r="Z207" s="19" t="s">
        <v>51</v>
      </c>
      <c r="AA207" s="19" t="s">
        <v>663</v>
      </c>
      <c r="AB207" s="18" t="s">
        <v>926</v>
      </c>
      <c r="AC207" s="17" t="str">
        <f t="shared" si="7"/>
        <v>Y</v>
      </c>
      <c r="AD207" s="17" t="s">
        <v>82</v>
      </c>
      <c r="AF207" s="27" t="s">
        <v>55</v>
      </c>
      <c r="AG207" s="27" t="s">
        <v>55</v>
      </c>
      <c r="AI207" s="28" t="s">
        <v>57</v>
      </c>
    </row>
    <row r="208" spans="1:35" ht="34.950000000000003" customHeight="1" x14ac:dyDescent="0.4">
      <c r="A208" s="16" t="s">
        <v>36</v>
      </c>
      <c r="B208" s="16" t="s">
        <v>99</v>
      </c>
      <c r="C208" s="17">
        <v>46001</v>
      </c>
      <c r="D208" s="16" t="s">
        <v>642</v>
      </c>
      <c r="E208" s="16" t="s">
        <v>656</v>
      </c>
      <c r="F208" s="16">
        <v>27594</v>
      </c>
      <c r="G208" s="18" t="s">
        <v>657</v>
      </c>
      <c r="H208" s="16" t="s">
        <v>41</v>
      </c>
      <c r="I208" s="19" t="s">
        <v>99</v>
      </c>
      <c r="J208" s="16" t="str">
        <f>IFERROR(VLOOKUP(I208,[1]Sheet1!$A$1:$B$200,2,0),"_")</f>
        <v>IX</v>
      </c>
      <c r="K208" s="19" t="s">
        <v>219</v>
      </c>
      <c r="L208" s="16" t="str">
        <f>IFERROR(VLOOKUP(K208,[1]Sheet1!$A$1:$B$200,2,0),"-")</f>
        <v>NN</v>
      </c>
      <c r="M208" s="19" t="s">
        <v>658</v>
      </c>
      <c r="N208" s="16" t="str">
        <f>IFERROR(VLOOKUP(M208,[1]Sheet1!$G$2:$H$200,2,0),"-")</f>
        <v>PANO</v>
      </c>
      <c r="O208" s="18" t="s">
        <v>329</v>
      </c>
      <c r="P208" s="17">
        <v>46004</v>
      </c>
      <c r="Q208" s="20" t="s">
        <v>659</v>
      </c>
      <c r="R208" s="20" t="s">
        <v>660</v>
      </c>
      <c r="S208" s="21" t="str" cm="1">
        <f t="array" ref="S208">IF(
OR(AD208="",ISERROR(AD208)),
"-",
_xlfn.UNIQUE(_xlfn._xlws.FILTER([1]Sheet1!$D$2:$D$200,ISNUMBER(SEARCH(AD208,[1]Sheet1!$D$2:$D$200))))
)</f>
        <v>태성종합물류</v>
      </c>
      <c r="T208" s="22" t="s">
        <v>306</v>
      </c>
      <c r="U208" s="16" t="str" cm="1">
        <f t="array" ref="U208">IF(
OR(AD208="",ISERROR(AD208)),
"-",
_xlfn.UNIQUE(_xlfn._xlws.FILTER([1]Sheet1!$D$2:$D$200,ISNUMBER(SEARCH(AD208,[1]Sheet1!$D$2:$D$200))))
)</f>
        <v>태성종합물류</v>
      </c>
      <c r="V208" s="23">
        <v>10000</v>
      </c>
      <c r="W208" s="23">
        <v>10000</v>
      </c>
      <c r="X208" s="23">
        <f t="shared" si="6"/>
        <v>0</v>
      </c>
      <c r="Y208" s="25" t="s">
        <v>927</v>
      </c>
      <c r="Z208" s="19" t="s">
        <v>51</v>
      </c>
      <c r="AA208" s="19" t="s">
        <v>663</v>
      </c>
      <c r="AC208" s="17" t="str">
        <f t="shared" si="7"/>
        <v>Y</v>
      </c>
      <c r="AD208" s="17" t="s">
        <v>82</v>
      </c>
      <c r="AF208" s="27" t="s">
        <v>55</v>
      </c>
      <c r="AG208" s="27" t="s">
        <v>55</v>
      </c>
      <c r="AI208" s="28" t="s">
        <v>57</v>
      </c>
    </row>
    <row r="209" spans="1:35" ht="34.950000000000003" customHeight="1" x14ac:dyDescent="0.4">
      <c r="A209" s="16" t="s">
        <v>36</v>
      </c>
      <c r="B209" s="16" t="s">
        <v>37</v>
      </c>
      <c r="C209" s="17">
        <v>46001</v>
      </c>
      <c r="D209" s="16" t="s">
        <v>248</v>
      </c>
      <c r="E209" s="16" t="s">
        <v>928</v>
      </c>
      <c r="F209" s="16">
        <v>850</v>
      </c>
      <c r="G209" s="18" t="s">
        <v>412</v>
      </c>
      <c r="H209" s="16" t="s">
        <v>41</v>
      </c>
      <c r="I209" s="19" t="s">
        <v>520</v>
      </c>
      <c r="J209" s="16" t="str">
        <f>IFERROR(VLOOKUP(I209,[1]Sheet1!$A$2:$B$164,2,0),"_")</f>
        <v>KP</v>
      </c>
      <c r="K209" s="19" t="s">
        <v>730</v>
      </c>
      <c r="L209" s="16" t="str">
        <f>IFERROR(VLOOKUP(K209,[1]Sheet1!$A$2:$B$164,2,0),"-")</f>
        <v>TG</v>
      </c>
      <c r="M209" s="19" t="s">
        <v>566</v>
      </c>
      <c r="N209" s="16" t="str">
        <f>IFERROR(VLOOKUP(M209,[1]Sheet1!$G$2:$H$200,2,0),"-")</f>
        <v>WHLU</v>
      </c>
      <c r="O209" s="18" t="s">
        <v>929</v>
      </c>
      <c r="P209" s="17">
        <v>46001</v>
      </c>
      <c r="Q209" s="20" t="s">
        <v>930</v>
      </c>
      <c r="R209" s="20" t="s">
        <v>931</v>
      </c>
      <c r="S209" s="21" t="str" cm="1">
        <f t="array" ref="S209">IF(
OR(AD209="",ISERROR(AD209)),
"-",
_xlfn.UNIQUE(_xlfn._xlws.FILTER([1]Sheet1!$D$2:$D$200,ISNUMBER(SEARCH(AD209,[1]Sheet1!$D$2:$D$200))))
)</f>
        <v>(주)부강에너지</v>
      </c>
      <c r="T209" s="22" t="s">
        <v>426</v>
      </c>
      <c r="U209" s="16" t="str" cm="1">
        <f t="array" ref="U209">IF(
OR(AD209="",ISERROR(AD209)),
"-",
_xlfn.UNIQUE(_xlfn._xlws.FILTER([1]Sheet1!$D$2:$D$200,ISNUMBER(SEARCH(AD209,[1]Sheet1!$D$2:$D$200))))
)</f>
        <v>(주)부강에너지</v>
      </c>
      <c r="V209" s="23">
        <v>316000</v>
      </c>
      <c r="W209" s="23">
        <v>275600</v>
      </c>
      <c r="X209" s="23">
        <f t="shared" si="6"/>
        <v>40400</v>
      </c>
      <c r="Y209" s="25" t="s">
        <v>932</v>
      </c>
      <c r="Z209" s="19" t="s">
        <v>51</v>
      </c>
      <c r="AA209" s="19" t="s">
        <v>144</v>
      </c>
      <c r="AC209" s="17" t="str">
        <f t="shared" si="7"/>
        <v>Y</v>
      </c>
      <c r="AD209" s="17" t="s">
        <v>197</v>
      </c>
      <c r="AF209" s="27" t="s">
        <v>55</v>
      </c>
      <c r="AG209" s="27" t="s">
        <v>55</v>
      </c>
      <c r="AI209" s="28" t="s">
        <v>57</v>
      </c>
    </row>
    <row r="210" spans="1:35" ht="34.950000000000003" customHeight="1" x14ac:dyDescent="0.4">
      <c r="A210" s="16" t="s">
        <v>36</v>
      </c>
      <c r="B210" s="16" t="s">
        <v>37</v>
      </c>
      <c r="C210" s="17">
        <v>46001</v>
      </c>
      <c r="D210" s="16" t="s">
        <v>248</v>
      </c>
      <c r="E210" s="16" t="s">
        <v>928</v>
      </c>
      <c r="F210" s="16">
        <v>850</v>
      </c>
      <c r="G210" s="18" t="s">
        <v>412</v>
      </c>
      <c r="H210" s="16" t="s">
        <v>41</v>
      </c>
      <c r="I210" s="19" t="s">
        <v>520</v>
      </c>
      <c r="J210" s="16" t="str">
        <f>IFERROR(VLOOKUP(I210,[1]Sheet1!$A$2:$B$164,2,0),"_")</f>
        <v>KP</v>
      </c>
      <c r="K210" s="19" t="s">
        <v>730</v>
      </c>
      <c r="L210" s="16" t="str">
        <f>IFERROR(VLOOKUP(K210,[1]Sheet1!$A$2:$B$164,2,0),"-")</f>
        <v>TG</v>
      </c>
      <c r="M210" s="19" t="s">
        <v>566</v>
      </c>
      <c r="N210" s="16" t="str">
        <f>IFERROR(VLOOKUP(M210,[1]Sheet1!$G$2:$H$200,2,0),"-")</f>
        <v>WHLU</v>
      </c>
      <c r="O210" s="18" t="s">
        <v>929</v>
      </c>
      <c r="P210" s="17">
        <v>46001</v>
      </c>
      <c r="Q210" s="20" t="s">
        <v>930</v>
      </c>
      <c r="R210" s="20" t="s">
        <v>931</v>
      </c>
      <c r="S210" s="21" t="str" cm="1">
        <f t="array" ref="S210">IF(
OR(AD210="",ISERROR(AD210)),
"-",
_xlfn.UNIQUE(_xlfn._xlws.FILTER([1]Sheet1!$D$2:$D$200,ISNUMBER(SEARCH(AD210,[1]Sheet1!$D$2:$D$200))))
)</f>
        <v>(주)부강에너지</v>
      </c>
      <c r="T210" s="22" t="s">
        <v>426</v>
      </c>
      <c r="U210" s="16" t="str" cm="1">
        <f t="array" ref="U210">IF(
OR(AD210="",ISERROR(AD210)),
"-",
_xlfn.UNIQUE(_xlfn._xlws.FILTER([1]Sheet1!$D$2:$D$200,ISNUMBER(SEARCH(AD210,[1]Sheet1!$D$2:$D$200))))
)</f>
        <v>(주)부강에너지</v>
      </c>
      <c r="V210" s="23">
        <v>10000</v>
      </c>
      <c r="W210" s="23">
        <v>10000</v>
      </c>
      <c r="X210" s="23">
        <f t="shared" si="6"/>
        <v>0</v>
      </c>
      <c r="Y210" s="25" t="s">
        <v>933</v>
      </c>
      <c r="Z210" s="19" t="s">
        <v>51</v>
      </c>
      <c r="AA210" s="19" t="s">
        <v>144</v>
      </c>
      <c r="AC210" s="17" t="str">
        <f t="shared" si="7"/>
        <v>Y</v>
      </c>
      <c r="AD210" s="17" t="s">
        <v>197</v>
      </c>
      <c r="AF210" s="27" t="s">
        <v>55</v>
      </c>
      <c r="AG210" s="27" t="s">
        <v>55</v>
      </c>
      <c r="AI210" s="28" t="s">
        <v>57</v>
      </c>
    </row>
    <row r="211" spans="1:35" ht="34.950000000000003" customHeight="1" x14ac:dyDescent="0.4">
      <c r="A211" s="16" t="s">
        <v>71</v>
      </c>
      <c r="B211" s="16" t="s">
        <v>37</v>
      </c>
      <c r="C211" s="17">
        <v>46001</v>
      </c>
      <c r="D211" s="16" t="s">
        <v>855</v>
      </c>
      <c r="E211" s="16" t="s">
        <v>934</v>
      </c>
      <c r="F211" s="16">
        <v>27147</v>
      </c>
      <c r="G211" s="18" t="s">
        <v>935</v>
      </c>
      <c r="H211" s="16" t="s">
        <v>41</v>
      </c>
      <c r="I211" s="19" t="s">
        <v>86</v>
      </c>
      <c r="J211" s="16" t="str">
        <f>IFERROR(VLOOKUP(I211,[1]Sheet1!$A$2:$B$164,2,0),"_")</f>
        <v>HP</v>
      </c>
      <c r="K211" s="19" t="s">
        <v>529</v>
      </c>
      <c r="L211" s="16" t="str">
        <f>IFERROR(VLOOKUP(K211,[1]Sheet1!$A$2:$B$164,2,0),"-")</f>
        <v>BC</v>
      </c>
      <c r="M211" s="19" t="s">
        <v>151</v>
      </c>
      <c r="N211" s="16" t="str">
        <f>IFERROR(VLOOKUP(M211,[1]Sheet1!$G$2:$H$200,2,0),"-")</f>
        <v>NSSL</v>
      </c>
      <c r="O211" s="18" t="s">
        <v>690</v>
      </c>
      <c r="P211" s="17" t="s">
        <v>690</v>
      </c>
      <c r="Q211" s="20" t="s">
        <v>936</v>
      </c>
      <c r="R211" s="20"/>
      <c r="S211" s="21" t="str" cm="1">
        <f t="array" ref="S211">IF(
OR(AD211="",ISERROR(AD211)),
"-",
_xlfn.UNIQUE(_xlfn._xlws.FILTER([1]Sheet1!$D$2:$D$200,ISNUMBER(SEARCH(AD211,[1]Sheet1!$D$2:$D$200))))
)</f>
        <v>-</v>
      </c>
      <c r="T211" s="22" t="s">
        <v>937</v>
      </c>
      <c r="U211" s="16" t="str" cm="1">
        <f t="array" ref="U211">IF(
OR(AD211="",ISERROR(AD211)),
"-",
_xlfn.UNIQUE(_xlfn._xlws.FILTER([1]Sheet1!$D$2:$D$200,ISNUMBER(SEARCH(AD211,[1]Sheet1!$D$2:$D$200))))
)</f>
        <v>-</v>
      </c>
      <c r="V211" s="23">
        <v>750000</v>
      </c>
      <c r="W211" s="23">
        <v>709700</v>
      </c>
      <c r="X211" s="23">
        <f t="shared" si="6"/>
        <v>40300</v>
      </c>
      <c r="Y211" s="25" t="s">
        <v>938</v>
      </c>
      <c r="Z211" s="19" t="s">
        <v>51</v>
      </c>
      <c r="AA211" s="19" t="s">
        <v>144</v>
      </c>
      <c r="AB211" s="18" t="s">
        <v>939</v>
      </c>
      <c r="AC211" s="17" t="str">
        <f t="shared" si="7"/>
        <v>Y</v>
      </c>
      <c r="AD211" s="17"/>
      <c r="AF211" s="27" t="s">
        <v>55</v>
      </c>
      <c r="AG211" s="27" t="s">
        <v>55</v>
      </c>
      <c r="AI211" s="28" t="s">
        <v>57</v>
      </c>
    </row>
    <row r="212" spans="1:35" ht="34.950000000000003" customHeight="1" x14ac:dyDescent="0.4">
      <c r="A212" s="16" t="s">
        <v>71</v>
      </c>
      <c r="B212" s="16" t="s">
        <v>37</v>
      </c>
      <c r="C212" s="17">
        <v>46001</v>
      </c>
      <c r="D212" s="16" t="s">
        <v>855</v>
      </c>
      <c r="E212" s="16" t="s">
        <v>934</v>
      </c>
      <c r="F212" s="16">
        <v>27147</v>
      </c>
      <c r="G212" s="18" t="s">
        <v>935</v>
      </c>
      <c r="H212" s="16" t="s">
        <v>41</v>
      </c>
      <c r="I212" s="19" t="s">
        <v>86</v>
      </c>
      <c r="J212" s="16" t="str">
        <f>IFERROR(VLOOKUP(I212,[1]Sheet1!$A$2:$B$164,2,0),"_")</f>
        <v>HP</v>
      </c>
      <c r="K212" s="19" t="s">
        <v>529</v>
      </c>
      <c r="L212" s="16" t="str">
        <f>IFERROR(VLOOKUP(K212,[1]Sheet1!$A$2:$B$164,2,0),"-")</f>
        <v>BC</v>
      </c>
      <c r="M212" s="19" t="s">
        <v>151</v>
      </c>
      <c r="N212" s="16" t="str">
        <f>IFERROR(VLOOKUP(M212,[1]Sheet1!$G$2:$H$200,2,0),"-")</f>
        <v>NSSL</v>
      </c>
      <c r="O212" s="18" t="s">
        <v>690</v>
      </c>
      <c r="P212" s="17" t="s">
        <v>690</v>
      </c>
      <c r="Q212" s="20" t="s">
        <v>936</v>
      </c>
      <c r="R212" s="20"/>
      <c r="S212" s="21" t="str" cm="1">
        <f t="array" ref="S212">IF(
OR(AD212="",ISERROR(AD212)),
"-",
_xlfn.UNIQUE(_xlfn._xlws.FILTER([1]Sheet1!$D$2:$D$200,ISNUMBER(SEARCH(AD212,[1]Sheet1!$D$2:$D$200))))
)</f>
        <v>-</v>
      </c>
      <c r="T212" s="22" t="s">
        <v>937</v>
      </c>
      <c r="U212" s="16" t="str" cm="1">
        <f t="array" ref="U212">IF(
OR(AD212="",ISERROR(AD212)),
"-",
_xlfn.UNIQUE(_xlfn._xlws.FILTER([1]Sheet1!$D$2:$D$200,ISNUMBER(SEARCH(AD212,[1]Sheet1!$D$2:$D$200))))
)</f>
        <v>-</v>
      </c>
      <c r="V212" s="23">
        <v>180000</v>
      </c>
      <c r="W212" s="23">
        <v>180000</v>
      </c>
      <c r="X212" s="23">
        <f t="shared" si="6"/>
        <v>0</v>
      </c>
      <c r="Y212" s="25" t="s">
        <v>940</v>
      </c>
      <c r="Z212" s="19" t="s">
        <v>51</v>
      </c>
      <c r="AA212" s="19" t="s">
        <v>144</v>
      </c>
      <c r="AB212" s="18" t="s">
        <v>939</v>
      </c>
      <c r="AC212" s="17" t="str">
        <f t="shared" si="7"/>
        <v>Y</v>
      </c>
      <c r="AD212" s="17"/>
      <c r="AF212" s="27" t="s">
        <v>55</v>
      </c>
      <c r="AG212" s="27" t="s">
        <v>55</v>
      </c>
      <c r="AI212" s="28" t="s">
        <v>57</v>
      </c>
    </row>
    <row r="213" spans="1:35" ht="34.950000000000003" customHeight="1" x14ac:dyDescent="0.4">
      <c r="A213" s="16" t="s">
        <v>36</v>
      </c>
      <c r="B213" s="16" t="s">
        <v>37</v>
      </c>
      <c r="C213" s="17">
        <v>46001</v>
      </c>
      <c r="D213" s="16" t="s">
        <v>308</v>
      </c>
      <c r="E213" s="16" t="s">
        <v>941</v>
      </c>
      <c r="F213" s="16">
        <v>12365</v>
      </c>
      <c r="G213" s="18" t="s">
        <v>171</v>
      </c>
      <c r="H213" s="16" t="s">
        <v>41</v>
      </c>
      <c r="I213" s="19" t="s">
        <v>172</v>
      </c>
      <c r="J213" s="16" t="str">
        <f>IFERROR(VLOOKUP(I213,[1]Sheet1!$A$2:$B$164,2,0),"_")</f>
        <v>KW</v>
      </c>
      <c r="K213" s="19" t="s">
        <v>172</v>
      </c>
      <c r="L213" s="16" t="str">
        <f>IFERROR(VLOOKUP(K213,[1]Sheet1!$A$2:$B$164,2,0),"-")</f>
        <v>KW</v>
      </c>
      <c r="M213" s="19" t="s">
        <v>77</v>
      </c>
      <c r="N213" s="16" t="str">
        <f>IFERROR(VLOOKUP(M213,[1]Sheet1!$G$2:$H$200,2,0),"-")</f>
        <v>KMTC</v>
      </c>
      <c r="O213" s="18" t="s">
        <v>942</v>
      </c>
      <c r="P213" s="17">
        <v>46007</v>
      </c>
      <c r="Q213" s="20" t="s">
        <v>943</v>
      </c>
      <c r="R213" s="20" t="s">
        <v>944</v>
      </c>
      <c r="S213" s="21" t="str" cm="1">
        <f t="array" ref="S213">IF(
OR(AD213="",ISERROR(AD213)),
"-",
_xlfn.UNIQUE(_xlfn._xlws.FILTER([1]Sheet1!$D$2:$D$200,ISNUMBER(SEARCH(AD213,[1]Sheet1!$D$2:$D$200))))
)</f>
        <v>(유)오식도물류</v>
      </c>
      <c r="T213" s="22" t="s">
        <v>945</v>
      </c>
      <c r="U213" s="16" t="str" cm="1">
        <f t="array" ref="U213">IF(
OR(AD213="",ISERROR(AD213)),
"-",
_xlfn.UNIQUE(_xlfn._xlws.FILTER([1]Sheet1!$D$2:$D$200,ISNUMBER(SEARCH(AD213,[1]Sheet1!$D$2:$D$200))))
)</f>
        <v>(유)오식도물류</v>
      </c>
      <c r="V213" s="23">
        <v>890000</v>
      </c>
      <c r="W213" s="23">
        <v>809200</v>
      </c>
      <c r="X213" s="23">
        <f t="shared" si="6"/>
        <v>80800</v>
      </c>
      <c r="Y213" s="25" t="s">
        <v>946</v>
      </c>
      <c r="Z213" s="19" t="s">
        <v>51</v>
      </c>
      <c r="AA213" s="19" t="s">
        <v>93</v>
      </c>
      <c r="AB213" s="35" t="s">
        <v>947</v>
      </c>
      <c r="AC213" s="17" t="str">
        <f t="shared" si="7"/>
        <v>Y</v>
      </c>
      <c r="AD213" s="17" t="s">
        <v>179</v>
      </c>
      <c r="AF213" s="27" t="s">
        <v>55</v>
      </c>
      <c r="AG213" s="27" t="s">
        <v>55</v>
      </c>
      <c r="AI213" s="28" t="s">
        <v>57</v>
      </c>
    </row>
    <row r="214" spans="1:35" ht="34.950000000000003" customHeight="1" x14ac:dyDescent="0.4">
      <c r="A214" s="16" t="s">
        <v>36</v>
      </c>
      <c r="B214" s="16" t="s">
        <v>37</v>
      </c>
      <c r="C214" s="17">
        <v>46001</v>
      </c>
      <c r="D214" s="16" t="s">
        <v>308</v>
      </c>
      <c r="E214" s="16" t="s">
        <v>941</v>
      </c>
      <c r="F214" s="16">
        <v>12365</v>
      </c>
      <c r="G214" s="18" t="s">
        <v>171</v>
      </c>
      <c r="H214" s="16" t="s">
        <v>41</v>
      </c>
      <c r="I214" s="19" t="s">
        <v>172</v>
      </c>
      <c r="J214" s="16" t="str">
        <f>IFERROR(VLOOKUP(I214,[1]Sheet1!$A$2:$B$164,2,0),"_")</f>
        <v>KW</v>
      </c>
      <c r="K214" s="19" t="s">
        <v>172</v>
      </c>
      <c r="L214" s="16" t="str">
        <f>IFERROR(VLOOKUP(K214,[1]Sheet1!$A$2:$B$164,2,0),"-")</f>
        <v>KW</v>
      </c>
      <c r="M214" s="19" t="s">
        <v>77</v>
      </c>
      <c r="N214" s="16" t="str">
        <f>IFERROR(VLOOKUP(M214,[1]Sheet1!$G$2:$H$200,2,0),"-")</f>
        <v>KMTC</v>
      </c>
      <c r="O214" s="18" t="s">
        <v>942</v>
      </c>
      <c r="P214" s="17">
        <v>46007</v>
      </c>
      <c r="Q214" s="20" t="s">
        <v>948</v>
      </c>
      <c r="R214" s="20" t="s">
        <v>949</v>
      </c>
      <c r="S214" s="21" t="str" cm="1">
        <f t="array" ref="S214">IF(
OR(AD214="",ISERROR(AD214)),
"-",
_xlfn.UNIQUE(_xlfn._xlws.FILTER([1]Sheet1!$D$2:$D$200,ISNUMBER(SEARCH(AD214,[1]Sheet1!$D$2:$D$200))))
)</f>
        <v>(유)오식도물류</v>
      </c>
      <c r="T214" s="22" t="s">
        <v>945</v>
      </c>
      <c r="U214" s="16" t="str" cm="1">
        <f t="array" ref="U214">IF(
OR(AD214="",ISERROR(AD214)),
"-",
_xlfn.UNIQUE(_xlfn._xlws.FILTER([1]Sheet1!$D$2:$D$200,ISNUMBER(SEARCH(AD214,[1]Sheet1!$D$2:$D$200))))
)</f>
        <v>(유)오식도물류</v>
      </c>
      <c r="V214" s="23">
        <v>890000</v>
      </c>
      <c r="W214" s="23">
        <v>809200</v>
      </c>
      <c r="X214" s="23">
        <f t="shared" si="6"/>
        <v>80800</v>
      </c>
      <c r="Y214" s="25" t="s">
        <v>946</v>
      </c>
      <c r="Z214" s="19" t="s">
        <v>51</v>
      </c>
      <c r="AA214" s="19" t="s">
        <v>93</v>
      </c>
      <c r="AB214" s="35" t="s">
        <v>947</v>
      </c>
      <c r="AC214" s="17" t="str">
        <f t="shared" si="7"/>
        <v>Y</v>
      </c>
      <c r="AD214" s="17" t="s">
        <v>179</v>
      </c>
      <c r="AF214" s="27" t="s">
        <v>55</v>
      </c>
      <c r="AG214" s="27" t="s">
        <v>55</v>
      </c>
      <c r="AI214" s="28" t="s">
        <v>57</v>
      </c>
    </row>
    <row r="215" spans="1:35" ht="34.799999999999997" customHeight="1" x14ac:dyDescent="0.4">
      <c r="A215" s="16" t="s">
        <v>36</v>
      </c>
      <c r="B215" s="16" t="s">
        <v>37</v>
      </c>
      <c r="C215" s="17">
        <v>46001</v>
      </c>
      <c r="D215" s="16" t="s">
        <v>38</v>
      </c>
      <c r="E215" s="16" t="s">
        <v>950</v>
      </c>
      <c r="F215" s="16">
        <v>15356</v>
      </c>
      <c r="G215" s="18" t="s">
        <v>951</v>
      </c>
      <c r="H215" s="16" t="s">
        <v>75</v>
      </c>
      <c r="I215" s="19" t="s">
        <v>60</v>
      </c>
      <c r="J215" s="16" t="str">
        <f>IFERROR(VLOOKUP(I215,[1]Sheet1!$A$2:$B$166,2,0),"_")</f>
        <v>KQ</v>
      </c>
      <c r="K215" s="19" t="s">
        <v>42</v>
      </c>
      <c r="L215" s="16" t="str">
        <f>IFERROR(VLOOKUP(K215,[1]Sheet1!$A$2:$B$166,2,0),"-")</f>
        <v>P</v>
      </c>
      <c r="M215" s="19" t="s">
        <v>44</v>
      </c>
      <c r="N215" s="16" t="str">
        <f>IFERROR(VLOOKUP(M215,[1]Sheet1!$G$2:$H$200,2,0),"-")</f>
        <v>HSLI</v>
      </c>
      <c r="O215" s="18" t="s">
        <v>690</v>
      </c>
      <c r="P215" s="17" t="s">
        <v>690</v>
      </c>
      <c r="Q215" s="20" t="s">
        <v>791</v>
      </c>
      <c r="R215" s="20"/>
      <c r="S215" s="21" t="str" cm="1">
        <f t="array" ref="S215">IF(
OR(AD215="",ISERROR(AD215)),
"-",
_xlfn.UNIQUE(_xlfn._xlws.FILTER([1]Sheet1!$D$2:$D$200,ISNUMBER(SEARCH(AD215,[1]Sheet1!$D$2:$D$200))))
)</f>
        <v>(주)유진로직스</v>
      </c>
      <c r="T215" s="22" t="s">
        <v>952</v>
      </c>
      <c r="U215" s="16" t="str" cm="1">
        <f t="array" ref="U215">IF(
OR(AD215="",ISERROR(AD215)),
"-",
_xlfn.UNIQUE(_xlfn._xlws.FILTER([1]Sheet1!$D$2:$D$200,ISNUMBER(SEARCH(AD215,[1]Sheet1!$D$2:$D$200))))
)</f>
        <v>(주)유진로직스</v>
      </c>
      <c r="V215" s="23">
        <v>170000</v>
      </c>
      <c r="W215" s="23">
        <v>140000</v>
      </c>
      <c r="X215" s="23">
        <f t="shared" si="6"/>
        <v>30000</v>
      </c>
      <c r="Y215" s="25" t="s">
        <v>953</v>
      </c>
      <c r="Z215" s="19" t="s">
        <v>51</v>
      </c>
      <c r="AA215" s="19" t="s">
        <v>52</v>
      </c>
      <c r="AB215" s="18" t="s">
        <v>954</v>
      </c>
      <c r="AC215" s="17" t="str">
        <f t="shared" si="7"/>
        <v>Y</v>
      </c>
      <c r="AD215" s="17" t="s">
        <v>70</v>
      </c>
      <c r="AF215" s="27" t="s">
        <v>55</v>
      </c>
      <c r="AG215" s="27" t="s">
        <v>55</v>
      </c>
      <c r="AI215" s="28" t="s">
        <v>57</v>
      </c>
    </row>
    <row r="216" spans="1:35" ht="34.950000000000003" customHeight="1" x14ac:dyDescent="0.4">
      <c r="A216" s="16" t="s">
        <v>36</v>
      </c>
      <c r="B216" s="16" t="s">
        <v>99</v>
      </c>
      <c r="C216" s="17">
        <v>46001</v>
      </c>
      <c r="D216" s="16" t="s">
        <v>642</v>
      </c>
      <c r="E216" s="16" t="s">
        <v>955</v>
      </c>
      <c r="F216" s="16">
        <v>28823</v>
      </c>
      <c r="G216" s="18" t="s">
        <v>956</v>
      </c>
      <c r="H216" s="16" t="s">
        <v>41</v>
      </c>
      <c r="I216" s="19" t="s">
        <v>219</v>
      </c>
      <c r="J216" s="16" t="str">
        <f>IFERROR(VLOOKUP(I216,[1]Sheet1!$A$2:$B$164,2,0),"_")</f>
        <v>NN</v>
      </c>
      <c r="K216" s="19" t="s">
        <v>219</v>
      </c>
      <c r="L216" s="16" t="str">
        <f>IFERROR(VLOOKUP(K216,[1]Sheet1!$A$2:$B$164,2,0),"-")</f>
        <v>NN</v>
      </c>
      <c r="M216" s="19" t="s">
        <v>957</v>
      </c>
      <c r="N216" s="16" t="str">
        <f>IFERROR(VLOOKUP(M216,[1]Sheet1!$G$2:$H$200,2,0),"-")</f>
        <v>CNCL</v>
      </c>
      <c r="O216" s="18" t="s">
        <v>958</v>
      </c>
      <c r="P216" s="17">
        <v>46003</v>
      </c>
      <c r="Q216" s="20" t="s">
        <v>959</v>
      </c>
      <c r="R216" s="20" t="s">
        <v>960</v>
      </c>
      <c r="S216" s="21" t="str" cm="1">
        <f t="array" ref="S216">IF(
OR(AD216="",ISERROR(AD216)),
"-",
_xlfn.UNIQUE(_xlfn._xlws.FILTER([1]Sheet1!$D$2:$D$200,ISNUMBER(SEARCH(AD216,[1]Sheet1!$D$2:$D$200))))
)</f>
        <v>태성종합물류</v>
      </c>
      <c r="T216" s="22" t="s">
        <v>961</v>
      </c>
      <c r="U216" s="16" t="str" cm="1">
        <f t="array" ref="U216">IF(
OR(AD216="",ISERROR(AD216)),
"-",
_xlfn.UNIQUE(_xlfn._xlws.FILTER([1]Sheet1!$D$2:$D$200,ISNUMBER(SEARCH(AD216,[1]Sheet1!$D$2:$D$200))))
)</f>
        <v>태성종합물류</v>
      </c>
      <c r="V216" s="23">
        <v>247000</v>
      </c>
      <c r="W216" s="23">
        <v>229700</v>
      </c>
      <c r="X216" s="23">
        <f t="shared" si="6"/>
        <v>17300</v>
      </c>
      <c r="Y216" s="25" t="s">
        <v>962</v>
      </c>
      <c r="Z216" s="19" t="s">
        <v>51</v>
      </c>
      <c r="AA216" s="19" t="s">
        <v>93</v>
      </c>
      <c r="AC216" s="17" t="str">
        <f t="shared" si="7"/>
        <v>Y</v>
      </c>
      <c r="AD216" s="17" t="s">
        <v>82</v>
      </c>
      <c r="AF216" s="27" t="s">
        <v>55</v>
      </c>
      <c r="AG216" s="27" t="s">
        <v>55</v>
      </c>
      <c r="AI216" s="28" t="s">
        <v>57</v>
      </c>
    </row>
    <row r="217" spans="1:35" ht="34.950000000000003" customHeight="1" x14ac:dyDescent="0.4">
      <c r="A217" s="16" t="s">
        <v>36</v>
      </c>
      <c r="B217" s="16" t="s">
        <v>99</v>
      </c>
      <c r="C217" s="17">
        <v>46001</v>
      </c>
      <c r="D217" s="16" t="s">
        <v>642</v>
      </c>
      <c r="E217" s="16" t="s">
        <v>955</v>
      </c>
      <c r="F217" s="16">
        <v>28823</v>
      </c>
      <c r="G217" s="18" t="s">
        <v>956</v>
      </c>
      <c r="H217" s="16" t="s">
        <v>41</v>
      </c>
      <c r="I217" s="19" t="s">
        <v>219</v>
      </c>
      <c r="J217" s="16" t="str">
        <f>IFERROR(VLOOKUP(I217,[1]Sheet1!$A$2:$B$164,2,0),"_")</f>
        <v>NN</v>
      </c>
      <c r="K217" s="19" t="s">
        <v>219</v>
      </c>
      <c r="L217" s="16" t="str">
        <f>IFERROR(VLOOKUP(K217,[1]Sheet1!$A$2:$B$164,2,0),"-")</f>
        <v>NN</v>
      </c>
      <c r="M217" s="19" t="s">
        <v>957</v>
      </c>
      <c r="N217" s="16" t="str">
        <f>IFERROR(VLOOKUP(M217,[1]Sheet1!$G$2:$H$200,2,0),"-")</f>
        <v>CNCL</v>
      </c>
      <c r="O217" s="18" t="s">
        <v>958</v>
      </c>
      <c r="P217" s="17">
        <v>46003</v>
      </c>
      <c r="Q217" s="20" t="s">
        <v>959</v>
      </c>
      <c r="R217" s="20" t="s">
        <v>960</v>
      </c>
      <c r="S217" s="21" t="str" cm="1">
        <f t="array" ref="S217">IF(
OR(AD217="",ISERROR(AD217)),
"-",
_xlfn.UNIQUE(_xlfn._xlws.FILTER([1]Sheet1!$D$2:$D$200,ISNUMBER(SEARCH(AD217,[1]Sheet1!$D$2:$D$200))))
)</f>
        <v>태성종합물류</v>
      </c>
      <c r="T217" s="22" t="s">
        <v>961</v>
      </c>
      <c r="U217" s="16" t="str" cm="1">
        <f t="array" ref="U217">IF(
OR(AD217="",ISERROR(AD217)),
"-",
_xlfn.UNIQUE(_xlfn._xlws.FILTER([1]Sheet1!$D$2:$D$200,ISNUMBER(SEARCH(AD217,[1]Sheet1!$D$2:$D$200))))
)</f>
        <v>태성종합물류</v>
      </c>
      <c r="V217" s="23">
        <v>20000</v>
      </c>
      <c r="W217" s="23">
        <v>20000</v>
      </c>
      <c r="X217" s="23">
        <f t="shared" si="6"/>
        <v>0</v>
      </c>
      <c r="Y217" s="25" t="s">
        <v>963</v>
      </c>
      <c r="Z217" s="19" t="s">
        <v>51</v>
      </c>
      <c r="AA217" s="19" t="s">
        <v>93</v>
      </c>
      <c r="AC217" s="17" t="str">
        <f t="shared" si="7"/>
        <v>Y</v>
      </c>
      <c r="AD217" s="17" t="s">
        <v>82</v>
      </c>
      <c r="AF217" s="27" t="s">
        <v>55</v>
      </c>
      <c r="AG217" s="27" t="s">
        <v>55</v>
      </c>
      <c r="AI217" s="28" t="s">
        <v>57</v>
      </c>
    </row>
    <row r="218" spans="1:35" ht="34.950000000000003" customHeight="1" x14ac:dyDescent="0.4">
      <c r="A218" s="16" t="s">
        <v>36</v>
      </c>
      <c r="B218" s="16" t="s">
        <v>37</v>
      </c>
      <c r="C218" s="17">
        <v>46001</v>
      </c>
      <c r="D218" s="16" t="s">
        <v>126</v>
      </c>
      <c r="E218" s="16" t="s">
        <v>964</v>
      </c>
      <c r="F218" s="16">
        <v>27673</v>
      </c>
      <c r="G218" s="18" t="s">
        <v>965</v>
      </c>
      <c r="H218" s="16" t="s">
        <v>75</v>
      </c>
      <c r="I218" s="19" t="s">
        <v>529</v>
      </c>
      <c r="J218" s="16" t="str">
        <f>IFERROR(VLOOKUP(I218,[1]Sheet1!$A$2:$B$164,2,0),"_")</f>
        <v>BC</v>
      </c>
      <c r="K218" s="19" t="s">
        <v>529</v>
      </c>
      <c r="L218" s="16" t="str">
        <f>IFERROR(VLOOKUP(K218,[1]Sheet1!$A$2:$B$164,2,0),"-")</f>
        <v>BC</v>
      </c>
      <c r="M218" s="19" t="s">
        <v>966</v>
      </c>
      <c r="N218" s="16" t="str">
        <f>IFERROR(VLOOKUP(M218,[1]Sheet1!$G$2:$H$200,2,0),"-")</f>
        <v>ZIMU</v>
      </c>
      <c r="O218" s="18" t="s">
        <v>967</v>
      </c>
      <c r="P218" s="17">
        <v>46006</v>
      </c>
      <c r="Q218" s="20" t="s">
        <v>968</v>
      </c>
      <c r="R218" s="20" t="s">
        <v>969</v>
      </c>
      <c r="S218" s="21" t="str" cm="1">
        <f t="array" ref="S218">IF(
OR(AD218="",ISERROR(AD218)),
"-",
_xlfn.UNIQUE(_xlfn._xlws.FILTER([1]Sheet1!$D$2:$D$200,ISNUMBER(SEARCH(AD218,[1]Sheet1!$D$2:$D$200))))
)</f>
        <v>백승운수</v>
      </c>
      <c r="T218" s="22" t="s">
        <v>883</v>
      </c>
      <c r="U218" s="16" t="str" cm="1">
        <f t="array" ref="U218">IF(
OR(AD218="",ISERROR(AD218)),
"-",
_xlfn.UNIQUE(_xlfn._xlws.FILTER([1]Sheet1!$D$2:$D$200,ISNUMBER(SEARCH(AD218,[1]Sheet1!$D$2:$D$200))))
)</f>
        <v>백승운수</v>
      </c>
      <c r="V218" s="23">
        <v>778000</v>
      </c>
      <c r="W218" s="23">
        <v>714000</v>
      </c>
      <c r="X218" s="23">
        <f t="shared" si="6"/>
        <v>64000</v>
      </c>
      <c r="Y218" s="25" t="s">
        <v>970</v>
      </c>
      <c r="Z218" s="19" t="s">
        <v>51</v>
      </c>
      <c r="AA218" s="19" t="s">
        <v>81</v>
      </c>
      <c r="AB218" s="18" t="s">
        <v>813</v>
      </c>
      <c r="AC218" s="17" t="str">
        <f t="shared" si="7"/>
        <v>Y</v>
      </c>
      <c r="AD218" s="17" t="s">
        <v>95</v>
      </c>
      <c r="AF218" s="27" t="s">
        <v>55</v>
      </c>
      <c r="AG218" s="27" t="s">
        <v>55</v>
      </c>
      <c r="AI218" s="28" t="s">
        <v>57</v>
      </c>
    </row>
    <row r="219" spans="1:35" ht="34.950000000000003" customHeight="1" x14ac:dyDescent="0.4">
      <c r="A219" s="16" t="s">
        <v>36</v>
      </c>
      <c r="B219" s="16" t="s">
        <v>37</v>
      </c>
      <c r="C219" s="17">
        <v>46001</v>
      </c>
      <c r="D219" s="16" t="s">
        <v>126</v>
      </c>
      <c r="E219" s="16" t="s">
        <v>964</v>
      </c>
      <c r="F219" s="16">
        <v>27673</v>
      </c>
      <c r="G219" s="18" t="s">
        <v>965</v>
      </c>
      <c r="H219" s="16" t="s">
        <v>75</v>
      </c>
      <c r="I219" s="19" t="s">
        <v>529</v>
      </c>
      <c r="J219" s="16" t="str">
        <f>IFERROR(VLOOKUP(I219,[1]Sheet1!$A$2:$B$164,2,0),"_")</f>
        <v>BC</v>
      </c>
      <c r="K219" s="19" t="s">
        <v>529</v>
      </c>
      <c r="L219" s="16" t="str">
        <f>IFERROR(VLOOKUP(K219,[1]Sheet1!$A$2:$B$164,2,0),"-")</f>
        <v>BC</v>
      </c>
      <c r="M219" s="19" t="s">
        <v>966</v>
      </c>
      <c r="N219" s="16" t="str">
        <f>IFERROR(VLOOKUP(M219,[1]Sheet1!$G$2:$H$200,2,0),"-")</f>
        <v>ZIMU</v>
      </c>
      <c r="O219" s="18" t="s">
        <v>967</v>
      </c>
      <c r="P219" s="17">
        <v>46006</v>
      </c>
      <c r="Q219" s="20" t="s">
        <v>968</v>
      </c>
      <c r="R219" s="20" t="s">
        <v>969</v>
      </c>
      <c r="S219" s="21" t="str" cm="1">
        <f t="array" ref="S219">IF(
OR(AD219="",ISERROR(AD219)),
"-",
_xlfn.UNIQUE(_xlfn._xlws.FILTER([1]Sheet1!$D$2:$D$200,ISNUMBER(SEARCH(AD219,[1]Sheet1!$D$2:$D$200))))
)</f>
        <v>(주)금길종합운수</v>
      </c>
      <c r="T219" s="22" t="s">
        <v>883</v>
      </c>
      <c r="U219" s="16" t="str" cm="1">
        <f t="array" ref="U219">IF(
OR(AD219="",ISERROR(AD219)),
"-",
_xlfn.UNIQUE(_xlfn._xlws.FILTER([1]Sheet1!$D$2:$D$200,ISNUMBER(SEARCH(AD219,[1]Sheet1!$D$2:$D$200))))
)</f>
        <v>(주)금길종합운수</v>
      </c>
      <c r="V219" s="23">
        <v>48000</v>
      </c>
      <c r="W219" s="23">
        <v>48000</v>
      </c>
      <c r="X219" s="23">
        <f t="shared" si="6"/>
        <v>0</v>
      </c>
      <c r="Y219" s="25" t="s">
        <v>971</v>
      </c>
      <c r="Z219" s="19" t="s">
        <v>51</v>
      </c>
      <c r="AA219" s="19" t="s">
        <v>81</v>
      </c>
      <c r="AB219" s="18" t="s">
        <v>972</v>
      </c>
      <c r="AC219" s="17" t="str">
        <f t="shared" si="7"/>
        <v>Y</v>
      </c>
      <c r="AD219" s="17" t="s">
        <v>98</v>
      </c>
      <c r="AF219" s="27" t="s">
        <v>55</v>
      </c>
      <c r="AG219" s="27" t="s">
        <v>55</v>
      </c>
      <c r="AI219" s="28" t="s">
        <v>57</v>
      </c>
    </row>
    <row r="220" spans="1:35" ht="34.950000000000003" customHeight="1" x14ac:dyDescent="0.4">
      <c r="A220" s="16" t="s">
        <v>71</v>
      </c>
      <c r="B220" s="16" t="s">
        <v>99</v>
      </c>
      <c r="C220" s="17">
        <v>46001</v>
      </c>
      <c r="D220" s="16" t="s">
        <v>126</v>
      </c>
      <c r="E220" s="16" t="s">
        <v>199</v>
      </c>
      <c r="F220" s="16">
        <v>22141</v>
      </c>
      <c r="G220" s="18" t="s">
        <v>200</v>
      </c>
      <c r="H220" s="16" t="s">
        <v>41</v>
      </c>
      <c r="I220" s="19" t="s">
        <v>76</v>
      </c>
      <c r="J220" s="16" t="str">
        <f>IFERROR(VLOOKUP(I220,[1]Sheet1!$A$1:$B$200,2,0),"_")</f>
        <v>NJ</v>
      </c>
      <c r="K220" s="19" t="s">
        <v>76</v>
      </c>
      <c r="L220" s="16" t="str">
        <f>IFERROR(VLOOKUP(K220,[1]Sheet1!$A$1:$B$200,2,0),"-")</f>
        <v>NJ</v>
      </c>
      <c r="M220" s="19" t="s">
        <v>973</v>
      </c>
      <c r="N220" s="16" t="str">
        <f>IFERROR(VLOOKUP(M220,[1]Sheet1!$G$2:$H$200,2,0),"-")</f>
        <v>BEN</v>
      </c>
      <c r="O220" s="31" t="s">
        <v>55</v>
      </c>
      <c r="P220" s="17" t="s">
        <v>55</v>
      </c>
      <c r="Q220" s="20" t="s">
        <v>974</v>
      </c>
      <c r="R220" s="20"/>
      <c r="S220" s="21" t="str" cm="1">
        <f t="array" ref="S220">IF(
OR(AD220="",ISERROR(AD220)),
"-",
_xlfn.UNIQUE(_xlfn._xlws.FILTER([1]Sheet1!$D$2:$D$200,ISNUMBER(SEARCH(AD220,[1]Sheet1!$D$2:$D$200))))
)</f>
        <v>로지아이솔루션</v>
      </c>
      <c r="T220" s="22" t="s">
        <v>975</v>
      </c>
      <c r="U220" s="16" t="str" cm="1">
        <f t="array" ref="U220">IF(
OR(AD220="",ISERROR(AD220)),
"-",
_xlfn.UNIQUE(_xlfn._xlws.FILTER([1]Sheet1!$D$2:$D$200,ISNUMBER(SEARCH(AD220,[1]Sheet1!$D$2:$D$200))))
)</f>
        <v>로지아이솔루션</v>
      </c>
      <c r="V220" s="23">
        <v>270000</v>
      </c>
      <c r="W220" s="24">
        <v>259850</v>
      </c>
      <c r="X220" s="23">
        <f t="shared" si="6"/>
        <v>10150</v>
      </c>
      <c r="Y220" s="25" t="s">
        <v>976</v>
      </c>
      <c r="Z220" s="19" t="s">
        <v>51</v>
      </c>
      <c r="AA220" s="19" t="s">
        <v>81</v>
      </c>
      <c r="AB220" s="18" t="s">
        <v>977</v>
      </c>
      <c r="AC220" s="17" t="str">
        <f t="shared" si="7"/>
        <v>Y</v>
      </c>
      <c r="AD220" s="17" t="s">
        <v>206</v>
      </c>
      <c r="AF220" s="27" t="s">
        <v>55</v>
      </c>
      <c r="AG220" s="27" t="s">
        <v>55</v>
      </c>
      <c r="AI220" s="28" t="s">
        <v>57</v>
      </c>
    </row>
    <row r="221" spans="1:35" ht="34.950000000000003" customHeight="1" x14ac:dyDescent="0.4">
      <c r="A221" s="16" t="s">
        <v>36</v>
      </c>
      <c r="B221" s="16" t="s">
        <v>37</v>
      </c>
      <c r="C221" s="17">
        <v>46001</v>
      </c>
      <c r="D221" s="16" t="s">
        <v>100</v>
      </c>
      <c r="E221" s="16" t="s">
        <v>978</v>
      </c>
      <c r="F221" s="16">
        <v>1785</v>
      </c>
      <c r="G221" s="18" t="s">
        <v>979</v>
      </c>
      <c r="H221" s="16" t="s">
        <v>41</v>
      </c>
      <c r="I221" s="19" t="s">
        <v>137</v>
      </c>
      <c r="J221" s="16" t="str">
        <f>IFERROR(VLOOKUP(I221,[1]Sheet1!$A$1:$B$200,2,0),"_")</f>
        <v>BE</v>
      </c>
      <c r="K221" s="19" t="s">
        <v>42</v>
      </c>
      <c r="L221" s="16" t="str">
        <f>IFERROR(VLOOKUP(K221,[1]Sheet1!$A$1:$B$200,2,0),"-")</f>
        <v>P</v>
      </c>
      <c r="M221" s="19" t="s">
        <v>191</v>
      </c>
      <c r="N221" s="16" t="str">
        <f>IFERROR(VLOOKUP(M221,[1]Sheet1!$G$2:$H$200,2,0),"-")</f>
        <v>HASL</v>
      </c>
      <c r="O221" s="18" t="s">
        <v>980</v>
      </c>
      <c r="P221" s="17">
        <v>46003</v>
      </c>
      <c r="Q221" s="20" t="s">
        <v>968</v>
      </c>
      <c r="R221" s="20" t="s">
        <v>969</v>
      </c>
      <c r="S221" s="21" t="str" cm="1">
        <f t="array" ref="S221">IF(
OR(AD221="",ISERROR(AD221)),
"-",
_xlfn.UNIQUE(_xlfn._xlws.FILTER([1]Sheet1!$D$2:$D$200,ISNUMBER(SEARCH(AD221,[1]Sheet1!$D$2:$D$200))))
)</f>
        <v>양양운수(주)</v>
      </c>
      <c r="T221" s="22" t="s">
        <v>981</v>
      </c>
      <c r="U221" s="16" t="str" cm="1">
        <f t="array" ref="U221">IF(
OR(AD221="",ISERROR(AD221)),
"-",
_xlfn.UNIQUE(_xlfn._xlws.FILTER([1]Sheet1!$D$2:$D$200,ISNUMBER(SEARCH(AD221,[1]Sheet1!$D$2:$D$200))))
)</f>
        <v>양양운수(주)</v>
      </c>
      <c r="V221" s="23">
        <v>740000</v>
      </c>
      <c r="W221" s="23">
        <v>664800</v>
      </c>
      <c r="X221" s="23">
        <f t="shared" si="6"/>
        <v>75200</v>
      </c>
      <c r="Y221" s="25" t="s">
        <v>982</v>
      </c>
      <c r="Z221" s="19" t="s">
        <v>51</v>
      </c>
      <c r="AA221" s="19" t="s">
        <v>81</v>
      </c>
      <c r="AC221" s="17" t="str">
        <f t="shared" si="7"/>
        <v>Y</v>
      </c>
      <c r="AD221" s="17" t="s">
        <v>619</v>
      </c>
      <c r="AF221" s="27" t="s">
        <v>55</v>
      </c>
      <c r="AG221" s="27" t="s">
        <v>55</v>
      </c>
      <c r="AI221" s="28" t="s">
        <v>57</v>
      </c>
    </row>
    <row r="222" spans="1:35" ht="34.950000000000003" customHeight="1" x14ac:dyDescent="0.4">
      <c r="A222" s="16" t="s">
        <v>36</v>
      </c>
      <c r="B222" s="16" t="s">
        <v>37</v>
      </c>
      <c r="C222" s="17">
        <v>46001</v>
      </c>
      <c r="D222" s="16" t="s">
        <v>100</v>
      </c>
      <c r="E222" s="16" t="s">
        <v>978</v>
      </c>
      <c r="F222" s="16">
        <v>1785</v>
      </c>
      <c r="G222" s="18" t="s">
        <v>979</v>
      </c>
      <c r="H222" s="16" t="s">
        <v>41</v>
      </c>
      <c r="I222" s="19" t="s">
        <v>137</v>
      </c>
      <c r="J222" s="16" t="str">
        <f>IFERROR(VLOOKUP(I222,[1]Sheet1!$A$1:$B$200,2,0),"_")</f>
        <v>BE</v>
      </c>
      <c r="K222" s="19" t="s">
        <v>42</v>
      </c>
      <c r="L222" s="16" t="str">
        <f>IFERROR(VLOOKUP(K222,[1]Sheet1!$A$1:$B$200,2,0),"-")</f>
        <v>P</v>
      </c>
      <c r="M222" s="19" t="s">
        <v>191</v>
      </c>
      <c r="N222" s="16" t="str">
        <f>IFERROR(VLOOKUP(M222,[1]Sheet1!$G$2:$H$200,2,0),"-")</f>
        <v>HASL</v>
      </c>
      <c r="O222" s="18" t="s">
        <v>980</v>
      </c>
      <c r="P222" s="17">
        <v>46003</v>
      </c>
      <c r="Q222" s="20" t="s">
        <v>968</v>
      </c>
      <c r="R222" s="20" t="s">
        <v>969</v>
      </c>
      <c r="S222" s="21" t="str" cm="1">
        <f t="array" ref="S222">IF(
OR(AD222="",ISERROR(AD222)),
"-",
_xlfn.UNIQUE(_xlfn._xlws.FILTER([1]Sheet1!$D$2:$D$200,ISNUMBER(SEARCH(AD222,[1]Sheet1!$D$2:$D$200))))
)</f>
        <v>양양운수(주)</v>
      </c>
      <c r="T222" s="22" t="s">
        <v>981</v>
      </c>
      <c r="U222" s="16" t="str" cm="1">
        <f t="array" ref="U222">IF(
OR(AD222="",ISERROR(AD222)),
"-",
_xlfn.UNIQUE(_xlfn._xlws.FILTER([1]Sheet1!$D$2:$D$200,ISNUMBER(SEARCH(AD222,[1]Sheet1!$D$2:$D$200))))
)</f>
        <v>양양운수(주)</v>
      </c>
      <c r="V222" s="23">
        <v>15000</v>
      </c>
      <c r="W222" s="23">
        <v>15000</v>
      </c>
      <c r="X222" s="23">
        <f t="shared" ref="X222:X285" si="8">V222-W222</f>
        <v>0</v>
      </c>
      <c r="Y222" s="25" t="s">
        <v>983</v>
      </c>
      <c r="Z222" s="19" t="s">
        <v>51</v>
      </c>
      <c r="AA222" s="19" t="s">
        <v>81</v>
      </c>
      <c r="AC222" s="17" t="str">
        <f t="shared" si="7"/>
        <v>Y</v>
      </c>
      <c r="AD222" s="17" t="s">
        <v>619</v>
      </c>
      <c r="AF222" s="27" t="s">
        <v>55</v>
      </c>
      <c r="AG222" s="27" t="s">
        <v>55</v>
      </c>
      <c r="AI222" s="28" t="s">
        <v>57</v>
      </c>
    </row>
    <row r="223" spans="1:35" ht="34.950000000000003" customHeight="1" x14ac:dyDescent="0.4">
      <c r="A223" s="16" t="s">
        <v>36</v>
      </c>
      <c r="B223" s="16" t="s">
        <v>37</v>
      </c>
      <c r="C223" s="17">
        <v>46001</v>
      </c>
      <c r="D223" s="16" t="s">
        <v>248</v>
      </c>
      <c r="E223" s="16" t="s">
        <v>984</v>
      </c>
      <c r="F223" s="16">
        <v>28740</v>
      </c>
      <c r="G223" s="18" t="s">
        <v>985</v>
      </c>
      <c r="H223" s="16" t="s">
        <v>41</v>
      </c>
      <c r="I223" s="19" t="s">
        <v>219</v>
      </c>
      <c r="J223" s="16" t="str">
        <f>IFERROR(VLOOKUP(I223,[1]Sheet1!$A$1:$B$200,2,0),"_")</f>
        <v>NN</v>
      </c>
      <c r="K223" s="19" t="s">
        <v>529</v>
      </c>
      <c r="L223" s="16" t="str">
        <f>IFERROR(VLOOKUP(K223,[1]Sheet1!$A$1:$B$200,2,0),"-")</f>
        <v>BC</v>
      </c>
      <c r="M223" s="19" t="s">
        <v>986</v>
      </c>
      <c r="N223" s="16" t="str">
        <f>IFERROR(VLOOKUP(M223,[1]Sheet1!$G$2:$H$200,2,0),"-")</f>
        <v>RCLK</v>
      </c>
      <c r="O223" s="18" t="s">
        <v>987</v>
      </c>
      <c r="P223" s="17">
        <v>46005</v>
      </c>
      <c r="Q223" s="20" t="s">
        <v>988</v>
      </c>
      <c r="R223" s="20" t="s">
        <v>989</v>
      </c>
      <c r="S223" s="21" t="str" cm="1">
        <f t="array" ref="S223">IF(
OR(AD223="",ISERROR(AD223)),
"-",
_xlfn.UNIQUE(_xlfn._xlws.FILTER([1]Sheet1!$D$2:$D$200,ISNUMBER(SEARCH(AD223,[1]Sheet1!$D$2:$D$200))))
)</f>
        <v>(주)천경</v>
      </c>
      <c r="T223" s="22" t="s">
        <v>990</v>
      </c>
      <c r="U223" s="16" t="str" cm="1">
        <f t="array" ref="U223">IF(
OR(AD223="",ISERROR(AD223)),
"-",
_xlfn.UNIQUE(_xlfn._xlws.FILTER([1]Sheet1!$D$2:$D$200,ISNUMBER(SEARCH(AD223,[1]Sheet1!$D$2:$D$200))))
)</f>
        <v>(주)천경</v>
      </c>
      <c r="V223" s="23">
        <v>762000</v>
      </c>
      <c r="W223" s="23">
        <v>688200</v>
      </c>
      <c r="X223" s="23">
        <f t="shared" si="8"/>
        <v>73800</v>
      </c>
      <c r="Y223" s="25" t="s">
        <v>991</v>
      </c>
      <c r="Z223" s="19" t="s">
        <v>51</v>
      </c>
      <c r="AA223" s="19" t="s">
        <v>144</v>
      </c>
      <c r="AB223" s="18" t="s">
        <v>240</v>
      </c>
      <c r="AC223" s="17" t="str">
        <f t="shared" si="7"/>
        <v>Y</v>
      </c>
      <c r="AD223" s="17" t="s">
        <v>473</v>
      </c>
      <c r="AF223" s="27" t="s">
        <v>55</v>
      </c>
      <c r="AG223" s="27" t="s">
        <v>55</v>
      </c>
      <c r="AI223" s="28" t="s">
        <v>57</v>
      </c>
    </row>
    <row r="224" spans="1:35" ht="34.950000000000003" customHeight="1" x14ac:dyDescent="0.4">
      <c r="A224" s="16" t="s">
        <v>36</v>
      </c>
      <c r="B224" s="16" t="s">
        <v>37</v>
      </c>
      <c r="C224" s="17">
        <v>46001</v>
      </c>
      <c r="D224" s="16" t="s">
        <v>248</v>
      </c>
      <c r="E224" s="16" t="s">
        <v>984</v>
      </c>
      <c r="F224" s="16">
        <v>28740</v>
      </c>
      <c r="G224" s="18" t="s">
        <v>985</v>
      </c>
      <c r="H224" s="16" t="s">
        <v>41</v>
      </c>
      <c r="I224" s="19" t="s">
        <v>219</v>
      </c>
      <c r="J224" s="16" t="str">
        <f>IFERROR(VLOOKUP(I224,[1]Sheet1!$A$1:$B$200,2,0),"_")</f>
        <v>NN</v>
      </c>
      <c r="K224" s="19" t="s">
        <v>529</v>
      </c>
      <c r="L224" s="16" t="str">
        <f>IFERROR(VLOOKUP(K224,[1]Sheet1!$A$1:$B$200,2,0),"-")</f>
        <v>BC</v>
      </c>
      <c r="M224" s="19" t="s">
        <v>986</v>
      </c>
      <c r="N224" s="16" t="str">
        <f>IFERROR(VLOOKUP(M224,[1]Sheet1!$G$2:$H$200,2,0),"-")</f>
        <v>RCLK</v>
      </c>
      <c r="O224" s="18" t="s">
        <v>987</v>
      </c>
      <c r="P224" s="17">
        <v>46005</v>
      </c>
      <c r="Q224" s="20" t="s">
        <v>988</v>
      </c>
      <c r="R224" s="20" t="s">
        <v>989</v>
      </c>
      <c r="S224" s="21" t="str" cm="1">
        <f t="array" ref="S224">IF(
OR(AD224="",ISERROR(AD224)),
"-",
_xlfn.UNIQUE(_xlfn._xlws.FILTER([1]Sheet1!$D$2:$D$200,ISNUMBER(SEARCH(AD224,[1]Sheet1!$D$2:$D$200))))
)</f>
        <v>(주)천경</v>
      </c>
      <c r="T224" s="22" t="s">
        <v>990</v>
      </c>
      <c r="U224" s="16" t="str" cm="1">
        <f t="array" ref="U224">IF(
OR(AD224="",ISERROR(AD224)),
"-",
_xlfn.UNIQUE(_xlfn._xlws.FILTER([1]Sheet1!$D$2:$D$200,ISNUMBER(SEARCH(AD224,[1]Sheet1!$D$2:$D$200))))
)</f>
        <v>(주)천경</v>
      </c>
      <c r="V224" s="23">
        <v>100000</v>
      </c>
      <c r="W224" s="23">
        <v>100000</v>
      </c>
      <c r="X224" s="23">
        <f t="shared" si="8"/>
        <v>0</v>
      </c>
      <c r="Y224" s="25" t="s">
        <v>992</v>
      </c>
      <c r="Z224" s="19" t="s">
        <v>51</v>
      </c>
      <c r="AA224" s="19" t="s">
        <v>144</v>
      </c>
      <c r="AB224" s="18" t="s">
        <v>240</v>
      </c>
      <c r="AC224" s="17" t="str">
        <f t="shared" si="7"/>
        <v>Y</v>
      </c>
      <c r="AD224" s="17" t="s">
        <v>473</v>
      </c>
      <c r="AF224" s="27" t="s">
        <v>55</v>
      </c>
      <c r="AG224" s="27" t="s">
        <v>55</v>
      </c>
      <c r="AI224" s="28" t="s">
        <v>57</v>
      </c>
    </row>
    <row r="225" spans="1:35" ht="34.950000000000003" customHeight="1" x14ac:dyDescent="0.4">
      <c r="A225" s="16" t="s">
        <v>36</v>
      </c>
      <c r="B225" s="16" t="s">
        <v>37</v>
      </c>
      <c r="C225" s="17">
        <v>46001</v>
      </c>
      <c r="D225" s="16" t="s">
        <v>248</v>
      </c>
      <c r="E225" s="16" t="s">
        <v>984</v>
      </c>
      <c r="F225" s="16">
        <v>28740</v>
      </c>
      <c r="G225" s="18" t="s">
        <v>985</v>
      </c>
      <c r="H225" s="16" t="s">
        <v>41</v>
      </c>
      <c r="I225" s="19" t="s">
        <v>219</v>
      </c>
      <c r="J225" s="16" t="str">
        <f>IFERROR(VLOOKUP(I225,[1]Sheet1!$A$1:$B$200,2,0),"_")</f>
        <v>NN</v>
      </c>
      <c r="K225" s="19" t="s">
        <v>529</v>
      </c>
      <c r="L225" s="16" t="str">
        <f>IFERROR(VLOOKUP(K225,[1]Sheet1!$A$1:$B$200,2,0),"-")</f>
        <v>BC</v>
      </c>
      <c r="M225" s="19" t="s">
        <v>986</v>
      </c>
      <c r="N225" s="16" t="str">
        <f>IFERROR(VLOOKUP(M225,[1]Sheet1!$G$2:$H$200,2,0),"-")</f>
        <v>RCLK</v>
      </c>
      <c r="O225" s="18" t="s">
        <v>987</v>
      </c>
      <c r="P225" s="17">
        <v>46005</v>
      </c>
      <c r="Q225" s="20" t="s">
        <v>993</v>
      </c>
      <c r="R225" s="20" t="s">
        <v>989</v>
      </c>
      <c r="S225" s="21" t="str" cm="1">
        <f t="array" ref="S225">IF(
OR(AD225="",ISERROR(AD225)),
"-",
_xlfn.UNIQUE(_xlfn._xlws.FILTER([1]Sheet1!$D$2:$D$200,ISNUMBER(SEARCH(AD225,[1]Sheet1!$D$2:$D$200))))
)</f>
        <v>(주)천경</v>
      </c>
      <c r="T225" s="22" t="s">
        <v>994</v>
      </c>
      <c r="U225" s="16" t="str" cm="1">
        <f t="array" ref="U225">IF(
OR(AD225="",ISERROR(AD225)),
"-",
_xlfn.UNIQUE(_xlfn._xlws.FILTER([1]Sheet1!$D$2:$D$200,ISNUMBER(SEARCH(AD225,[1]Sheet1!$D$2:$D$200))))
)</f>
        <v>(주)천경</v>
      </c>
      <c r="V225" s="23">
        <v>762000</v>
      </c>
      <c r="W225" s="23">
        <v>688200</v>
      </c>
      <c r="X225" s="23">
        <f t="shared" si="8"/>
        <v>73800</v>
      </c>
      <c r="Y225" s="25" t="s">
        <v>991</v>
      </c>
      <c r="Z225" s="19" t="s">
        <v>51</v>
      </c>
      <c r="AA225" s="19" t="s">
        <v>144</v>
      </c>
      <c r="AB225" s="18" t="s">
        <v>240</v>
      </c>
      <c r="AC225" s="17" t="str">
        <f t="shared" si="7"/>
        <v>Y</v>
      </c>
      <c r="AD225" s="17" t="s">
        <v>473</v>
      </c>
      <c r="AF225" s="27" t="s">
        <v>55</v>
      </c>
      <c r="AG225" s="27" t="s">
        <v>55</v>
      </c>
      <c r="AI225" s="28" t="s">
        <v>57</v>
      </c>
    </row>
    <row r="226" spans="1:35" ht="34.950000000000003" customHeight="1" x14ac:dyDescent="0.4">
      <c r="A226" s="16" t="s">
        <v>36</v>
      </c>
      <c r="B226" s="16" t="s">
        <v>37</v>
      </c>
      <c r="C226" s="17">
        <v>46001</v>
      </c>
      <c r="D226" s="16" t="s">
        <v>248</v>
      </c>
      <c r="E226" s="16" t="s">
        <v>984</v>
      </c>
      <c r="F226" s="16">
        <v>28740</v>
      </c>
      <c r="G226" s="18" t="s">
        <v>985</v>
      </c>
      <c r="H226" s="16" t="s">
        <v>41</v>
      </c>
      <c r="I226" s="19" t="s">
        <v>219</v>
      </c>
      <c r="J226" s="16" t="str">
        <f>IFERROR(VLOOKUP(I226,[1]Sheet1!$A$1:$B$200,2,0),"_")</f>
        <v>NN</v>
      </c>
      <c r="K226" s="19" t="s">
        <v>529</v>
      </c>
      <c r="L226" s="16" t="str">
        <f>IFERROR(VLOOKUP(K226,[1]Sheet1!$A$1:$B$200,2,0),"-")</f>
        <v>BC</v>
      </c>
      <c r="M226" s="19" t="s">
        <v>986</v>
      </c>
      <c r="N226" s="16" t="str">
        <f>IFERROR(VLOOKUP(M226,[1]Sheet1!$G$2:$H$200,2,0),"-")</f>
        <v>RCLK</v>
      </c>
      <c r="O226" s="18" t="s">
        <v>987</v>
      </c>
      <c r="P226" s="17">
        <v>46005</v>
      </c>
      <c r="Q226" s="20" t="s">
        <v>993</v>
      </c>
      <c r="R226" s="20" t="s">
        <v>989</v>
      </c>
      <c r="S226" s="21" t="str" cm="1">
        <f t="array" ref="S226">IF(
OR(AD226="",ISERROR(AD226)),
"-",
_xlfn.UNIQUE(_xlfn._xlws.FILTER([1]Sheet1!$D$2:$D$200,ISNUMBER(SEARCH(AD226,[1]Sheet1!$D$2:$D$200))))
)</f>
        <v>(주)천경</v>
      </c>
      <c r="T226" s="22" t="s">
        <v>994</v>
      </c>
      <c r="U226" s="16" t="str" cm="1">
        <f t="array" ref="U226">IF(
OR(AD226="",ISERROR(AD226)),
"-",
_xlfn.UNIQUE(_xlfn._xlws.FILTER([1]Sheet1!$D$2:$D$200,ISNUMBER(SEARCH(AD226,[1]Sheet1!$D$2:$D$200))))
)</f>
        <v>(주)천경</v>
      </c>
      <c r="V226" s="23">
        <v>100000</v>
      </c>
      <c r="W226" s="23">
        <v>100000</v>
      </c>
      <c r="X226" s="23">
        <f t="shared" si="8"/>
        <v>0</v>
      </c>
      <c r="Y226" s="25" t="s">
        <v>992</v>
      </c>
      <c r="Z226" s="19" t="s">
        <v>51</v>
      </c>
      <c r="AA226" s="19" t="s">
        <v>144</v>
      </c>
      <c r="AB226" s="18" t="s">
        <v>240</v>
      </c>
      <c r="AC226" s="17" t="str">
        <f t="shared" si="7"/>
        <v>Y</v>
      </c>
      <c r="AD226" s="17" t="s">
        <v>473</v>
      </c>
      <c r="AF226" s="27" t="s">
        <v>55</v>
      </c>
      <c r="AG226" s="27" t="s">
        <v>55</v>
      </c>
      <c r="AI226" s="28" t="s">
        <v>57</v>
      </c>
    </row>
    <row r="227" spans="1:35" ht="34.950000000000003" customHeight="1" x14ac:dyDescent="0.4">
      <c r="A227" s="16" t="s">
        <v>36</v>
      </c>
      <c r="B227" s="16" t="s">
        <v>37</v>
      </c>
      <c r="C227" s="17">
        <v>46001</v>
      </c>
      <c r="D227" s="16" t="s">
        <v>248</v>
      </c>
      <c r="E227" s="16" t="s">
        <v>984</v>
      </c>
      <c r="F227" s="16">
        <v>28740</v>
      </c>
      <c r="G227" s="18" t="s">
        <v>985</v>
      </c>
      <c r="H227" s="16" t="s">
        <v>75</v>
      </c>
      <c r="I227" s="19" t="s">
        <v>219</v>
      </c>
      <c r="J227" s="16" t="str">
        <f>IFERROR(VLOOKUP(I227,[1]Sheet1!$A$1:$B$200,2,0),"_")</f>
        <v>NN</v>
      </c>
      <c r="K227" s="19" t="s">
        <v>529</v>
      </c>
      <c r="L227" s="16" t="str">
        <f>IFERROR(VLOOKUP(K227,[1]Sheet1!$A$1:$B$200,2,0),"-")</f>
        <v>BC</v>
      </c>
      <c r="M227" s="19" t="s">
        <v>986</v>
      </c>
      <c r="N227" s="16" t="str">
        <f>IFERROR(VLOOKUP(M227,[1]Sheet1!$G$2:$H$200,2,0),"-")</f>
        <v>RCLK</v>
      </c>
      <c r="O227" s="18" t="s">
        <v>987</v>
      </c>
      <c r="P227" s="17">
        <v>46005</v>
      </c>
      <c r="Q227" s="20" t="s">
        <v>995</v>
      </c>
      <c r="R227" s="20" t="s">
        <v>996</v>
      </c>
      <c r="S227" s="21" t="str" cm="1">
        <f t="array" ref="S227">IF(
OR(AD227="",ISERROR(AD227)),
"-",
_xlfn.UNIQUE(_xlfn._xlws.FILTER([1]Sheet1!$D$2:$D$200,ISNUMBER(SEARCH(AD227,[1]Sheet1!$D$2:$D$200))))
)</f>
        <v>(주)천경</v>
      </c>
      <c r="T227" s="22" t="s">
        <v>997</v>
      </c>
      <c r="U227" s="16" t="str" cm="1">
        <f t="array" ref="U227">IF(
OR(AD227="",ISERROR(AD227)),
"-",
_xlfn.UNIQUE(_xlfn._xlws.FILTER([1]Sheet1!$D$2:$D$200,ISNUMBER(SEARCH(AD227,[1]Sheet1!$D$2:$D$200))))
)</f>
        <v>(주)천경</v>
      </c>
      <c r="V227" s="23">
        <v>671000</v>
      </c>
      <c r="W227" s="23">
        <v>604500</v>
      </c>
      <c r="X227" s="23">
        <f t="shared" si="8"/>
        <v>66500</v>
      </c>
      <c r="Y227" s="25" t="s">
        <v>991</v>
      </c>
      <c r="Z227" s="19" t="s">
        <v>51</v>
      </c>
      <c r="AA227" s="19" t="s">
        <v>144</v>
      </c>
      <c r="AB227" s="18" t="s">
        <v>240</v>
      </c>
      <c r="AC227" s="17" t="str">
        <f t="shared" si="7"/>
        <v>Y</v>
      </c>
      <c r="AD227" s="17" t="s">
        <v>473</v>
      </c>
      <c r="AF227" s="27" t="s">
        <v>55</v>
      </c>
      <c r="AG227" s="27" t="s">
        <v>55</v>
      </c>
      <c r="AI227" s="28" t="s">
        <v>57</v>
      </c>
    </row>
    <row r="228" spans="1:35" ht="34.950000000000003" customHeight="1" x14ac:dyDescent="0.4">
      <c r="A228" s="16" t="s">
        <v>36</v>
      </c>
      <c r="B228" s="16" t="s">
        <v>37</v>
      </c>
      <c r="C228" s="17">
        <v>46001</v>
      </c>
      <c r="D228" s="16" t="s">
        <v>248</v>
      </c>
      <c r="E228" s="16" t="s">
        <v>984</v>
      </c>
      <c r="F228" s="16">
        <v>28740</v>
      </c>
      <c r="G228" s="18" t="s">
        <v>985</v>
      </c>
      <c r="H228" s="16" t="s">
        <v>75</v>
      </c>
      <c r="I228" s="19" t="s">
        <v>219</v>
      </c>
      <c r="J228" s="16" t="str">
        <f>IFERROR(VLOOKUP(I228,[1]Sheet1!$A$1:$B$200,2,0),"_")</f>
        <v>NN</v>
      </c>
      <c r="K228" s="19" t="s">
        <v>529</v>
      </c>
      <c r="L228" s="16" t="str">
        <f>IFERROR(VLOOKUP(K228,[1]Sheet1!$A$1:$B$200,2,0),"-")</f>
        <v>BC</v>
      </c>
      <c r="M228" s="19" t="s">
        <v>986</v>
      </c>
      <c r="N228" s="16" t="str">
        <f>IFERROR(VLOOKUP(M228,[1]Sheet1!$G$2:$H$200,2,0),"-")</f>
        <v>RCLK</v>
      </c>
      <c r="O228" s="18" t="s">
        <v>987</v>
      </c>
      <c r="P228" s="17">
        <v>46005</v>
      </c>
      <c r="Q228" s="20" t="s">
        <v>995</v>
      </c>
      <c r="R228" s="20" t="s">
        <v>996</v>
      </c>
      <c r="S228" s="21" t="str" cm="1">
        <f t="array" ref="S228">IF(
OR(AD228="",ISERROR(AD228)),
"-",
_xlfn.UNIQUE(_xlfn._xlws.FILTER([1]Sheet1!$D$2:$D$200,ISNUMBER(SEARCH(AD228,[1]Sheet1!$D$2:$D$200))))
)</f>
        <v>(주)천경</v>
      </c>
      <c r="T228" s="22" t="s">
        <v>997</v>
      </c>
      <c r="U228" s="16" t="str" cm="1">
        <f t="array" ref="U228">IF(
OR(AD228="",ISERROR(AD228)),
"-",
_xlfn.UNIQUE(_xlfn._xlws.FILTER([1]Sheet1!$D$2:$D$200,ISNUMBER(SEARCH(AD228,[1]Sheet1!$D$2:$D$200))))
)</f>
        <v>(주)천경</v>
      </c>
      <c r="V228" s="23">
        <v>100000</v>
      </c>
      <c r="W228" s="23">
        <v>100000</v>
      </c>
      <c r="X228" s="23">
        <f t="shared" si="8"/>
        <v>0</v>
      </c>
      <c r="Y228" s="25" t="s">
        <v>992</v>
      </c>
      <c r="Z228" s="19" t="s">
        <v>51</v>
      </c>
      <c r="AA228" s="19" t="s">
        <v>144</v>
      </c>
      <c r="AB228" s="18" t="s">
        <v>240</v>
      </c>
      <c r="AC228" s="17" t="str">
        <f t="shared" si="7"/>
        <v>Y</v>
      </c>
      <c r="AD228" s="17" t="s">
        <v>473</v>
      </c>
      <c r="AF228" s="27" t="s">
        <v>55</v>
      </c>
      <c r="AG228" s="27" t="s">
        <v>55</v>
      </c>
      <c r="AI228" s="28" t="s">
        <v>57</v>
      </c>
    </row>
    <row r="229" spans="1:35" ht="34.950000000000003" customHeight="1" x14ac:dyDescent="0.4">
      <c r="A229" s="16" t="s">
        <v>36</v>
      </c>
      <c r="B229" s="16" t="s">
        <v>37</v>
      </c>
      <c r="C229" s="17">
        <v>46001</v>
      </c>
      <c r="D229" s="16" t="s">
        <v>188</v>
      </c>
      <c r="E229" s="16" t="s">
        <v>189</v>
      </c>
      <c r="F229" s="16">
        <v>727</v>
      </c>
      <c r="G229" s="18" t="s">
        <v>998</v>
      </c>
      <c r="H229" s="16" t="s">
        <v>41</v>
      </c>
      <c r="I229" s="19" t="s">
        <v>42</v>
      </c>
      <c r="J229" s="16" t="str">
        <f>IFERROR(VLOOKUP(I229,[1]Sheet1!$A$1:$B$200,2,0),"_")</f>
        <v>P</v>
      </c>
      <c r="K229" s="19" t="s">
        <v>42</v>
      </c>
      <c r="L229" s="16" t="str">
        <f>IFERROR(VLOOKUP(K229,[1]Sheet1!$A$1:$B$200,2,0),"-")</f>
        <v>P</v>
      </c>
      <c r="M229" s="19" t="s">
        <v>191</v>
      </c>
      <c r="N229" s="16" t="str">
        <f>IFERROR(VLOOKUP(M229,[1]Sheet1!$G$2:$H$200,2,0),"-")</f>
        <v>HASL</v>
      </c>
      <c r="O229" s="18" t="s">
        <v>999</v>
      </c>
      <c r="P229" s="17">
        <v>46004</v>
      </c>
      <c r="Q229" s="20" t="s">
        <v>1000</v>
      </c>
      <c r="R229" s="20" t="s">
        <v>1001</v>
      </c>
      <c r="S229" s="21" t="str" cm="1">
        <f t="array" ref="S229">IF(
OR(AD229="",ISERROR(AD229)),
"-",
_xlfn.UNIQUE(_xlfn._xlws.FILTER([1]Sheet1!$D$2:$D$200,ISNUMBER(SEARCH(AD229,[1]Sheet1!$D$2:$D$200))))
)</f>
        <v>(주)부강에너지</v>
      </c>
      <c r="T229" s="22" t="s">
        <v>878</v>
      </c>
      <c r="U229" s="16" t="str" cm="1">
        <f t="array" ref="U229">IF(
OR(AD229="",ISERROR(AD229)),
"-",
_xlfn.UNIQUE(_xlfn._xlws.FILTER([1]Sheet1!$D$2:$D$200,ISNUMBER(SEARCH(AD229,[1]Sheet1!$D$2:$D$200))))
)</f>
        <v>(주)부강에너지</v>
      </c>
      <c r="V229" s="23">
        <v>250000</v>
      </c>
      <c r="W229" s="23">
        <v>220000</v>
      </c>
      <c r="X229" s="23">
        <f t="shared" si="8"/>
        <v>30000</v>
      </c>
      <c r="Y229" s="25" t="s">
        <v>766</v>
      </c>
      <c r="Z229" s="19" t="s">
        <v>51</v>
      </c>
      <c r="AA229" s="19" t="s">
        <v>81</v>
      </c>
      <c r="AB229" s="18" t="s">
        <v>1002</v>
      </c>
      <c r="AC229" s="17" t="str">
        <f t="shared" si="7"/>
        <v>Y</v>
      </c>
      <c r="AD229" s="17" t="s">
        <v>197</v>
      </c>
      <c r="AF229" s="27" t="s">
        <v>55</v>
      </c>
      <c r="AG229" s="27" t="s">
        <v>55</v>
      </c>
      <c r="AI229" s="28" t="s">
        <v>57</v>
      </c>
    </row>
    <row r="230" spans="1:35" ht="34.950000000000003" customHeight="1" x14ac:dyDescent="0.4">
      <c r="A230" s="16" t="s">
        <v>36</v>
      </c>
      <c r="B230" s="16" t="s">
        <v>37</v>
      </c>
      <c r="C230" s="17">
        <v>46001</v>
      </c>
      <c r="D230" s="16" t="s">
        <v>188</v>
      </c>
      <c r="E230" s="16" t="s">
        <v>189</v>
      </c>
      <c r="F230" s="16">
        <v>727</v>
      </c>
      <c r="G230" s="18" t="s">
        <v>998</v>
      </c>
      <c r="H230" s="16" t="s">
        <v>41</v>
      </c>
      <c r="I230" s="19" t="s">
        <v>42</v>
      </c>
      <c r="J230" s="16" t="str">
        <f>IFERROR(VLOOKUP(I230,[1]Sheet1!$A$1:$B$200,2,0),"_")</f>
        <v>P</v>
      </c>
      <c r="K230" s="19" t="s">
        <v>42</v>
      </c>
      <c r="L230" s="16" t="str">
        <f>IFERROR(VLOOKUP(K230,[1]Sheet1!$A$1:$B$200,2,0),"-")</f>
        <v>P</v>
      </c>
      <c r="M230" s="19" t="s">
        <v>191</v>
      </c>
      <c r="N230" s="16" t="str">
        <f>IFERROR(VLOOKUP(M230,[1]Sheet1!$G$2:$H$200,2,0),"-")</f>
        <v>HASL</v>
      </c>
      <c r="O230" s="18" t="s">
        <v>999</v>
      </c>
      <c r="P230" s="17">
        <v>46004</v>
      </c>
      <c r="Q230" s="20" t="s">
        <v>1003</v>
      </c>
      <c r="R230" s="20" t="s">
        <v>1004</v>
      </c>
      <c r="S230" s="21" t="str" cm="1">
        <f t="array" ref="S230">IF(
OR(AD230="",ISERROR(AD230)),
"-",
_xlfn.UNIQUE(_xlfn._xlws.FILTER([1]Sheet1!$D$2:$D$200,ISNUMBER(SEARCH(AD230,[1]Sheet1!$D$2:$D$200))))
)</f>
        <v>(주)부강에너지</v>
      </c>
      <c r="T230" s="22" t="s">
        <v>1005</v>
      </c>
      <c r="U230" s="16" t="str" cm="1">
        <f t="array" ref="U230">IF(
OR(AD230="",ISERROR(AD230)),
"-",
_xlfn.UNIQUE(_xlfn._xlws.FILTER([1]Sheet1!$D$2:$D$200,ISNUMBER(SEARCH(AD230,[1]Sheet1!$D$2:$D$200))))
)</f>
        <v>(주)부강에너지</v>
      </c>
      <c r="V230" s="23">
        <v>250000</v>
      </c>
      <c r="W230" s="23">
        <v>220000</v>
      </c>
      <c r="X230" s="23">
        <f t="shared" si="8"/>
        <v>30000</v>
      </c>
      <c r="Y230" s="25" t="s">
        <v>766</v>
      </c>
      <c r="Z230" s="19" t="s">
        <v>51</v>
      </c>
      <c r="AA230" s="19" t="s">
        <v>81</v>
      </c>
      <c r="AB230" s="18" t="s">
        <v>1002</v>
      </c>
      <c r="AC230" s="17" t="str">
        <f t="shared" si="7"/>
        <v>Y</v>
      </c>
      <c r="AD230" s="17" t="s">
        <v>197</v>
      </c>
      <c r="AF230" s="27" t="s">
        <v>55</v>
      </c>
      <c r="AG230" s="27" t="s">
        <v>55</v>
      </c>
      <c r="AI230" s="28" t="s">
        <v>57</v>
      </c>
    </row>
    <row r="231" spans="1:35" ht="34.799999999999997" customHeight="1" x14ac:dyDescent="0.4">
      <c r="A231" s="16" t="s">
        <v>36</v>
      </c>
      <c r="B231" s="16" t="s">
        <v>37</v>
      </c>
      <c r="C231" s="17">
        <v>46001</v>
      </c>
      <c r="D231" s="16" t="s">
        <v>83</v>
      </c>
      <c r="E231" s="16" t="s">
        <v>545</v>
      </c>
      <c r="F231" s="16">
        <v>22902</v>
      </c>
      <c r="G231" s="18" t="s">
        <v>546</v>
      </c>
      <c r="H231" s="16" t="s">
        <v>75</v>
      </c>
      <c r="I231" s="19" t="s">
        <v>1006</v>
      </c>
      <c r="J231" s="16" t="str">
        <f>IFERROR(VLOOKUP(I231,[1]Sheet1!$A$2:$B$166,2,0),"_")</f>
        <v>PC</v>
      </c>
      <c r="K231" s="19" t="s">
        <v>381</v>
      </c>
      <c r="L231" s="16" t="str">
        <f>IFERROR(VLOOKUP(K231,[1]Sheet1!$A$2:$B$166,2,0),"-")</f>
        <v>PT</v>
      </c>
      <c r="M231" s="19" t="s">
        <v>273</v>
      </c>
      <c r="N231" s="16" t="str">
        <f>IFERROR(VLOOKUP(M231,[1]Sheet1!$G$2:$H$200,2,0),"-")</f>
        <v>DJSC</v>
      </c>
      <c r="O231" s="18" t="s">
        <v>1007</v>
      </c>
      <c r="P231" s="17">
        <v>46006</v>
      </c>
      <c r="Q231" s="20" t="s">
        <v>1008</v>
      </c>
      <c r="R231" s="20" t="s">
        <v>1009</v>
      </c>
      <c r="S231" s="21" t="str" cm="1">
        <f t="array" ref="S231">IF(
OR(AD231="",ISERROR(AD231)),
"-",
_xlfn.UNIQUE(_xlfn._xlws.FILTER([1]Sheet1!$D$2:$D$200,ISNUMBER(SEARCH(AD231,[1]Sheet1!$D$2:$D$200))))
)</f>
        <v>주식회사 다원로직스</v>
      </c>
      <c r="T231" s="33" t="s">
        <v>1010</v>
      </c>
      <c r="U231" s="16" t="str" cm="1">
        <f t="array" ref="U231">IF(
OR(AD231="",ISERROR(AD231)),
"-",
_xlfn.UNIQUE(_xlfn._xlws.FILTER([1]Sheet1!$D$2:$D$200,ISNUMBER(SEARCH(AD231,[1]Sheet1!$D$2:$D$200))))
)</f>
        <v>주식회사 다원로직스</v>
      </c>
      <c r="V231" s="23">
        <v>240000</v>
      </c>
      <c r="W231" s="23">
        <v>200000</v>
      </c>
      <c r="X231" s="23">
        <f t="shared" si="8"/>
        <v>40000</v>
      </c>
      <c r="Y231" s="25" t="s">
        <v>866</v>
      </c>
      <c r="Z231" s="19" t="s">
        <v>51</v>
      </c>
      <c r="AA231" s="19" t="s">
        <v>93</v>
      </c>
      <c r="AC231" s="17" t="str">
        <f t="shared" si="7"/>
        <v>Y</v>
      </c>
      <c r="AD231" s="17" t="s">
        <v>867</v>
      </c>
      <c r="AF231" s="27" t="s">
        <v>55</v>
      </c>
      <c r="AG231" s="27" t="s">
        <v>55</v>
      </c>
      <c r="AI231" s="28" t="s">
        <v>57</v>
      </c>
    </row>
    <row r="232" spans="1:35" ht="34.799999999999997" customHeight="1" x14ac:dyDescent="0.4">
      <c r="A232" s="16" t="s">
        <v>36</v>
      </c>
      <c r="B232" s="16" t="s">
        <v>37</v>
      </c>
      <c r="C232" s="17">
        <v>46001</v>
      </c>
      <c r="D232" s="16" t="s">
        <v>83</v>
      </c>
      <c r="E232" s="16" t="s">
        <v>545</v>
      </c>
      <c r="F232" s="16">
        <v>22902</v>
      </c>
      <c r="G232" s="18" t="s">
        <v>546</v>
      </c>
      <c r="H232" s="16" t="s">
        <v>75</v>
      </c>
      <c r="I232" s="19" t="s">
        <v>1006</v>
      </c>
      <c r="J232" s="16" t="str">
        <f>IFERROR(VLOOKUP(I232,[1]Sheet1!$A$2:$B$166,2,0),"_")</f>
        <v>PC</v>
      </c>
      <c r="K232" s="19" t="s">
        <v>381</v>
      </c>
      <c r="L232" s="16" t="str">
        <f>IFERROR(VLOOKUP(K232,[1]Sheet1!$A$2:$B$166,2,0),"-")</f>
        <v>PT</v>
      </c>
      <c r="M232" s="19" t="s">
        <v>273</v>
      </c>
      <c r="N232" s="16" t="str">
        <f>IFERROR(VLOOKUP(M232,[1]Sheet1!$G$2:$H$200,2,0),"-")</f>
        <v>DJSC</v>
      </c>
      <c r="O232" s="18" t="s">
        <v>1011</v>
      </c>
      <c r="P232" s="17">
        <v>46006</v>
      </c>
      <c r="Q232" s="20" t="s">
        <v>1012</v>
      </c>
      <c r="R232" s="20" t="s">
        <v>1013</v>
      </c>
      <c r="S232" s="21" t="str" cm="1">
        <f t="array" ref="S232">IF(
OR(AD232="",ISERROR(AD232)),
"-",
_xlfn.UNIQUE(_xlfn._xlws.FILTER([1]Sheet1!$D$2:$D$200,ISNUMBER(SEARCH(AD232,[1]Sheet1!$D$2:$D$200))))
)</f>
        <v>주식회사 다원로직스</v>
      </c>
      <c r="T232" s="33" t="s">
        <v>1014</v>
      </c>
      <c r="U232" s="16" t="str" cm="1">
        <f t="array" ref="U232">IF(
OR(AD232="",ISERROR(AD232)),
"-",
_xlfn.UNIQUE(_xlfn._xlws.FILTER([1]Sheet1!$D$2:$D$200,ISNUMBER(SEARCH(AD232,[1]Sheet1!$D$2:$D$200))))
)</f>
        <v>주식회사 다원로직스</v>
      </c>
      <c r="V232" s="23">
        <v>240000</v>
      </c>
      <c r="W232" s="23">
        <v>200000</v>
      </c>
      <c r="X232" s="23">
        <f t="shared" si="8"/>
        <v>40000</v>
      </c>
      <c r="Y232" s="25" t="s">
        <v>866</v>
      </c>
      <c r="Z232" s="19" t="s">
        <v>51</v>
      </c>
      <c r="AA232" s="19" t="s">
        <v>93</v>
      </c>
      <c r="AC232" s="17" t="str">
        <f t="shared" si="7"/>
        <v>Y</v>
      </c>
      <c r="AD232" s="17" t="s">
        <v>552</v>
      </c>
      <c r="AF232" s="27" t="s">
        <v>55</v>
      </c>
      <c r="AG232" s="27" t="s">
        <v>55</v>
      </c>
      <c r="AI232" s="28" t="s">
        <v>57</v>
      </c>
    </row>
    <row r="233" spans="1:35" ht="34.799999999999997" customHeight="1" x14ac:dyDescent="0.4">
      <c r="A233" s="16" t="s">
        <v>36</v>
      </c>
      <c r="B233" s="16" t="s">
        <v>37</v>
      </c>
      <c r="C233" s="17">
        <v>46001</v>
      </c>
      <c r="D233" s="16" t="s">
        <v>83</v>
      </c>
      <c r="E233" s="16" t="s">
        <v>545</v>
      </c>
      <c r="F233" s="16">
        <v>22902</v>
      </c>
      <c r="G233" s="18" t="s">
        <v>546</v>
      </c>
      <c r="H233" s="16" t="s">
        <v>75</v>
      </c>
      <c r="I233" s="19" t="s">
        <v>1006</v>
      </c>
      <c r="J233" s="16" t="str">
        <f>IFERROR(VLOOKUP(I233,[1]Sheet1!$A$2:$B$166,2,0),"_")</f>
        <v>PC</v>
      </c>
      <c r="K233" s="19" t="s">
        <v>381</v>
      </c>
      <c r="L233" s="16" t="str">
        <f>IFERROR(VLOOKUP(K233,[1]Sheet1!$A$2:$B$166,2,0),"-")</f>
        <v>PT</v>
      </c>
      <c r="M233" s="19" t="s">
        <v>273</v>
      </c>
      <c r="N233" s="16" t="str">
        <f>IFERROR(VLOOKUP(M233,[1]Sheet1!$G$2:$H$200,2,0),"-")</f>
        <v>DJSC</v>
      </c>
      <c r="O233" s="18" t="s">
        <v>1015</v>
      </c>
      <c r="P233" s="17">
        <v>46006</v>
      </c>
      <c r="Q233" s="20" t="s">
        <v>1016</v>
      </c>
      <c r="R233" s="20" t="s">
        <v>1017</v>
      </c>
      <c r="S233" s="21" t="str" cm="1">
        <f t="array" ref="S233">IF(
OR(AD233="",ISERROR(AD233)),
"-",
_xlfn.UNIQUE(_xlfn._xlws.FILTER([1]Sheet1!$D$2:$D$200,ISNUMBER(SEARCH(AD233,[1]Sheet1!$D$2:$D$200))))
)</f>
        <v>주식회사 다원로직스</v>
      </c>
      <c r="T233" s="33" t="s">
        <v>873</v>
      </c>
      <c r="U233" s="16" t="str" cm="1">
        <f t="array" ref="U233">IF(
OR(AD233="",ISERROR(AD233)),
"-",
_xlfn.UNIQUE(_xlfn._xlws.FILTER([1]Sheet1!$D$2:$D$200,ISNUMBER(SEARCH(AD233,[1]Sheet1!$D$2:$D$200))))
)</f>
        <v>주식회사 다원로직스</v>
      </c>
      <c r="V233" s="23">
        <v>200000</v>
      </c>
      <c r="W233" s="23">
        <v>200000</v>
      </c>
      <c r="X233" s="23">
        <f t="shared" si="8"/>
        <v>0</v>
      </c>
      <c r="Y233" s="25" t="s">
        <v>866</v>
      </c>
      <c r="Z233" s="19" t="s">
        <v>51</v>
      </c>
      <c r="AA233" s="19" t="s">
        <v>93</v>
      </c>
      <c r="AC233" s="17" t="str">
        <f t="shared" si="7"/>
        <v>Y</v>
      </c>
      <c r="AD233" s="17" t="s">
        <v>867</v>
      </c>
      <c r="AF233" s="27" t="s">
        <v>55</v>
      </c>
      <c r="AG233" s="27" t="s">
        <v>55</v>
      </c>
      <c r="AI233" s="28" t="s">
        <v>57</v>
      </c>
    </row>
    <row r="234" spans="1:35" ht="34.799999999999997" customHeight="1" x14ac:dyDescent="0.4">
      <c r="A234" s="16" t="s">
        <v>36</v>
      </c>
      <c r="B234" s="16" t="s">
        <v>37</v>
      </c>
      <c r="C234" s="17">
        <v>46001</v>
      </c>
      <c r="D234" s="16" t="s">
        <v>83</v>
      </c>
      <c r="E234" s="16" t="s">
        <v>545</v>
      </c>
      <c r="F234" s="16">
        <v>22902</v>
      </c>
      <c r="G234" s="18" t="s">
        <v>546</v>
      </c>
      <c r="H234" s="16" t="s">
        <v>75</v>
      </c>
      <c r="I234" s="19" t="s">
        <v>1006</v>
      </c>
      <c r="J234" s="16" t="str">
        <f>IFERROR(VLOOKUP(I234,[1]Sheet1!$A$2:$B$166,2,0),"_")</f>
        <v>PC</v>
      </c>
      <c r="K234" s="19" t="s">
        <v>381</v>
      </c>
      <c r="L234" s="16" t="str">
        <f>IFERROR(VLOOKUP(K234,[1]Sheet1!$A$2:$B$166,2,0),"-")</f>
        <v>PT</v>
      </c>
      <c r="M234" s="19" t="s">
        <v>273</v>
      </c>
      <c r="N234" s="16" t="str">
        <f>IFERROR(VLOOKUP(M234,[1]Sheet1!$G$2:$H$200,2,0),"-")</f>
        <v>DJSC</v>
      </c>
      <c r="O234" s="18" t="s">
        <v>1018</v>
      </c>
      <c r="P234" s="17">
        <v>46006</v>
      </c>
      <c r="Q234" s="20" t="s">
        <v>1019</v>
      </c>
      <c r="R234" s="20" t="s">
        <v>1017</v>
      </c>
      <c r="S234" s="21" t="str" cm="1">
        <f t="array" ref="S234">IF(
OR(AD234="",ISERROR(AD234)),
"-",
_xlfn.UNIQUE(_xlfn._xlws.FILTER([1]Sheet1!$D$2:$D$200,ISNUMBER(SEARCH(AD234,[1]Sheet1!$D$2:$D$200))))
)</f>
        <v>주식회사 다원로직스</v>
      </c>
      <c r="T234" s="33" t="s">
        <v>873</v>
      </c>
      <c r="U234" s="16" t="str" cm="1">
        <f t="array" ref="U234">IF(
OR(AD234="",ISERROR(AD234)),
"-",
_xlfn.UNIQUE(_xlfn._xlws.FILTER([1]Sheet1!$D$2:$D$200,ISNUMBER(SEARCH(AD234,[1]Sheet1!$D$2:$D$200))))
)</f>
        <v>주식회사 다원로직스</v>
      </c>
      <c r="V234" s="23">
        <v>80000</v>
      </c>
      <c r="W234" s="23">
        <v>50000</v>
      </c>
      <c r="X234" s="23">
        <f t="shared" si="8"/>
        <v>30000</v>
      </c>
      <c r="Y234" s="25" t="s">
        <v>866</v>
      </c>
      <c r="Z234" s="19" t="s">
        <v>51</v>
      </c>
      <c r="AA234" s="19" t="s">
        <v>93</v>
      </c>
      <c r="AC234" s="17" t="str">
        <f t="shared" si="7"/>
        <v>Y</v>
      </c>
      <c r="AD234" s="17" t="s">
        <v>552</v>
      </c>
      <c r="AF234" s="27" t="s">
        <v>55</v>
      </c>
      <c r="AG234" s="27" t="s">
        <v>55</v>
      </c>
      <c r="AI234" s="28" t="s">
        <v>57</v>
      </c>
    </row>
    <row r="235" spans="1:35" ht="34.799999999999997" customHeight="1" x14ac:dyDescent="0.4">
      <c r="A235" s="16" t="s">
        <v>36</v>
      </c>
      <c r="B235" s="16" t="s">
        <v>37</v>
      </c>
      <c r="C235" s="17">
        <v>46001</v>
      </c>
      <c r="D235" s="16" t="s">
        <v>442</v>
      </c>
      <c r="E235" s="16" t="s">
        <v>442</v>
      </c>
      <c r="F235" s="16">
        <v>2707</v>
      </c>
      <c r="G235" s="18" t="s">
        <v>1020</v>
      </c>
      <c r="H235" s="16" t="s">
        <v>687</v>
      </c>
      <c r="I235" s="19" t="s">
        <v>42</v>
      </c>
      <c r="J235" s="16" t="str">
        <f>IFERROR(VLOOKUP(I235,[1]Sheet1!$A$1:$B$200,2,0),"_")</f>
        <v>P</v>
      </c>
      <c r="K235" s="19" t="s">
        <v>42</v>
      </c>
      <c r="L235" s="16" t="str">
        <f>IFERROR(VLOOKUP(K235,[1]Sheet1!$A$1:$B$200,2,0),"-")</f>
        <v>P</v>
      </c>
      <c r="M235" s="19" t="s">
        <v>1021</v>
      </c>
      <c r="N235" s="16" t="str">
        <f>IFERROR(VLOOKUP(M235,[1]Sheet1!$G$2:$H$200,2,0),"-")</f>
        <v>HDS</v>
      </c>
      <c r="O235" s="18" t="s">
        <v>1022</v>
      </c>
      <c r="P235" s="17">
        <v>46013</v>
      </c>
      <c r="Q235" s="20" t="s">
        <v>1023</v>
      </c>
      <c r="R235" s="20" t="s">
        <v>1024</v>
      </c>
      <c r="S235" s="21" t="str" cm="1">
        <f t="array" ref="S235">IF(
OR(AD235="",ISERROR(AD235)),
"-",
_xlfn.UNIQUE(_xlfn._xlws.FILTER([1]Sheet1!$D$2:$D$200,ISNUMBER(SEARCH(AD235,[1]Sheet1!$D$2:$D$200))))
)</f>
        <v>(주)부강에너지</v>
      </c>
      <c r="T235" s="22" t="s">
        <v>851</v>
      </c>
      <c r="U235" s="16" t="str" cm="1">
        <f t="array" ref="U235">IF(
OR(AD235="",ISERROR(AD235)),
"-",
_xlfn.UNIQUE(_xlfn._xlws.FILTER([1]Sheet1!$D$2:$D$200,ISNUMBER(SEARCH(AD235,[1]Sheet1!$D$2:$D$200))))
)</f>
        <v>(주)부강에너지</v>
      </c>
      <c r="V235" s="23">
        <v>1200000</v>
      </c>
      <c r="W235" s="23">
        <v>895500</v>
      </c>
      <c r="X235" s="23">
        <f t="shared" si="8"/>
        <v>304500</v>
      </c>
      <c r="Y235" s="25" t="s">
        <v>1025</v>
      </c>
      <c r="Z235" s="19" t="s">
        <v>51</v>
      </c>
      <c r="AA235" s="19" t="s">
        <v>81</v>
      </c>
      <c r="AC235" s="17" t="str">
        <f t="shared" si="7"/>
        <v>Y</v>
      </c>
      <c r="AD235" s="17" t="s">
        <v>197</v>
      </c>
      <c r="AF235" s="27">
        <v>46001</v>
      </c>
      <c r="AG235" s="27" t="s">
        <v>1026</v>
      </c>
      <c r="AI235" s="28" t="s">
        <v>57</v>
      </c>
    </row>
    <row r="236" spans="1:35" ht="34.799999999999997" customHeight="1" x14ac:dyDescent="0.4">
      <c r="A236" s="16" t="s">
        <v>36</v>
      </c>
      <c r="B236" s="16" t="s">
        <v>37</v>
      </c>
      <c r="C236" s="17">
        <v>46001</v>
      </c>
      <c r="D236" s="16" t="s">
        <v>442</v>
      </c>
      <c r="E236" s="16" t="s">
        <v>442</v>
      </c>
      <c r="F236" s="16">
        <v>2707</v>
      </c>
      <c r="G236" s="18" t="s">
        <v>1020</v>
      </c>
      <c r="H236" s="16" t="s">
        <v>687</v>
      </c>
      <c r="I236" s="19" t="s">
        <v>42</v>
      </c>
      <c r="J236" s="16" t="str">
        <f>IFERROR(VLOOKUP(I236,[1]Sheet1!$A$1:$B$200,2,0),"_")</f>
        <v>P</v>
      </c>
      <c r="K236" s="19" t="s">
        <v>42</v>
      </c>
      <c r="L236" s="16" t="str">
        <f>IFERROR(VLOOKUP(K236,[1]Sheet1!$A$1:$B$200,2,0),"-")</f>
        <v>P</v>
      </c>
      <c r="M236" s="19" t="s">
        <v>1021</v>
      </c>
      <c r="N236" s="16" t="str">
        <f>IFERROR(VLOOKUP(M236,[1]Sheet1!$G$2:$H$200,2,0),"-")</f>
        <v>HDS</v>
      </c>
      <c r="O236" s="18" t="s">
        <v>1027</v>
      </c>
      <c r="P236" s="17">
        <v>46013</v>
      </c>
      <c r="Q236" s="20" t="s">
        <v>1023</v>
      </c>
      <c r="R236" s="20" t="s">
        <v>1024</v>
      </c>
      <c r="S236" s="21" t="str" cm="1">
        <f t="array" ref="S236">IF(
OR(AD236="",ISERROR(AD236)),
"-",
_xlfn.UNIQUE(_xlfn._xlws.FILTER([1]Sheet1!$D$2:$D$200,ISNUMBER(SEARCH(AD236,[1]Sheet1!$D$2:$D$200))))
)</f>
        <v>디앤케이물류</v>
      </c>
      <c r="T236" s="22" t="s">
        <v>851</v>
      </c>
      <c r="U236" s="16" t="str" cm="1">
        <f t="array" ref="U236">IF(
OR(AD236="",ISERROR(AD236)),
"-",
_xlfn.UNIQUE(_xlfn._xlws.FILTER([1]Sheet1!$D$2:$D$200,ISNUMBER(SEARCH(AD236,[1]Sheet1!$D$2:$D$200))))
)</f>
        <v>디앤케이물류</v>
      </c>
      <c r="V236" s="23">
        <v>245000</v>
      </c>
      <c r="W236" s="23">
        <v>195000</v>
      </c>
      <c r="X236" s="23">
        <f t="shared" si="8"/>
        <v>50000</v>
      </c>
      <c r="Y236" s="25" t="s">
        <v>1028</v>
      </c>
      <c r="Z236" s="19" t="s">
        <v>51</v>
      </c>
      <c r="AA236" s="19" t="s">
        <v>81</v>
      </c>
      <c r="AC236" s="17" t="str">
        <f t="shared" si="7"/>
        <v>Y</v>
      </c>
      <c r="AD236" s="17" t="s">
        <v>292</v>
      </c>
      <c r="AF236" s="27">
        <v>46001</v>
      </c>
      <c r="AG236" s="27" t="s">
        <v>1029</v>
      </c>
      <c r="AI236" s="28" t="s">
        <v>57</v>
      </c>
    </row>
    <row r="237" spans="1:35" ht="34.799999999999997" customHeight="1" x14ac:dyDescent="0.4">
      <c r="A237" s="16" t="s">
        <v>71</v>
      </c>
      <c r="B237" s="16" t="s">
        <v>37</v>
      </c>
      <c r="C237" s="17">
        <v>46001</v>
      </c>
      <c r="D237" s="16" t="s">
        <v>308</v>
      </c>
      <c r="E237" s="16" t="s">
        <v>1030</v>
      </c>
      <c r="F237" s="16">
        <v>28772</v>
      </c>
      <c r="G237" s="18" t="s">
        <v>310</v>
      </c>
      <c r="H237" s="16" t="s">
        <v>41</v>
      </c>
      <c r="I237" s="19" t="s">
        <v>76</v>
      </c>
      <c r="J237" s="16" t="str">
        <f>IFERROR(VLOOKUP(I237,[1]Sheet1!$A$1:$B$200,2,0),"_")</f>
        <v>NJ</v>
      </c>
      <c r="K237" s="19" t="s">
        <v>76</v>
      </c>
      <c r="L237" s="16" t="str">
        <f>IFERROR(VLOOKUP(K237,[1]Sheet1!$A$1:$B$200,2,0),"-")</f>
        <v>NJ</v>
      </c>
      <c r="M237" s="19" t="s">
        <v>130</v>
      </c>
      <c r="N237" s="16" t="str">
        <f>IFERROR(VLOOKUP(M237,[1]Sheet1!$G$2:$H$200,2,0),"-")</f>
        <v>PCLU</v>
      </c>
      <c r="O237" s="31" t="s">
        <v>55</v>
      </c>
      <c r="P237" s="17" t="s">
        <v>55</v>
      </c>
      <c r="Q237" s="20" t="s">
        <v>1031</v>
      </c>
      <c r="R237" s="20"/>
      <c r="S237" s="21" t="str" cm="1">
        <f t="array" ref="S237">IF(
OR(AD237="",ISERROR(AD237)),
"-",
_xlfn.UNIQUE(_xlfn._xlws.FILTER([1]Sheet1!$D$2:$D$200,ISNUMBER(SEARCH(AD237,[1]Sheet1!$D$2:$D$200))))
)</f>
        <v>태성종합물류</v>
      </c>
      <c r="T237" s="22" t="s">
        <v>1032</v>
      </c>
      <c r="U237" s="16" t="str" cm="1">
        <f t="array" ref="U237">IF(
OR(AD237="",ISERROR(AD237)),
"-",
_xlfn.UNIQUE(_xlfn._xlws.FILTER([1]Sheet1!$D$2:$D$200,ISNUMBER(SEARCH(AD237,[1]Sheet1!$D$2:$D$200))))
)</f>
        <v>태성종합물류</v>
      </c>
      <c r="V237" s="23">
        <v>415000</v>
      </c>
      <c r="W237" s="24">
        <v>388200</v>
      </c>
      <c r="X237" s="23">
        <f t="shared" si="8"/>
        <v>26800</v>
      </c>
      <c r="Y237" s="25" t="s">
        <v>1033</v>
      </c>
      <c r="Z237" s="19" t="s">
        <v>51</v>
      </c>
      <c r="AA237" s="19" t="s">
        <v>93</v>
      </c>
      <c r="AC237" s="17" t="str">
        <f t="shared" si="7"/>
        <v>Y</v>
      </c>
      <c r="AD237" s="17" t="s">
        <v>82</v>
      </c>
      <c r="AF237" s="27" t="s">
        <v>55</v>
      </c>
      <c r="AG237" s="27" t="s">
        <v>55</v>
      </c>
      <c r="AI237" s="28" t="s">
        <v>57</v>
      </c>
    </row>
    <row r="238" spans="1:35" ht="34.799999999999997" customHeight="1" x14ac:dyDescent="0.4">
      <c r="A238" s="16" t="s">
        <v>36</v>
      </c>
      <c r="B238" s="16" t="s">
        <v>37</v>
      </c>
      <c r="C238" s="17">
        <v>46001</v>
      </c>
      <c r="D238" s="16" t="s">
        <v>248</v>
      </c>
      <c r="E238" s="16" t="s">
        <v>1034</v>
      </c>
      <c r="F238" s="16">
        <v>26667</v>
      </c>
      <c r="G238" s="18" t="s">
        <v>1035</v>
      </c>
      <c r="H238" s="16" t="s">
        <v>75</v>
      </c>
      <c r="I238" s="19" t="s">
        <v>328</v>
      </c>
      <c r="J238" s="16" t="str">
        <f>IFERROR(VLOOKUP(I238,[1]Sheet1!$A$1:$B$200,2,0),"_")</f>
        <v>BT</v>
      </c>
      <c r="K238" s="19" t="s">
        <v>730</v>
      </c>
      <c r="L238" s="16" t="str">
        <f>IFERROR(VLOOKUP(K238,[1]Sheet1!$A$1:$B$200,2,0),"-")</f>
        <v>TG</v>
      </c>
      <c r="M238" s="19" t="s">
        <v>566</v>
      </c>
      <c r="N238" s="16" t="str">
        <f>IFERROR(VLOOKUP(M238,[1]Sheet1!$G$2:$H$200,2,0),"-")</f>
        <v>WHLU</v>
      </c>
      <c r="O238" s="18" t="s">
        <v>1036</v>
      </c>
      <c r="P238" s="17">
        <v>46001</v>
      </c>
      <c r="Q238" s="20" t="s">
        <v>1037</v>
      </c>
      <c r="R238" s="20" t="s">
        <v>1038</v>
      </c>
      <c r="S238" s="21" t="str" cm="1">
        <f t="array" ref="S238">IF(
OR(AD238="",ISERROR(AD238)),
"-",
_xlfn.UNIQUE(_xlfn._xlws.FILTER([1]Sheet1!$D$2:$D$200,ISNUMBER(SEARCH(AD238,[1]Sheet1!$D$2:$D$200))))
)</f>
        <v>백승운수</v>
      </c>
      <c r="T238" s="22" t="s">
        <v>650</v>
      </c>
      <c r="U238" s="16" t="str" cm="1">
        <f t="array" ref="U238">IF(
OR(AD238="",ISERROR(AD238)),
"-",
_xlfn.UNIQUE(_xlfn._xlws.FILTER([1]Sheet1!$D$2:$D$200,ISNUMBER(SEARCH(AD238,[1]Sheet1!$D$2:$D$200))))
)</f>
        <v>백승운수</v>
      </c>
      <c r="V238" s="23">
        <v>693000</v>
      </c>
      <c r="W238" s="23">
        <v>648000</v>
      </c>
      <c r="X238" s="23">
        <f t="shared" si="8"/>
        <v>45000</v>
      </c>
      <c r="Y238" s="25" t="s">
        <v>1039</v>
      </c>
      <c r="Z238" s="19" t="s">
        <v>51</v>
      </c>
      <c r="AA238" s="19" t="s">
        <v>144</v>
      </c>
      <c r="AB238" s="18" t="s">
        <v>1040</v>
      </c>
      <c r="AC238" s="17" t="str">
        <f t="shared" si="7"/>
        <v>Y</v>
      </c>
      <c r="AD238" s="17" t="s">
        <v>95</v>
      </c>
      <c r="AF238" s="27" t="s">
        <v>55</v>
      </c>
      <c r="AG238" s="27" t="s">
        <v>55</v>
      </c>
      <c r="AI238" s="28" t="s">
        <v>57</v>
      </c>
    </row>
    <row r="239" spans="1:35" ht="34.799999999999997" customHeight="1" x14ac:dyDescent="0.4">
      <c r="A239" s="16" t="s">
        <v>36</v>
      </c>
      <c r="B239" s="16" t="s">
        <v>37</v>
      </c>
      <c r="C239" s="17">
        <v>46001</v>
      </c>
      <c r="D239" s="16" t="s">
        <v>248</v>
      </c>
      <c r="E239" s="16" t="s">
        <v>1034</v>
      </c>
      <c r="F239" s="16">
        <v>26667</v>
      </c>
      <c r="G239" s="18" t="s">
        <v>1035</v>
      </c>
      <c r="H239" s="16" t="s">
        <v>75</v>
      </c>
      <c r="I239" s="19" t="s">
        <v>328</v>
      </c>
      <c r="J239" s="16" t="str">
        <f>IFERROR(VLOOKUP(I239,[1]Sheet1!$A$1:$B$200,2,0),"_")</f>
        <v>BT</v>
      </c>
      <c r="K239" s="19" t="s">
        <v>730</v>
      </c>
      <c r="L239" s="16" t="str">
        <f>IFERROR(VLOOKUP(K239,[1]Sheet1!$A$1:$B$200,2,0),"-")</f>
        <v>TG</v>
      </c>
      <c r="M239" s="19" t="s">
        <v>566</v>
      </c>
      <c r="N239" s="16" t="str">
        <f>IFERROR(VLOOKUP(M239,[1]Sheet1!$G$2:$H$200,2,0),"-")</f>
        <v>WHLU</v>
      </c>
      <c r="O239" s="18" t="s">
        <v>1036</v>
      </c>
      <c r="P239" s="17">
        <v>46001</v>
      </c>
      <c r="Q239" s="20" t="s">
        <v>1037</v>
      </c>
      <c r="R239" s="20" t="s">
        <v>1038</v>
      </c>
      <c r="S239" s="21" t="str" cm="1">
        <f t="array" ref="S239">IF(
OR(AD239="",ISERROR(AD239)),
"-",
_xlfn.UNIQUE(_xlfn._xlws.FILTER([1]Sheet1!$D$2:$D$200,ISNUMBER(SEARCH(AD239,[1]Sheet1!$D$2:$D$200))))
)</f>
        <v>백승운수</v>
      </c>
      <c r="T239" s="22" t="s">
        <v>650</v>
      </c>
      <c r="U239" s="16" t="str" cm="1">
        <f t="array" ref="U239">IF(
OR(AD239="",ISERROR(AD239)),
"-",
_xlfn.UNIQUE(_xlfn._xlws.FILTER([1]Sheet1!$D$2:$D$200,ISNUMBER(SEARCH(AD239,[1]Sheet1!$D$2:$D$200))))
)</f>
        <v>백승운수</v>
      </c>
      <c r="V239" s="23">
        <v>10000</v>
      </c>
      <c r="W239" s="23">
        <v>10000</v>
      </c>
      <c r="X239" s="23">
        <f t="shared" si="8"/>
        <v>0</v>
      </c>
      <c r="Y239" s="25" t="s">
        <v>1041</v>
      </c>
      <c r="Z239" s="19" t="s">
        <v>51</v>
      </c>
      <c r="AA239" s="19" t="s">
        <v>144</v>
      </c>
      <c r="AB239" s="18" t="s">
        <v>1040</v>
      </c>
      <c r="AC239" s="17" t="str">
        <f t="shared" si="7"/>
        <v>Y</v>
      </c>
      <c r="AD239" s="17" t="s">
        <v>95</v>
      </c>
      <c r="AF239" s="27" t="s">
        <v>55</v>
      </c>
      <c r="AG239" s="27" t="s">
        <v>55</v>
      </c>
      <c r="AI239" s="28" t="s">
        <v>57</v>
      </c>
    </row>
    <row r="240" spans="1:35" ht="34.950000000000003" customHeight="1" x14ac:dyDescent="0.4">
      <c r="A240" s="16" t="s">
        <v>71</v>
      </c>
      <c r="B240" s="16" t="s">
        <v>37</v>
      </c>
      <c r="C240" s="17">
        <v>46001</v>
      </c>
      <c r="D240" s="16" t="s">
        <v>155</v>
      </c>
      <c r="E240" s="16" t="s">
        <v>1042</v>
      </c>
      <c r="F240" s="16">
        <v>28045</v>
      </c>
      <c r="G240" s="18" t="s">
        <v>1043</v>
      </c>
      <c r="H240" s="16" t="s">
        <v>41</v>
      </c>
      <c r="I240" s="19" t="s">
        <v>688</v>
      </c>
      <c r="J240" s="16" t="str">
        <f>IFERROR(VLOOKUP(I240,[1]Sheet1!$A$1:$B$200,2,0),"_")</f>
        <v>BT</v>
      </c>
      <c r="K240" s="19" t="s">
        <v>328</v>
      </c>
      <c r="L240" s="16" t="str">
        <f>IFERROR(VLOOKUP(K240,[1]Sheet1!$A$1:$B$200,2,0),"-")</f>
        <v>BT</v>
      </c>
      <c r="M240" s="19" t="s">
        <v>1044</v>
      </c>
      <c r="N240" s="16" t="str">
        <f>IFERROR(VLOOKUP(M240,[1]Sheet1!$G$2:$H$200,2,0),"-")</f>
        <v>PANO</v>
      </c>
      <c r="O240" s="31" t="s">
        <v>55</v>
      </c>
      <c r="P240" s="17" t="s">
        <v>55</v>
      </c>
      <c r="Q240" s="20" t="s">
        <v>1045</v>
      </c>
      <c r="R240" s="20"/>
      <c r="S240" s="21" t="str" cm="1">
        <f t="array" ref="S240">IF(
OR(AD240="",ISERROR(AD240)),
"-",
_xlfn.UNIQUE(_xlfn._xlws.FILTER([1]Sheet1!$D$2:$D$200,ISNUMBER(SEARCH(AD240,[1]Sheet1!$D$2:$D$200))))
)</f>
        <v>동방 익스프레스</v>
      </c>
      <c r="T240" s="22" t="s">
        <v>402</v>
      </c>
      <c r="U240" s="16" t="str" cm="1">
        <f t="array" ref="U240">IF(
OR(AD240="",ISERROR(AD240)),
"-",
_xlfn.UNIQUE(_xlfn._xlws.FILTER([1]Sheet1!$D$2:$D$200,ISNUMBER(SEARCH(AD240,[1]Sheet1!$D$2:$D$200))))
)</f>
        <v>동방 익스프레스</v>
      </c>
      <c r="V240" s="23">
        <v>525000</v>
      </c>
      <c r="W240" s="23">
        <v>478000</v>
      </c>
      <c r="X240" s="23">
        <f t="shared" si="8"/>
        <v>47000</v>
      </c>
      <c r="Y240" s="25" t="s">
        <v>1046</v>
      </c>
      <c r="Z240" s="19" t="s">
        <v>51</v>
      </c>
      <c r="AA240" s="19" t="s">
        <v>144</v>
      </c>
      <c r="AC240" s="17" t="str">
        <f t="shared" si="7"/>
        <v>Y</v>
      </c>
      <c r="AD240" s="17" t="s">
        <v>116</v>
      </c>
      <c r="AF240" s="27" t="s">
        <v>55</v>
      </c>
      <c r="AG240" s="27" t="s">
        <v>55</v>
      </c>
      <c r="AI240" s="28" t="s">
        <v>57</v>
      </c>
    </row>
    <row r="241" spans="1:35" ht="34.950000000000003" customHeight="1" x14ac:dyDescent="0.4">
      <c r="A241" s="16" t="s">
        <v>71</v>
      </c>
      <c r="B241" s="16" t="s">
        <v>99</v>
      </c>
      <c r="C241" s="17">
        <v>46001</v>
      </c>
      <c r="D241" s="16" t="s">
        <v>72</v>
      </c>
      <c r="E241" s="16" t="s">
        <v>914</v>
      </c>
      <c r="F241" s="16">
        <v>9978</v>
      </c>
      <c r="G241" s="18" t="s">
        <v>915</v>
      </c>
      <c r="H241" s="16" t="s">
        <v>41</v>
      </c>
      <c r="I241" s="19" t="s">
        <v>201</v>
      </c>
      <c r="J241" s="16" t="str">
        <f>IFERROR(VLOOKUP(I241,[1]Sheet1!$A$1:$B$200,2,0),"_")</f>
        <v>Y25</v>
      </c>
      <c r="K241" s="19" t="s">
        <v>76</v>
      </c>
      <c r="L241" s="16" t="str">
        <f>IFERROR(VLOOKUP(K241,[1]Sheet1!$A$1:$B$200,2,0),"-")</f>
        <v>NJ</v>
      </c>
      <c r="M241" s="19" t="s">
        <v>364</v>
      </c>
      <c r="N241" s="16" t="str">
        <f>IFERROR(VLOOKUP(M241,[1]Sheet1!$G$2:$H$200,2,0),"-")</f>
        <v>CMAL</v>
      </c>
      <c r="O241" s="18" t="s">
        <v>690</v>
      </c>
      <c r="P241" s="17" t="s">
        <v>690</v>
      </c>
      <c r="Q241" s="20" t="s">
        <v>916</v>
      </c>
      <c r="R241" s="20"/>
      <c r="S241" s="21" t="str" cm="1">
        <f t="array" ref="S241">IF(
OR(AD241="",ISERROR(AD241)),
"-",
_xlfn.UNIQUE(_xlfn._xlws.FILTER([1]Sheet1!$D$2:$D$200,ISNUMBER(SEARCH(AD241,[1]Sheet1!$D$2:$D$200))))
)</f>
        <v>태성종합물류</v>
      </c>
      <c r="T241" s="22" t="s">
        <v>1047</v>
      </c>
      <c r="U241" s="16" t="str" cm="1">
        <f t="array" ref="U241">IF(
OR(AD241="",ISERROR(AD241)),
"-",
_xlfn.UNIQUE(_xlfn._xlws.FILTER([1]Sheet1!$D$2:$D$200,ISNUMBER(SEARCH(AD241,[1]Sheet1!$D$2:$D$200))))
)</f>
        <v>태성종합물류</v>
      </c>
      <c r="V241" s="23">
        <v>546000</v>
      </c>
      <c r="W241" s="23">
        <v>437600</v>
      </c>
      <c r="X241" s="23">
        <f t="shared" si="8"/>
        <v>108400</v>
      </c>
      <c r="Y241" s="25" t="s">
        <v>918</v>
      </c>
      <c r="Z241" s="19" t="s">
        <v>51</v>
      </c>
      <c r="AA241" s="19" t="s">
        <v>81</v>
      </c>
      <c r="AC241" s="17" t="str">
        <f t="shared" si="7"/>
        <v>Y</v>
      </c>
      <c r="AD241" s="17" t="s">
        <v>82</v>
      </c>
      <c r="AF241" s="27" t="s">
        <v>55</v>
      </c>
      <c r="AG241" s="27" t="s">
        <v>55</v>
      </c>
      <c r="AI241" s="28" t="s">
        <v>57</v>
      </c>
    </row>
    <row r="242" spans="1:35" ht="34.950000000000003" customHeight="1" x14ac:dyDescent="0.4">
      <c r="A242" s="16" t="s">
        <v>71</v>
      </c>
      <c r="B242" s="16" t="s">
        <v>99</v>
      </c>
      <c r="C242" s="17">
        <v>46001</v>
      </c>
      <c r="D242" s="16" t="s">
        <v>72</v>
      </c>
      <c r="E242" s="16" t="s">
        <v>914</v>
      </c>
      <c r="F242" s="16">
        <v>9978</v>
      </c>
      <c r="G242" s="18" t="s">
        <v>915</v>
      </c>
      <c r="H242" s="16" t="s">
        <v>41</v>
      </c>
      <c r="I242" s="19" t="s">
        <v>201</v>
      </c>
      <c r="J242" s="16" t="str">
        <f>IFERROR(VLOOKUP(I242,[1]Sheet1!$A$1:$B$200,2,0),"_")</f>
        <v>Y25</v>
      </c>
      <c r="K242" s="19" t="s">
        <v>76</v>
      </c>
      <c r="L242" s="16" t="str">
        <f>IFERROR(VLOOKUP(K242,[1]Sheet1!$A$1:$B$200,2,0),"-")</f>
        <v>NJ</v>
      </c>
      <c r="M242" s="19" t="s">
        <v>364</v>
      </c>
      <c r="N242" s="16" t="str">
        <f>IFERROR(VLOOKUP(M242,[1]Sheet1!$G$2:$H$200,2,0),"-")</f>
        <v>CMAL</v>
      </c>
      <c r="O242" s="18" t="s">
        <v>690</v>
      </c>
      <c r="P242" s="17" t="s">
        <v>690</v>
      </c>
      <c r="Q242" s="20" t="s">
        <v>916</v>
      </c>
      <c r="R242" s="20"/>
      <c r="S242" s="21" t="str" cm="1">
        <f t="array" ref="S242">IF(
OR(AD242="",ISERROR(AD242)),
"-",
_xlfn.UNIQUE(_xlfn._xlws.FILTER([1]Sheet1!$D$2:$D$200,ISNUMBER(SEARCH(AD242,[1]Sheet1!$D$2:$D$200))))
)</f>
        <v>태성종합물류</v>
      </c>
      <c r="T242" s="22" t="s">
        <v>1047</v>
      </c>
      <c r="U242" s="16" t="str" cm="1">
        <f t="array" ref="U242">IF(
OR(AD242="",ISERROR(AD242)),
"-",
_xlfn.UNIQUE(_xlfn._xlws.FILTER([1]Sheet1!$D$2:$D$200,ISNUMBER(SEARCH(AD242,[1]Sheet1!$D$2:$D$200))))
)</f>
        <v>태성종합물류</v>
      </c>
      <c r="V242" s="23">
        <v>109200</v>
      </c>
      <c r="W242" s="23">
        <v>87520</v>
      </c>
      <c r="X242" s="23">
        <f t="shared" si="8"/>
        <v>21680</v>
      </c>
      <c r="Y242" s="25" t="s">
        <v>1048</v>
      </c>
      <c r="Z242" s="19" t="s">
        <v>51</v>
      </c>
      <c r="AA242" s="19" t="s">
        <v>81</v>
      </c>
      <c r="AC242" s="17" t="str">
        <f t="shared" si="7"/>
        <v>Y</v>
      </c>
      <c r="AD242" s="17" t="s">
        <v>82</v>
      </c>
      <c r="AF242" s="27" t="s">
        <v>55</v>
      </c>
      <c r="AG242" s="27" t="s">
        <v>55</v>
      </c>
      <c r="AI242" s="28" t="s">
        <v>57</v>
      </c>
    </row>
    <row r="243" spans="1:35" ht="34.950000000000003" customHeight="1" x14ac:dyDescent="0.4">
      <c r="A243" s="16" t="s">
        <v>71</v>
      </c>
      <c r="B243" s="16" t="s">
        <v>37</v>
      </c>
      <c r="C243" s="17">
        <v>46001</v>
      </c>
      <c r="D243" s="16" t="s">
        <v>216</v>
      </c>
      <c r="E243" s="16" t="s">
        <v>1049</v>
      </c>
      <c r="F243" s="16">
        <v>27880</v>
      </c>
      <c r="G243" s="18" t="s">
        <v>1050</v>
      </c>
      <c r="H243" s="16" t="s">
        <v>41</v>
      </c>
      <c r="I243" s="19" t="s">
        <v>86</v>
      </c>
      <c r="J243" s="16" t="str">
        <f>IFERROR(VLOOKUP(I243,[1]Sheet1!$A$1:$B$200,2,0),"_")</f>
        <v>HP</v>
      </c>
      <c r="K243" s="19" t="s">
        <v>86</v>
      </c>
      <c r="L243" s="16" t="str">
        <f>IFERROR(VLOOKUP(K243,[1]Sheet1!$A$1:$B$200,2,0),"-")</f>
        <v>HP</v>
      </c>
      <c r="M243" s="19" t="s">
        <v>1051</v>
      </c>
      <c r="N243" s="16" t="str">
        <f>IFERROR(VLOOKUP(M243,[1]Sheet1!$G$2:$H$200,2,0),"-")</f>
        <v>HDMU</v>
      </c>
      <c r="O243" s="18" t="s">
        <v>690</v>
      </c>
      <c r="P243" s="17" t="s">
        <v>690</v>
      </c>
      <c r="Q243" s="20" t="s">
        <v>1052</v>
      </c>
      <c r="R243" s="20"/>
      <c r="S243" s="21" t="str" cm="1">
        <f t="array" ref="S243">IF(
OR(AD243="",ISERROR(AD243)),
"-",
_xlfn.UNIQUE(_xlfn._xlws.FILTER([1]Sheet1!$D$2:$D$200,ISNUMBER(SEARCH(AD243,[1]Sheet1!$D$2:$D$200))))
)</f>
        <v>에스지로지스틱</v>
      </c>
      <c r="T243" s="22" t="s">
        <v>1053</v>
      </c>
      <c r="U243" s="16" t="str" cm="1">
        <f t="array" ref="U243">IF(
OR(AD243="",ISERROR(AD243)),
"-",
_xlfn.UNIQUE(_xlfn._xlws.FILTER([1]Sheet1!$D$2:$D$200,ISNUMBER(SEARCH(AD243,[1]Sheet1!$D$2:$D$200))))
)</f>
        <v>에스지로지스틱</v>
      </c>
      <c r="V243" s="23">
        <v>216000</v>
      </c>
      <c r="W243" s="23">
        <v>196000</v>
      </c>
      <c r="X243" s="23">
        <f t="shared" si="8"/>
        <v>20000</v>
      </c>
      <c r="Y243" s="25" t="s">
        <v>1054</v>
      </c>
      <c r="Z243" s="19" t="s">
        <v>51</v>
      </c>
      <c r="AA243" s="19" t="s">
        <v>93</v>
      </c>
      <c r="AC243" s="17" t="str">
        <f t="shared" si="7"/>
        <v>Y</v>
      </c>
      <c r="AD243" s="17" t="s">
        <v>184</v>
      </c>
      <c r="AF243" s="27" t="s">
        <v>55</v>
      </c>
      <c r="AG243" s="27" t="s">
        <v>55</v>
      </c>
      <c r="AI243" s="28" t="s">
        <v>57</v>
      </c>
    </row>
    <row r="244" spans="1:35" ht="34.950000000000003" customHeight="1" x14ac:dyDescent="0.4">
      <c r="A244" s="39" t="s">
        <v>71</v>
      </c>
      <c r="B244" s="39" t="s">
        <v>37</v>
      </c>
      <c r="C244" s="40">
        <v>46001</v>
      </c>
      <c r="D244" s="39" t="s">
        <v>216</v>
      </c>
      <c r="E244" s="39" t="s">
        <v>1049</v>
      </c>
      <c r="F244" s="39">
        <v>27880</v>
      </c>
      <c r="G244" s="41" t="s">
        <v>1050</v>
      </c>
      <c r="H244" s="39" t="s">
        <v>41</v>
      </c>
      <c r="I244" s="42" t="s">
        <v>86</v>
      </c>
      <c r="J244" s="39" t="str">
        <f>IFERROR(VLOOKUP(I244,[1]Sheet1!$A$1:$B$200,2,0),"_")</f>
        <v>HP</v>
      </c>
      <c r="K244" s="42" t="s">
        <v>86</v>
      </c>
      <c r="L244" s="39" t="str">
        <f>IFERROR(VLOOKUP(K244,[1]Sheet1!$A$1:$B$200,2,0),"-")</f>
        <v>HP</v>
      </c>
      <c r="M244" s="42" t="s">
        <v>1051</v>
      </c>
      <c r="N244" s="39" t="str">
        <f>IFERROR(VLOOKUP(M244,[1]Sheet1!$G$2:$H$200,2,0),"-")</f>
        <v>HDMU</v>
      </c>
      <c r="O244" s="41" t="s">
        <v>690</v>
      </c>
      <c r="P244" s="40" t="s">
        <v>690</v>
      </c>
      <c r="Q244" s="43" t="s">
        <v>1055</v>
      </c>
      <c r="R244" s="43"/>
      <c r="S244" s="21" t="str" cm="1">
        <f t="array" ref="S244">IF(
OR(AD244="",ISERROR(AD244)),
"-",
_xlfn.UNIQUE(_xlfn._xlws.FILTER([1]Sheet1!$D$2:$D$200,ISNUMBER(SEARCH(AD244,[1]Sheet1!$D$2:$D$200))))
)</f>
        <v>에스지로지스틱</v>
      </c>
      <c r="T244" s="44" t="s">
        <v>1056</v>
      </c>
      <c r="U244" s="16" t="str" cm="1">
        <f t="array" ref="U244">IF(
OR(AD244="",ISERROR(AD244)),
"-",
_xlfn.UNIQUE(_xlfn._xlws.FILTER([1]Sheet1!$D$2:$D$200,ISNUMBER(SEARCH(AD244,[1]Sheet1!$D$2:$D$200))))
)</f>
        <v>에스지로지스틱</v>
      </c>
      <c r="V244" s="45">
        <v>216000</v>
      </c>
      <c r="W244" s="45">
        <v>196000</v>
      </c>
      <c r="X244" s="45">
        <f t="shared" si="8"/>
        <v>20000</v>
      </c>
      <c r="Y244" s="46" t="s">
        <v>1054</v>
      </c>
      <c r="Z244" s="42" t="s">
        <v>51</v>
      </c>
      <c r="AA244" s="42" t="s">
        <v>93</v>
      </c>
      <c r="AB244" s="41" t="s">
        <v>1057</v>
      </c>
      <c r="AC244" s="40" t="str">
        <f t="shared" si="7"/>
        <v>Y</v>
      </c>
      <c r="AD244" s="40" t="s">
        <v>184</v>
      </c>
      <c r="AE244" s="47"/>
      <c r="AF244" s="48" t="s">
        <v>55</v>
      </c>
      <c r="AG244" s="48" t="s">
        <v>55</v>
      </c>
      <c r="AH244" s="49"/>
      <c r="AI244" s="49" t="s">
        <v>57</v>
      </c>
    </row>
    <row r="245" spans="1:35" s="50" customFormat="1" ht="41.25" customHeight="1" x14ac:dyDescent="0.4">
      <c r="A245" s="50" t="s">
        <v>36</v>
      </c>
      <c r="B245" s="50" t="s">
        <v>37</v>
      </c>
      <c r="C245" s="17">
        <v>46001</v>
      </c>
      <c r="D245" s="21" t="s">
        <v>1058</v>
      </c>
      <c r="E245" s="16" t="s">
        <v>1059</v>
      </c>
      <c r="F245" s="16">
        <v>28755</v>
      </c>
      <c r="G245" s="16" t="s">
        <v>381</v>
      </c>
      <c r="H245" s="50" t="s">
        <v>41</v>
      </c>
      <c r="I245" s="50" t="s">
        <v>861</v>
      </c>
      <c r="J245" s="39" t="str">
        <f>IFERROR(VLOOKUP(I245,[1]Sheet1!$A$1:$B$200,2,0),"_")</f>
        <v>PC</v>
      </c>
      <c r="K245" s="50" t="s">
        <v>861</v>
      </c>
      <c r="L245" s="39" t="str">
        <f>IFERROR(VLOOKUP(K245,[1]Sheet1!$A$1:$B$200,2,0),"-")</f>
        <v>PC</v>
      </c>
      <c r="M245" s="50" t="s">
        <v>251</v>
      </c>
      <c r="N245" s="39" t="str">
        <f>IFERROR(VLOOKUP(M245,[1]Sheet1!$G$2:$H$200,2,0),"-")</f>
        <v>SNKO</v>
      </c>
      <c r="O245" s="41" t="s">
        <v>1060</v>
      </c>
      <c r="P245" s="17">
        <v>46006</v>
      </c>
      <c r="Q245" s="16" t="s">
        <v>1061</v>
      </c>
      <c r="R245" s="20" t="s">
        <v>1062</v>
      </c>
      <c r="S245" s="21" t="str" cm="1">
        <f t="array" ref="S245">IF(
OR(AD245="",ISERROR(AD245)),
"-",
_xlfn.UNIQUE(_xlfn._xlws.FILTER([1]Sheet1!$D$2:$D$200,ISNUMBER(SEARCH(AD245,[1]Sheet1!$D$2:$D$200))))
)</f>
        <v>주식회사 다원로직스</v>
      </c>
      <c r="T245" s="20" t="s">
        <v>1063</v>
      </c>
      <c r="U245" s="16" t="str" cm="1">
        <f t="array" ref="U245">IF(
OR(AD245="",ISERROR(AD245)),
"-",
_xlfn.UNIQUE(_xlfn._xlws.FILTER([1]Sheet1!$D$2:$D$200,ISNUMBER(SEARCH(AD245,[1]Sheet1!$D$2:$D$200))))
)</f>
        <v>주식회사 다원로직스</v>
      </c>
      <c r="V245" s="45">
        <v>400000</v>
      </c>
      <c r="W245" s="45">
        <v>350000</v>
      </c>
      <c r="X245" s="45">
        <f t="shared" si="8"/>
        <v>50000</v>
      </c>
      <c r="Y245" s="51" t="s">
        <v>1064</v>
      </c>
      <c r="Z245" s="16" t="s">
        <v>115</v>
      </c>
      <c r="AA245" s="42" t="s">
        <v>93</v>
      </c>
      <c r="AB245" s="35" t="s">
        <v>1065</v>
      </c>
      <c r="AC245" s="17" t="s">
        <v>1066</v>
      </c>
      <c r="AD245" s="52" t="s">
        <v>552</v>
      </c>
      <c r="AE245" s="53" t="s">
        <v>1067</v>
      </c>
      <c r="AF245" s="54" t="s">
        <v>1068</v>
      </c>
      <c r="AG245" s="54"/>
      <c r="AI245" s="49" t="s">
        <v>57</v>
      </c>
    </row>
    <row r="246" spans="1:35" s="50" customFormat="1" ht="41.25" customHeight="1" x14ac:dyDescent="0.4">
      <c r="A246" s="50" t="s">
        <v>36</v>
      </c>
      <c r="B246" s="50" t="s">
        <v>37</v>
      </c>
      <c r="C246" s="17">
        <v>46001</v>
      </c>
      <c r="D246" s="21" t="s">
        <v>1058</v>
      </c>
      <c r="E246" s="16" t="s">
        <v>1059</v>
      </c>
      <c r="F246" s="16">
        <v>28755</v>
      </c>
      <c r="G246" s="16" t="s">
        <v>381</v>
      </c>
      <c r="H246" s="50" t="s">
        <v>41</v>
      </c>
      <c r="I246" s="50" t="s">
        <v>861</v>
      </c>
      <c r="J246" s="39" t="str">
        <f>IFERROR(VLOOKUP(I246,[1]Sheet1!$A$1:$B$200,2,0),"_")</f>
        <v>PC</v>
      </c>
      <c r="K246" s="50" t="s">
        <v>861</v>
      </c>
      <c r="L246" s="39" t="str">
        <f>IFERROR(VLOOKUP(K246,[1]Sheet1!$A$1:$B$200,2,0),"-")</f>
        <v>PC</v>
      </c>
      <c r="M246" s="50" t="s">
        <v>251</v>
      </c>
      <c r="N246" s="39" t="str">
        <f>IFERROR(VLOOKUP(M246,[1]Sheet1!$G$2:$H$200,2,0),"-")</f>
        <v>SNKO</v>
      </c>
      <c r="O246" s="41" t="s">
        <v>1060</v>
      </c>
      <c r="P246" s="17">
        <v>46006</v>
      </c>
      <c r="Q246" s="16" t="s">
        <v>555</v>
      </c>
      <c r="R246" s="20" t="s">
        <v>1062</v>
      </c>
      <c r="S246" s="21" t="str" cm="1">
        <f t="array" ref="S246">IF(
OR(AD246="",ISERROR(AD246)),
"-",
_xlfn.UNIQUE(_xlfn._xlws.FILTER([1]Sheet1!$D$2:$D$200,ISNUMBER(SEARCH(AD246,[1]Sheet1!$D$2:$D$200))))
)</f>
        <v>주식회사 다원로직스</v>
      </c>
      <c r="T246" s="20" t="s">
        <v>1063</v>
      </c>
      <c r="U246" s="16" t="str" cm="1">
        <f t="array" ref="U246">IF(
OR(AD246="",ISERROR(AD246)),
"-",
_xlfn.UNIQUE(_xlfn._xlws.FILTER([1]Sheet1!$D$2:$D$200,ISNUMBER(SEARCH(AD246,[1]Sheet1!$D$2:$D$200))))
)</f>
        <v>주식회사 다원로직스</v>
      </c>
      <c r="V246" s="45">
        <v>140000</v>
      </c>
      <c r="W246" s="45">
        <v>140000</v>
      </c>
      <c r="X246" s="45">
        <f t="shared" si="8"/>
        <v>0</v>
      </c>
      <c r="Y246" s="51" t="s">
        <v>1064</v>
      </c>
      <c r="Z246" s="16" t="s">
        <v>115</v>
      </c>
      <c r="AA246" s="42" t="s">
        <v>93</v>
      </c>
      <c r="AB246" s="35" t="s">
        <v>1065</v>
      </c>
      <c r="AC246" s="17" t="s">
        <v>1066</v>
      </c>
      <c r="AD246" s="52" t="s">
        <v>552</v>
      </c>
      <c r="AE246" s="53" t="s">
        <v>1067</v>
      </c>
      <c r="AF246" s="54" t="s">
        <v>1068</v>
      </c>
      <c r="AG246" s="54"/>
      <c r="AI246" s="49" t="s">
        <v>57</v>
      </c>
    </row>
    <row r="247" spans="1:35" s="50" customFormat="1" ht="40.799999999999997" customHeight="1" x14ac:dyDescent="0.4">
      <c r="A247" s="55" t="s">
        <v>36</v>
      </c>
      <c r="B247" s="55" t="s">
        <v>37</v>
      </c>
      <c r="C247" s="40">
        <v>46001</v>
      </c>
      <c r="D247" s="56" t="s">
        <v>1058</v>
      </c>
      <c r="E247" s="39" t="s">
        <v>1059</v>
      </c>
      <c r="F247" s="39">
        <v>28755</v>
      </c>
      <c r="G247" s="39" t="s">
        <v>381</v>
      </c>
      <c r="H247" s="55" t="s">
        <v>41</v>
      </c>
      <c r="I247" s="55" t="s">
        <v>861</v>
      </c>
      <c r="J247" s="39" t="str">
        <f>IFERROR(VLOOKUP(I247,[1]Sheet1!$A$1:$B$200,2,0),"_")</f>
        <v>PC</v>
      </c>
      <c r="K247" s="55" t="s">
        <v>861</v>
      </c>
      <c r="L247" s="39" t="str">
        <f>IFERROR(VLOOKUP(K247,[1]Sheet1!$A$1:$B$200,2,0),"-")</f>
        <v>PC</v>
      </c>
      <c r="M247" s="55" t="s">
        <v>251</v>
      </c>
      <c r="N247" s="39" t="str">
        <f>IFERROR(VLOOKUP(M247,[1]Sheet1!$G$2:$H$200,2,0),"-")</f>
        <v>SNKO</v>
      </c>
      <c r="O247" s="41" t="s">
        <v>1060</v>
      </c>
      <c r="P247" s="40">
        <v>46006</v>
      </c>
      <c r="Q247" s="39" t="s">
        <v>1069</v>
      </c>
      <c r="R247" s="43" t="s">
        <v>1062</v>
      </c>
      <c r="S247" s="21" t="str" cm="1">
        <f t="array" ref="S247">IF(
OR(AD247="",ISERROR(AD247)),
"-",
_xlfn.UNIQUE(_xlfn._xlws.FILTER([1]Sheet1!$D$2:$D$200,ISNUMBER(SEARCH(AD247,[1]Sheet1!$D$2:$D$200))))
)</f>
        <v>주식회사 다원로직스</v>
      </c>
      <c r="T247" s="43" t="s">
        <v>1063</v>
      </c>
      <c r="U247" s="16" t="str" cm="1">
        <f t="array" ref="U247">IF(
OR(AD247="",ISERROR(AD247)),
"-",
_xlfn.UNIQUE(_xlfn._xlws.FILTER([1]Sheet1!$D$2:$D$200,ISNUMBER(SEARCH(AD247,[1]Sheet1!$D$2:$D$200))))
)</f>
        <v>주식회사 다원로직스</v>
      </c>
      <c r="V247" s="45">
        <v>50000</v>
      </c>
      <c r="W247" s="45">
        <v>0</v>
      </c>
      <c r="X247" s="45">
        <f t="shared" si="8"/>
        <v>50000</v>
      </c>
      <c r="Y247" s="57" t="s">
        <v>1064</v>
      </c>
      <c r="Z247" s="39" t="s">
        <v>115</v>
      </c>
      <c r="AA247" s="42" t="s">
        <v>93</v>
      </c>
      <c r="AB247" s="58" t="s">
        <v>1065</v>
      </c>
      <c r="AC247" s="40" t="s">
        <v>1066</v>
      </c>
      <c r="AD247" s="59" t="s">
        <v>552</v>
      </c>
      <c r="AE247" s="60" t="s">
        <v>1067</v>
      </c>
      <c r="AF247" s="61" t="s">
        <v>1068</v>
      </c>
      <c r="AG247" s="61"/>
      <c r="AH247" s="55"/>
      <c r="AI247" s="49" t="s">
        <v>57</v>
      </c>
    </row>
    <row r="248" spans="1:35" s="66" customFormat="1" ht="41.25" customHeight="1" x14ac:dyDescent="0.4">
      <c r="A248" s="50" t="s">
        <v>36</v>
      </c>
      <c r="B248" s="19" t="s">
        <v>99</v>
      </c>
      <c r="C248" s="17">
        <v>46001</v>
      </c>
      <c r="D248" s="21" t="s">
        <v>1070</v>
      </c>
      <c r="E248" s="16" t="s">
        <v>1071</v>
      </c>
      <c r="F248" s="16">
        <v>28825</v>
      </c>
      <c r="G248" s="16" t="s">
        <v>1072</v>
      </c>
      <c r="H248" s="16" t="s">
        <v>75</v>
      </c>
      <c r="I248" s="16" t="s">
        <v>1073</v>
      </c>
      <c r="J248" s="16" t="str">
        <f>IFERROR(VLOOKUP(I248,[1]Sheet1!$A$1:$B$200,2,0),"_")</f>
        <v>HWA</v>
      </c>
      <c r="K248" s="50" t="s">
        <v>129</v>
      </c>
      <c r="L248" s="16" t="str">
        <f>IFERROR(VLOOKUP(K248,[1]Sheet1!$A$1:$B$200,2,0),"-")</f>
        <v>E1</v>
      </c>
      <c r="M248" s="50" t="s">
        <v>77</v>
      </c>
      <c r="N248" s="16" t="str">
        <f>IFERROR(VLOOKUP(M248,[1]Sheet1!$G$2:$H$200,2,0),"-")</f>
        <v>KMTC</v>
      </c>
      <c r="O248" s="16" t="s">
        <v>1074</v>
      </c>
      <c r="P248" s="62" t="s">
        <v>1075</v>
      </c>
      <c r="Q248" s="16" t="s">
        <v>1076</v>
      </c>
      <c r="R248" s="62" t="s">
        <v>1077</v>
      </c>
      <c r="S248" s="21" t="str" cm="1">
        <f t="array" ref="S248">IF(
OR(AD248="",ISERROR(AD248)),
"-",
_xlfn.UNIQUE(_xlfn._xlws.FILTER([1]Sheet1!$D$2:$D$200,ISNUMBER(SEARCH(AD248,[1]Sheet1!$D$2:$D$200))))
)</f>
        <v>로지스팟 주식회사</v>
      </c>
      <c r="T248" s="19" t="s">
        <v>1078</v>
      </c>
      <c r="U248" s="16" t="str" cm="1">
        <f t="array" ref="U248">IF(
OR(AD248="",ISERROR(AD248)),
"-",
_xlfn.UNIQUE(_xlfn._xlws.FILTER([1]Sheet1!$D$2:$D$200,ISNUMBER(SEARCH(AD248,[1]Sheet1!$D$2:$D$200))))
)</f>
        <v>로지스팟 주식회사</v>
      </c>
      <c r="V248" s="45">
        <v>280000</v>
      </c>
      <c r="W248" s="45">
        <v>250000</v>
      </c>
      <c r="X248" s="45">
        <f t="shared" si="8"/>
        <v>30000</v>
      </c>
      <c r="Y248" s="63" t="s">
        <v>1079</v>
      </c>
      <c r="Z248" s="16" t="s">
        <v>115</v>
      </c>
      <c r="AA248" s="42" t="s">
        <v>93</v>
      </c>
      <c r="AB248" s="35" t="s">
        <v>1080</v>
      </c>
      <c r="AC248" s="17" t="s">
        <v>1066</v>
      </c>
      <c r="AD248" s="64" t="s">
        <v>833</v>
      </c>
      <c r="AE248" s="64" t="s">
        <v>1081</v>
      </c>
      <c r="AF248" s="65" t="s">
        <v>1082</v>
      </c>
      <c r="AG248" s="62"/>
      <c r="AH248" s="16"/>
      <c r="AI248" s="49" t="s">
        <v>57</v>
      </c>
    </row>
    <row r="249" spans="1:35" s="67" customFormat="1" ht="41.25" customHeight="1" x14ac:dyDescent="0.4">
      <c r="A249" s="50" t="s">
        <v>36</v>
      </c>
      <c r="B249" s="19" t="s">
        <v>99</v>
      </c>
      <c r="C249" s="17">
        <v>46001</v>
      </c>
      <c r="D249" s="21" t="s">
        <v>1070</v>
      </c>
      <c r="E249" s="16" t="s">
        <v>1071</v>
      </c>
      <c r="F249" s="16">
        <v>28825</v>
      </c>
      <c r="G249" s="16" t="s">
        <v>1072</v>
      </c>
      <c r="H249" s="16" t="s">
        <v>75</v>
      </c>
      <c r="I249" s="16" t="s">
        <v>1073</v>
      </c>
      <c r="J249" s="16" t="str">
        <f>IFERROR(VLOOKUP(I249,[1]Sheet1!$A$1:$B$200,2,0),"_")</f>
        <v>HWA</v>
      </c>
      <c r="K249" s="50" t="s">
        <v>129</v>
      </c>
      <c r="L249" s="16" t="str">
        <f>IFERROR(VLOOKUP(K249,[1]Sheet1!$A$1:$B$200,2,0),"-")</f>
        <v>E1</v>
      </c>
      <c r="M249" s="50" t="s">
        <v>77</v>
      </c>
      <c r="N249" s="16" t="str">
        <f>IFERROR(VLOOKUP(M249,[1]Sheet1!$G$2:$H$200,2,0),"-")</f>
        <v>KMTC</v>
      </c>
      <c r="O249" s="16" t="s">
        <v>1074</v>
      </c>
      <c r="P249" s="62" t="s">
        <v>1075</v>
      </c>
      <c r="Q249" s="16" t="s">
        <v>1061</v>
      </c>
      <c r="R249" s="20" t="s">
        <v>1083</v>
      </c>
      <c r="S249" s="21" t="str" cm="1">
        <f t="array" ref="S249">IF(
OR(AD249="",ISERROR(AD249)),
"-",
_xlfn.UNIQUE(_xlfn._xlws.FILTER([1]Sheet1!$D$2:$D$200,ISNUMBER(SEARCH(AD249,[1]Sheet1!$D$2:$D$200))))
)</f>
        <v>(주)세광물류</v>
      </c>
      <c r="T249" s="19" t="s">
        <v>1078</v>
      </c>
      <c r="U249" s="16" t="str" cm="1">
        <f t="array" ref="U249">IF(
OR(AD249="",ISERROR(AD249)),
"-",
_xlfn.UNIQUE(_xlfn._xlws.FILTER([1]Sheet1!$D$2:$D$200,ISNUMBER(SEARCH(AD249,[1]Sheet1!$D$2:$D$200))))
)</f>
        <v>(주)세광물류</v>
      </c>
      <c r="V249" s="45">
        <v>150000</v>
      </c>
      <c r="W249" s="45">
        <v>130000</v>
      </c>
      <c r="X249" s="45">
        <f t="shared" si="8"/>
        <v>20000</v>
      </c>
      <c r="Y249" s="63" t="s">
        <v>1084</v>
      </c>
      <c r="Z249" s="16" t="s">
        <v>115</v>
      </c>
      <c r="AA249" s="42" t="s">
        <v>93</v>
      </c>
      <c r="AB249" s="35" t="s">
        <v>1080</v>
      </c>
      <c r="AC249" s="17" t="s">
        <v>1066</v>
      </c>
      <c r="AD249" s="64" t="s">
        <v>1085</v>
      </c>
      <c r="AE249" s="64" t="s">
        <v>1081</v>
      </c>
      <c r="AF249" s="65" t="s">
        <v>1082</v>
      </c>
      <c r="AG249" s="62"/>
      <c r="AH249" s="50"/>
      <c r="AI249" s="49" t="s">
        <v>57</v>
      </c>
    </row>
    <row r="250" spans="1:35" s="67" customFormat="1" ht="41.25" customHeight="1" x14ac:dyDescent="0.4">
      <c r="A250" s="50" t="s">
        <v>36</v>
      </c>
      <c r="B250" s="19" t="s">
        <v>99</v>
      </c>
      <c r="C250" s="17">
        <v>46001</v>
      </c>
      <c r="D250" s="21" t="s">
        <v>1070</v>
      </c>
      <c r="E250" s="16" t="s">
        <v>1071</v>
      </c>
      <c r="F250" s="16">
        <v>28825</v>
      </c>
      <c r="G250" s="16" t="s">
        <v>1072</v>
      </c>
      <c r="H250" s="16" t="s">
        <v>75</v>
      </c>
      <c r="I250" s="16" t="s">
        <v>1073</v>
      </c>
      <c r="J250" s="16" t="str">
        <f>IFERROR(VLOOKUP(I250,[1]Sheet1!$A$1:$B$200,2,0),"_")</f>
        <v>HWA</v>
      </c>
      <c r="K250" s="50" t="s">
        <v>129</v>
      </c>
      <c r="L250" s="16" t="str">
        <f>IFERROR(VLOOKUP(K250,[1]Sheet1!$A$1:$B$200,2,0),"-")</f>
        <v>E1</v>
      </c>
      <c r="M250" s="50" t="s">
        <v>77</v>
      </c>
      <c r="N250" s="16" t="str">
        <f>IFERROR(VLOOKUP(M250,[1]Sheet1!$G$2:$H$200,2,0),"-")</f>
        <v>KMTC</v>
      </c>
      <c r="O250" s="16" t="s">
        <v>1074</v>
      </c>
      <c r="P250" s="62" t="s">
        <v>1075</v>
      </c>
      <c r="Q250" s="16" t="s">
        <v>555</v>
      </c>
      <c r="R250" s="20" t="s">
        <v>1083</v>
      </c>
      <c r="S250" s="21" t="str" cm="1">
        <f t="array" ref="S250">IF(
OR(AD250="",ISERROR(AD250)),
"-",
_xlfn.UNIQUE(_xlfn._xlws.FILTER([1]Sheet1!$D$2:$D$200,ISNUMBER(SEARCH(AD250,[1]Sheet1!$D$2:$D$200))))
)</f>
        <v>(주)세광물류</v>
      </c>
      <c r="T250" s="19" t="s">
        <v>1078</v>
      </c>
      <c r="U250" s="16" t="str" cm="1">
        <f t="array" ref="U250">IF(
OR(AD250="",ISERROR(AD250)),
"-",
_xlfn.UNIQUE(_xlfn._xlws.FILTER([1]Sheet1!$D$2:$D$200,ISNUMBER(SEARCH(AD250,[1]Sheet1!$D$2:$D$200))))
)</f>
        <v>(주)세광물류</v>
      </c>
      <c r="V250" s="45">
        <v>70000</v>
      </c>
      <c r="W250" s="45">
        <v>50000</v>
      </c>
      <c r="X250" s="45">
        <f t="shared" si="8"/>
        <v>20000</v>
      </c>
      <c r="Y250" s="63" t="s">
        <v>1084</v>
      </c>
      <c r="Z250" s="16" t="s">
        <v>115</v>
      </c>
      <c r="AA250" s="42" t="s">
        <v>93</v>
      </c>
      <c r="AB250" s="35" t="s">
        <v>1080</v>
      </c>
      <c r="AC250" s="17" t="s">
        <v>1066</v>
      </c>
      <c r="AD250" s="64" t="s">
        <v>1085</v>
      </c>
      <c r="AE250" s="64" t="s">
        <v>1081</v>
      </c>
      <c r="AF250" s="65" t="s">
        <v>1082</v>
      </c>
      <c r="AG250" s="62"/>
      <c r="AH250" s="50"/>
      <c r="AI250" s="49" t="s">
        <v>57</v>
      </c>
    </row>
    <row r="251" spans="1:35" s="67" customFormat="1" ht="41.25" customHeight="1" x14ac:dyDescent="0.4">
      <c r="A251" s="50" t="s">
        <v>36</v>
      </c>
      <c r="B251" s="19" t="s">
        <v>99</v>
      </c>
      <c r="C251" s="17">
        <v>46001</v>
      </c>
      <c r="D251" s="21" t="s">
        <v>1070</v>
      </c>
      <c r="E251" s="16" t="s">
        <v>1071</v>
      </c>
      <c r="F251" s="16">
        <v>28825</v>
      </c>
      <c r="G251" s="16" t="s">
        <v>1072</v>
      </c>
      <c r="H251" s="16" t="s">
        <v>75</v>
      </c>
      <c r="I251" s="16" t="s">
        <v>1073</v>
      </c>
      <c r="J251" s="16" t="str">
        <f>IFERROR(VLOOKUP(I251,[1]Sheet1!$A$1:$B$200,2,0),"_")</f>
        <v>HWA</v>
      </c>
      <c r="K251" s="50" t="s">
        <v>129</v>
      </c>
      <c r="L251" s="16" t="str">
        <f>IFERROR(VLOOKUP(K251,[1]Sheet1!$A$1:$B$200,2,0),"-")</f>
        <v>E1</v>
      </c>
      <c r="M251" s="50" t="s">
        <v>77</v>
      </c>
      <c r="N251" s="16" t="str">
        <f>IFERROR(VLOOKUP(M251,[1]Sheet1!$G$2:$H$200,2,0),"-")</f>
        <v>KMTC</v>
      </c>
      <c r="O251" s="16" t="s">
        <v>1074</v>
      </c>
      <c r="P251" s="62" t="s">
        <v>1075</v>
      </c>
      <c r="Q251" s="16" t="s">
        <v>293</v>
      </c>
      <c r="R251" s="20" t="s">
        <v>1083</v>
      </c>
      <c r="S251" s="21" t="str" cm="1">
        <f t="array" ref="S251">IF(
OR(AD251="",ISERROR(AD251)),
"-",
_xlfn.UNIQUE(_xlfn._xlws.FILTER([1]Sheet1!$D$2:$D$200,ISNUMBER(SEARCH(AD251,[1]Sheet1!$D$2:$D$200))))
)</f>
        <v>(주)세광물류</v>
      </c>
      <c r="T251" s="19" t="s">
        <v>1078</v>
      </c>
      <c r="U251" s="16" t="str" cm="1">
        <f t="array" ref="U251">IF(
OR(AD251="",ISERROR(AD251)),
"-",
_xlfn.UNIQUE(_xlfn._xlws.FILTER([1]Sheet1!$D$2:$D$200,ISNUMBER(SEARCH(AD251,[1]Sheet1!$D$2:$D$200))))
)</f>
        <v>(주)세광물류</v>
      </c>
      <c r="V251" s="45">
        <v>140000</v>
      </c>
      <c r="W251" s="45">
        <v>125500</v>
      </c>
      <c r="X251" s="45">
        <f t="shared" si="8"/>
        <v>14500</v>
      </c>
      <c r="Y251" s="63" t="s">
        <v>1084</v>
      </c>
      <c r="Z251" s="16" t="s">
        <v>115</v>
      </c>
      <c r="AA251" s="42" t="s">
        <v>93</v>
      </c>
      <c r="AB251" s="35" t="s">
        <v>1080</v>
      </c>
      <c r="AC251" s="17" t="s">
        <v>1066</v>
      </c>
      <c r="AD251" s="64" t="s">
        <v>1085</v>
      </c>
      <c r="AE251" s="64" t="s">
        <v>1081</v>
      </c>
      <c r="AF251" s="65" t="s">
        <v>1082</v>
      </c>
      <c r="AG251" s="62"/>
      <c r="AH251" s="50"/>
      <c r="AI251" s="49" t="s">
        <v>57</v>
      </c>
    </row>
    <row r="252" spans="1:35" ht="34.950000000000003" customHeight="1" x14ac:dyDescent="0.4">
      <c r="A252" s="16" t="s">
        <v>71</v>
      </c>
      <c r="B252" s="16" t="s">
        <v>37</v>
      </c>
      <c r="C252" s="17">
        <v>46002</v>
      </c>
      <c r="D252" s="16" t="s">
        <v>855</v>
      </c>
      <c r="E252" s="16" t="s">
        <v>934</v>
      </c>
      <c r="F252" s="16">
        <v>27147</v>
      </c>
      <c r="G252" s="18" t="s">
        <v>935</v>
      </c>
      <c r="H252" s="16" t="s">
        <v>41</v>
      </c>
      <c r="I252" s="19" t="s">
        <v>86</v>
      </c>
      <c r="J252" s="16" t="str">
        <f>IFERROR(VLOOKUP(I252,[1]Sheet1!$A$1:$B$200,2,0),"_")</f>
        <v>HP</v>
      </c>
      <c r="K252" s="19" t="s">
        <v>1086</v>
      </c>
      <c r="L252" s="16" t="s">
        <v>1087</v>
      </c>
      <c r="M252" s="19" t="s">
        <v>689</v>
      </c>
      <c r="N252" s="16" t="str">
        <f>IFERROR(VLOOKUP(M252,[1]Sheet1!$G$2:$H$200,2,0),"-")</f>
        <v>NSSL</v>
      </c>
      <c r="O252" s="18" t="s">
        <v>690</v>
      </c>
      <c r="P252" s="17" t="s">
        <v>690</v>
      </c>
      <c r="Q252" s="20" t="s">
        <v>1088</v>
      </c>
      <c r="R252" s="20"/>
      <c r="S252" s="21" t="str" cm="1">
        <f t="array" ref="S252">IF(
OR(AD252="",ISERROR(AD252)),
"-",
_xlfn.UNIQUE(_xlfn._xlws.FILTER([1]Sheet1!$D$2:$D$200,ISNUMBER(SEARCH(AD252,[1]Sheet1!$D$2:$D$200))))
)</f>
        <v>(주)부강에너지</v>
      </c>
      <c r="T252" s="22" t="s">
        <v>1089</v>
      </c>
      <c r="U252" s="16" t="str" cm="1">
        <f t="array" ref="U252">IF(
OR(AD252="",ISERROR(AD252)),
"-",
_xlfn.UNIQUE(_xlfn._xlws.FILTER([1]Sheet1!$D$2:$D$200,ISNUMBER(SEARCH(AD252,[1]Sheet1!$D$2:$D$200))))
)</f>
        <v>(주)부강에너지</v>
      </c>
      <c r="V252" s="23">
        <v>750000</v>
      </c>
      <c r="W252" s="23">
        <v>709700</v>
      </c>
      <c r="X252" s="23">
        <f t="shared" si="8"/>
        <v>40300</v>
      </c>
      <c r="Y252" s="25" t="s">
        <v>1090</v>
      </c>
      <c r="Z252" s="42" t="s">
        <v>51</v>
      </c>
      <c r="AA252" s="19" t="s">
        <v>144</v>
      </c>
      <c r="AB252" s="18" t="s">
        <v>1091</v>
      </c>
      <c r="AC252" s="17" t="str">
        <f t="shared" ref="AC252:AC286" si="9">IF(AI252="ㅇ", "Y", IF(Z252="강다영", "", "Y"))</f>
        <v>Y</v>
      </c>
      <c r="AD252" s="17" t="s">
        <v>197</v>
      </c>
      <c r="AE252" s="26">
        <v>0.375</v>
      </c>
      <c r="AF252" s="27" t="s">
        <v>690</v>
      </c>
      <c r="AG252" s="27" t="s">
        <v>690</v>
      </c>
      <c r="AI252" s="49" t="s">
        <v>57</v>
      </c>
    </row>
    <row r="253" spans="1:35" ht="34.950000000000003" customHeight="1" x14ac:dyDescent="0.4">
      <c r="A253" s="16" t="s">
        <v>71</v>
      </c>
      <c r="B253" s="16" t="s">
        <v>37</v>
      </c>
      <c r="C253" s="17">
        <v>46002</v>
      </c>
      <c r="D253" s="16" t="s">
        <v>855</v>
      </c>
      <c r="E253" s="16" t="s">
        <v>934</v>
      </c>
      <c r="F253" s="16">
        <v>27147</v>
      </c>
      <c r="G253" s="18" t="s">
        <v>935</v>
      </c>
      <c r="H253" s="16" t="s">
        <v>41</v>
      </c>
      <c r="I253" s="19" t="s">
        <v>86</v>
      </c>
      <c r="J253" s="16" t="str">
        <f>IFERROR(VLOOKUP(I253,[1]Sheet1!$A$1:$B$200,2,0),"_")</f>
        <v>HP</v>
      </c>
      <c r="K253" s="19" t="s">
        <v>1086</v>
      </c>
      <c r="L253" s="16" t="s">
        <v>1087</v>
      </c>
      <c r="M253" s="19" t="s">
        <v>689</v>
      </c>
      <c r="N253" s="16" t="str">
        <f>IFERROR(VLOOKUP(M253,[1]Sheet1!$G$2:$H$200,2,0),"-")</f>
        <v>NSSL</v>
      </c>
      <c r="O253" s="18" t="s">
        <v>690</v>
      </c>
      <c r="P253" s="17" t="s">
        <v>690</v>
      </c>
      <c r="Q253" s="20" t="s">
        <v>1088</v>
      </c>
      <c r="R253" s="20"/>
      <c r="S253" s="21" t="str" cm="1">
        <f t="array" ref="S253">IF(
OR(AD253="",ISERROR(AD253)),
"-",
_xlfn.UNIQUE(_xlfn._xlws.FILTER([1]Sheet1!$D$2:$D$200,ISNUMBER(SEARCH(AD253,[1]Sheet1!$D$2:$D$200))))
)</f>
        <v>(주)부강에너지</v>
      </c>
      <c r="T253" s="22" t="s">
        <v>1089</v>
      </c>
      <c r="U253" s="16" t="str" cm="1">
        <f t="array" ref="U253">IF(
OR(AD253="",ISERROR(AD253)),
"-",
_xlfn.UNIQUE(_xlfn._xlws.FILTER([1]Sheet1!$D$2:$D$200,ISNUMBER(SEARCH(AD253,[1]Sheet1!$D$2:$D$200))))
)</f>
        <v>(주)부강에너지</v>
      </c>
      <c r="V253" s="23">
        <v>135000</v>
      </c>
      <c r="W253" s="23">
        <v>135000</v>
      </c>
      <c r="X253" s="23">
        <f t="shared" si="8"/>
        <v>0</v>
      </c>
      <c r="Y253" s="25" t="s">
        <v>1092</v>
      </c>
      <c r="Z253" s="42" t="s">
        <v>51</v>
      </c>
      <c r="AA253" s="19" t="s">
        <v>144</v>
      </c>
      <c r="AB253" s="18" t="s">
        <v>1091</v>
      </c>
      <c r="AC253" s="17" t="str">
        <f t="shared" si="9"/>
        <v>Y</v>
      </c>
      <c r="AD253" s="17" t="s">
        <v>197</v>
      </c>
      <c r="AE253" s="26">
        <v>0.375</v>
      </c>
      <c r="AF253" s="27" t="s">
        <v>690</v>
      </c>
      <c r="AG253" s="27" t="s">
        <v>690</v>
      </c>
      <c r="AI253" s="49" t="s">
        <v>57</v>
      </c>
    </row>
    <row r="254" spans="1:35" ht="34.950000000000003" customHeight="1" x14ac:dyDescent="0.4">
      <c r="A254" s="16" t="s">
        <v>36</v>
      </c>
      <c r="B254" s="16" t="s">
        <v>37</v>
      </c>
      <c r="C254" s="17">
        <v>46002</v>
      </c>
      <c r="D254" s="16" t="s">
        <v>229</v>
      </c>
      <c r="E254" s="16" t="s">
        <v>229</v>
      </c>
      <c r="F254" s="16">
        <v>3641</v>
      </c>
      <c r="G254" s="18" t="s">
        <v>230</v>
      </c>
      <c r="H254" s="16" t="s">
        <v>41</v>
      </c>
      <c r="I254" s="19" t="s">
        <v>137</v>
      </c>
      <c r="J254" s="16" t="str">
        <f>IFERROR(VLOOKUP(I254,[1]Sheet1!$A$1:$B$200,2,0),"_")</f>
        <v>BE</v>
      </c>
      <c r="K254" s="19" t="s">
        <v>42</v>
      </c>
      <c r="L254" s="16" t="str">
        <f>IFERROR(VLOOKUP(K254,[1]Sheet1!$A$1:$B$200,2,0),"-")</f>
        <v>P</v>
      </c>
      <c r="M254" s="19" t="s">
        <v>191</v>
      </c>
      <c r="N254" s="16" t="str">
        <f>IFERROR(VLOOKUP(M254,[1]Sheet1!$G$2:$H$200,2,0),"-")</f>
        <v>HASL</v>
      </c>
      <c r="O254" s="27" t="s">
        <v>1093</v>
      </c>
      <c r="P254" s="17">
        <v>46006</v>
      </c>
      <c r="Q254" s="20" t="s">
        <v>1094</v>
      </c>
      <c r="R254" s="20" t="s">
        <v>1095</v>
      </c>
      <c r="S254" s="21" t="str" cm="1">
        <f t="array" ref="S254">IF(
OR(AD254="",ISERROR(AD254)),
"-",
_xlfn.UNIQUE(_xlfn._xlws.FILTER([1]Sheet1!$D$2:$D$200,ISNUMBER(SEARCH(AD254,[1]Sheet1!$D$2:$D$200))))
)</f>
        <v>양양운수(주)</v>
      </c>
      <c r="T254" s="22" t="s">
        <v>1096</v>
      </c>
      <c r="U254" s="16" t="str" cm="1">
        <f t="array" ref="U254">IF(
OR(AD254="",ISERROR(AD254)),
"-",
_xlfn.UNIQUE(_xlfn._xlws.FILTER([1]Sheet1!$D$2:$D$200,ISNUMBER(SEARCH(AD254,[1]Sheet1!$D$2:$D$200))))
)</f>
        <v>양양운수(주)</v>
      </c>
      <c r="V254" s="23">
        <v>860000</v>
      </c>
      <c r="W254" s="24">
        <v>774300</v>
      </c>
      <c r="X254" s="23">
        <f t="shared" si="8"/>
        <v>85700</v>
      </c>
      <c r="Y254" s="25" t="s">
        <v>1097</v>
      </c>
      <c r="Z254" s="42" t="s">
        <v>51</v>
      </c>
      <c r="AA254" s="19" t="s">
        <v>81</v>
      </c>
      <c r="AB254" s="18" t="s">
        <v>1098</v>
      </c>
      <c r="AC254" s="17" t="str">
        <f t="shared" si="9"/>
        <v>Y</v>
      </c>
      <c r="AD254" s="17" t="s">
        <v>619</v>
      </c>
      <c r="AF254" s="27" t="s">
        <v>690</v>
      </c>
      <c r="AG254" s="27" t="s">
        <v>690</v>
      </c>
      <c r="AI254" s="49" t="s">
        <v>57</v>
      </c>
    </row>
    <row r="255" spans="1:35" ht="34.950000000000003" customHeight="1" x14ac:dyDescent="0.4">
      <c r="A255" s="16" t="s">
        <v>36</v>
      </c>
      <c r="B255" s="16" t="s">
        <v>37</v>
      </c>
      <c r="C255" s="17">
        <v>46002</v>
      </c>
      <c r="D255" s="16" t="s">
        <v>72</v>
      </c>
      <c r="E255" s="16" t="s">
        <v>1099</v>
      </c>
      <c r="F255" s="16">
        <v>13305</v>
      </c>
      <c r="G255" s="18" t="s">
        <v>1100</v>
      </c>
      <c r="H255" s="16" t="s">
        <v>41</v>
      </c>
      <c r="I255" s="19" t="s">
        <v>137</v>
      </c>
      <c r="J255" s="16" t="str">
        <f>IFERROR(VLOOKUP(I255,[1]Sheet1!$A$1:$B$200,2,0),"_")</f>
        <v>BE</v>
      </c>
      <c r="K255" s="19" t="s">
        <v>317</v>
      </c>
      <c r="L255" s="16" t="str">
        <f>IFERROR(VLOOKUP(K255,[1]Sheet1!$A$1:$B$200,2,0),"-")</f>
        <v>HN</v>
      </c>
      <c r="M255" s="19" t="s">
        <v>87</v>
      </c>
      <c r="N255" s="16" t="str">
        <f>IFERROR(VLOOKUP(M255,[1]Sheet1!$G$2:$H$200,2,0),"-")</f>
        <v>HDMU</v>
      </c>
      <c r="O255" s="18" t="s">
        <v>1101</v>
      </c>
      <c r="P255" s="17">
        <v>46007</v>
      </c>
      <c r="Q255" s="20" t="s">
        <v>1102</v>
      </c>
      <c r="R255" s="20" t="s">
        <v>1103</v>
      </c>
      <c r="S255" s="21" t="str" cm="1">
        <f t="array" ref="S255">IF(
OR(AD255="",ISERROR(AD255)),
"-",
_xlfn.UNIQUE(_xlfn._xlws.FILTER([1]Sheet1!$D$2:$D$200,ISNUMBER(SEARCH(AD255,[1]Sheet1!$D$2:$D$200))))
)</f>
        <v>양양운수(주)</v>
      </c>
      <c r="T255" s="22" t="s">
        <v>351</v>
      </c>
      <c r="U255" s="16" t="str" cm="1">
        <f t="array" ref="U255">IF(
OR(AD255="",ISERROR(AD255)),
"-",
_xlfn.UNIQUE(_xlfn._xlws.FILTER([1]Sheet1!$D$2:$D$200,ISNUMBER(SEARCH(AD255,[1]Sheet1!$D$2:$D$200))))
)</f>
        <v>양양운수(주)</v>
      </c>
      <c r="V255" s="23">
        <v>750000</v>
      </c>
      <c r="W255" s="23">
        <v>702600</v>
      </c>
      <c r="X255" s="23">
        <f t="shared" si="8"/>
        <v>47400</v>
      </c>
      <c r="Y255" s="25" t="s">
        <v>1104</v>
      </c>
      <c r="Z255" s="42" t="s">
        <v>51</v>
      </c>
      <c r="AA255" s="19" t="s">
        <v>81</v>
      </c>
      <c r="AB255" s="18" t="s">
        <v>1105</v>
      </c>
      <c r="AC255" s="17" t="str">
        <f t="shared" si="9"/>
        <v>Y</v>
      </c>
      <c r="AD255" s="17" t="s">
        <v>238</v>
      </c>
      <c r="AE255" s="26">
        <v>0.41666666666666669</v>
      </c>
      <c r="AF255" s="27" t="s">
        <v>690</v>
      </c>
      <c r="AG255" s="27" t="s">
        <v>690</v>
      </c>
      <c r="AI255" s="49" t="s">
        <v>57</v>
      </c>
    </row>
    <row r="256" spans="1:35" ht="34.950000000000003" customHeight="1" x14ac:dyDescent="0.4">
      <c r="A256" s="16" t="s">
        <v>36</v>
      </c>
      <c r="B256" s="16" t="s">
        <v>37</v>
      </c>
      <c r="C256" s="17">
        <v>46002</v>
      </c>
      <c r="D256" s="16" t="s">
        <v>325</v>
      </c>
      <c r="E256" s="16" t="s">
        <v>1106</v>
      </c>
      <c r="F256" s="16">
        <v>13881</v>
      </c>
      <c r="G256" s="18" t="s">
        <v>1107</v>
      </c>
      <c r="H256" s="16" t="s">
        <v>41</v>
      </c>
      <c r="I256" s="19" t="s">
        <v>328</v>
      </c>
      <c r="J256" s="16" t="str">
        <f>IFERROR(VLOOKUP(I256,[1]Sheet1!$A$1:$B$200,2,0),"_")</f>
        <v>BT</v>
      </c>
      <c r="K256" s="19" t="s">
        <v>328</v>
      </c>
      <c r="L256" s="16" t="str">
        <f>IFERROR(VLOOKUP(K256,[1]Sheet1!$A$1:$B$200,2,0),"-")</f>
        <v>BT</v>
      </c>
      <c r="M256" s="19" t="s">
        <v>211</v>
      </c>
      <c r="N256" s="16" t="str">
        <f>IFERROR(VLOOKUP(M256,[1]Sheet1!$G$2:$H$200,2,0),"-")</f>
        <v>SITC</v>
      </c>
      <c r="O256" s="18" t="s">
        <v>1108</v>
      </c>
      <c r="P256" s="17">
        <v>46004</v>
      </c>
      <c r="Q256" s="20" t="s">
        <v>1109</v>
      </c>
      <c r="R256" s="20" t="s">
        <v>1110</v>
      </c>
      <c r="S256" s="21" t="str" cm="1">
        <f t="array" ref="S256">IF(
OR(AD256="",ISERROR(AD256)),
"-",
_xlfn.UNIQUE(_xlfn._xlws.FILTER([1]Sheet1!$D$2:$D$200,ISNUMBER(SEARCH(AD256,[1]Sheet1!$D$2:$D$200))))
)</f>
        <v>에스지로지스틱</v>
      </c>
      <c r="T256" s="22" t="s">
        <v>1111</v>
      </c>
      <c r="U256" s="16" t="str" cm="1">
        <f t="array" ref="U256">IF(
OR(AD256="",ISERROR(AD256)),
"-",
_xlfn.UNIQUE(_xlfn._xlws.FILTER([1]Sheet1!$D$2:$D$200,ISNUMBER(SEARCH(AD256,[1]Sheet1!$D$2:$D$200))))
)</f>
        <v>에스지로지스틱</v>
      </c>
      <c r="V256" s="23">
        <v>510000</v>
      </c>
      <c r="W256" s="23">
        <v>369000</v>
      </c>
      <c r="X256" s="23">
        <f t="shared" si="8"/>
        <v>141000</v>
      </c>
      <c r="Y256" s="25" t="s">
        <v>1112</v>
      </c>
      <c r="Z256" s="42" t="s">
        <v>51</v>
      </c>
      <c r="AA256" s="19" t="s">
        <v>93</v>
      </c>
      <c r="AB256" s="18" t="s">
        <v>1113</v>
      </c>
      <c r="AC256" s="17" t="str">
        <f t="shared" si="9"/>
        <v>Y</v>
      </c>
      <c r="AD256" s="17" t="s">
        <v>184</v>
      </c>
      <c r="AF256" s="27" t="s">
        <v>690</v>
      </c>
      <c r="AG256" s="27" t="s">
        <v>690</v>
      </c>
      <c r="AI256" s="49" t="s">
        <v>57</v>
      </c>
    </row>
    <row r="257" spans="1:35" ht="34.950000000000003" customHeight="1" x14ac:dyDescent="0.4">
      <c r="A257" s="16" t="s">
        <v>36</v>
      </c>
      <c r="B257" s="16" t="s">
        <v>37</v>
      </c>
      <c r="C257" s="17">
        <v>46002</v>
      </c>
      <c r="D257" s="16" t="s">
        <v>83</v>
      </c>
      <c r="E257" s="16" t="s">
        <v>545</v>
      </c>
      <c r="F257" s="16">
        <v>22902</v>
      </c>
      <c r="G257" s="18" t="s">
        <v>546</v>
      </c>
      <c r="H257" s="16" t="s">
        <v>41</v>
      </c>
      <c r="I257" s="19" t="s">
        <v>1006</v>
      </c>
      <c r="J257" s="16" t="str">
        <f>IFERROR(VLOOKUP(I257,[1]Sheet1!$A$2:$B$166,2,0),"_")</f>
        <v>PC</v>
      </c>
      <c r="K257" s="19" t="s">
        <v>381</v>
      </c>
      <c r="L257" s="16" t="str">
        <f>IFERROR(VLOOKUP(K257,[1]Sheet1!$A$2:$B$166,2,0),"-")</f>
        <v>PT</v>
      </c>
      <c r="M257" s="19" t="s">
        <v>273</v>
      </c>
      <c r="N257" s="16" t="str">
        <f>IFERROR(VLOOKUP(M257,[1]Sheet1!$G$2:$H$200,2,0),"-")</f>
        <v>DJSC</v>
      </c>
      <c r="O257" s="18" t="s">
        <v>1114</v>
      </c>
      <c r="P257" s="17">
        <v>46006</v>
      </c>
      <c r="Q257" s="20" t="s">
        <v>1115</v>
      </c>
      <c r="R257" s="20" t="s">
        <v>1116</v>
      </c>
      <c r="S257" s="21" t="str" cm="1">
        <f t="array" ref="S257">IF(
OR(AD257="",ISERROR(AD257)),
"-",
_xlfn.UNIQUE(_xlfn._xlws.FILTER([1]Sheet1!$D$2:$D$200,ISNUMBER(SEARCH(AD257,[1]Sheet1!$D$2:$D$200))))
)</f>
        <v>주식회사 다원로직스</v>
      </c>
      <c r="T257" s="33" t="s">
        <v>1117</v>
      </c>
      <c r="U257" s="16" t="str" cm="1">
        <f t="array" ref="U257">IF(
OR(AD257="",ISERROR(AD257)),
"-",
_xlfn.UNIQUE(_xlfn._xlws.FILTER([1]Sheet1!$D$2:$D$200,ISNUMBER(SEARCH(AD257,[1]Sheet1!$D$2:$D$200))))
)</f>
        <v>주식회사 다원로직스</v>
      </c>
      <c r="V257" s="23">
        <v>240000</v>
      </c>
      <c r="W257" s="23">
        <v>200000</v>
      </c>
      <c r="X257" s="23">
        <f t="shared" si="8"/>
        <v>40000</v>
      </c>
      <c r="Y257" s="25" t="s">
        <v>866</v>
      </c>
      <c r="Z257" s="42" t="s">
        <v>51</v>
      </c>
      <c r="AA257" s="19" t="s">
        <v>93</v>
      </c>
      <c r="AC257" s="17" t="str">
        <f t="shared" si="9"/>
        <v>Y</v>
      </c>
      <c r="AD257" s="17" t="s">
        <v>867</v>
      </c>
      <c r="AF257" s="27" t="s">
        <v>690</v>
      </c>
      <c r="AG257" s="27" t="s">
        <v>690</v>
      </c>
      <c r="AI257" s="49" t="s">
        <v>57</v>
      </c>
    </row>
    <row r="258" spans="1:35" ht="34.950000000000003" customHeight="1" x14ac:dyDescent="0.4">
      <c r="A258" s="16" t="s">
        <v>36</v>
      </c>
      <c r="B258" s="16" t="s">
        <v>37</v>
      </c>
      <c r="C258" s="17">
        <v>46002</v>
      </c>
      <c r="D258" s="16" t="s">
        <v>83</v>
      </c>
      <c r="E258" s="16" t="s">
        <v>545</v>
      </c>
      <c r="F258" s="16">
        <v>22902</v>
      </c>
      <c r="G258" s="18" t="s">
        <v>546</v>
      </c>
      <c r="H258" s="16" t="s">
        <v>41</v>
      </c>
      <c r="I258" s="19" t="s">
        <v>1006</v>
      </c>
      <c r="J258" s="16" t="str">
        <f>IFERROR(VLOOKUP(I258,[1]Sheet1!$A$2:$B$166,2,0),"_")</f>
        <v>PC</v>
      </c>
      <c r="K258" s="19" t="s">
        <v>381</v>
      </c>
      <c r="L258" s="16" t="str">
        <f>IFERROR(VLOOKUP(K258,[1]Sheet1!$A$2:$B$166,2,0),"-")</f>
        <v>PT</v>
      </c>
      <c r="M258" s="19" t="s">
        <v>273</v>
      </c>
      <c r="N258" s="16" t="str">
        <f>IFERROR(VLOOKUP(M258,[1]Sheet1!$G$2:$H$200,2,0),"-")</f>
        <v>DJSC</v>
      </c>
      <c r="O258" s="18" t="s">
        <v>1118</v>
      </c>
      <c r="P258" s="17">
        <v>46006</v>
      </c>
      <c r="Q258" s="20" t="s">
        <v>1119</v>
      </c>
      <c r="R258" s="20" t="s">
        <v>1120</v>
      </c>
      <c r="S258" s="21" t="str" cm="1">
        <f t="array" ref="S258">IF(
OR(AD258="",ISERROR(AD258)),
"-",
_xlfn.UNIQUE(_xlfn._xlws.FILTER([1]Sheet1!$D$2:$D$200,ISNUMBER(SEARCH(AD258,[1]Sheet1!$D$2:$D$200))))
)</f>
        <v>주식회사 다원로직스</v>
      </c>
      <c r="T258" s="33" t="s">
        <v>1121</v>
      </c>
      <c r="U258" s="16" t="str" cm="1">
        <f t="array" ref="U258">IF(
OR(AD258="",ISERROR(AD258)),
"-",
_xlfn.UNIQUE(_xlfn._xlws.FILTER([1]Sheet1!$D$2:$D$200,ISNUMBER(SEARCH(AD258,[1]Sheet1!$D$2:$D$200))))
)</f>
        <v>주식회사 다원로직스</v>
      </c>
      <c r="V258" s="23">
        <v>240000</v>
      </c>
      <c r="W258" s="23">
        <v>200000</v>
      </c>
      <c r="X258" s="23">
        <f t="shared" si="8"/>
        <v>40000</v>
      </c>
      <c r="Y258" s="25" t="s">
        <v>866</v>
      </c>
      <c r="Z258" s="42" t="s">
        <v>51</v>
      </c>
      <c r="AA258" s="19" t="s">
        <v>93</v>
      </c>
      <c r="AC258" s="17" t="str">
        <f t="shared" si="9"/>
        <v>Y</v>
      </c>
      <c r="AD258" s="17" t="s">
        <v>552</v>
      </c>
      <c r="AF258" s="27" t="s">
        <v>690</v>
      </c>
      <c r="AG258" s="27" t="s">
        <v>690</v>
      </c>
      <c r="AI258" s="49" t="s">
        <v>57</v>
      </c>
    </row>
    <row r="259" spans="1:35" ht="34.950000000000003" customHeight="1" x14ac:dyDescent="0.4">
      <c r="A259" s="16" t="s">
        <v>36</v>
      </c>
      <c r="B259" s="16" t="s">
        <v>37</v>
      </c>
      <c r="C259" s="17">
        <v>46002</v>
      </c>
      <c r="D259" s="16" t="s">
        <v>83</v>
      </c>
      <c r="E259" s="16" t="s">
        <v>545</v>
      </c>
      <c r="F259" s="16">
        <v>22902</v>
      </c>
      <c r="G259" s="18" t="s">
        <v>546</v>
      </c>
      <c r="H259" s="16" t="s">
        <v>41</v>
      </c>
      <c r="I259" s="19" t="s">
        <v>1006</v>
      </c>
      <c r="J259" s="16" t="str">
        <f>IFERROR(VLOOKUP(I259,[1]Sheet1!$A$2:$B$166,2,0),"_")</f>
        <v>PC</v>
      </c>
      <c r="K259" s="19" t="s">
        <v>381</v>
      </c>
      <c r="L259" s="16" t="str">
        <f>IFERROR(VLOOKUP(K259,[1]Sheet1!$A$2:$B$166,2,0),"-")</f>
        <v>PT</v>
      </c>
      <c r="M259" s="19" t="s">
        <v>273</v>
      </c>
      <c r="N259" s="16" t="str">
        <f>IFERROR(VLOOKUP(M259,[1]Sheet1!$G$2:$H$200,2,0),"-")</f>
        <v>DJSC</v>
      </c>
      <c r="O259" s="18" t="s">
        <v>1007</v>
      </c>
      <c r="P259" s="17">
        <v>46006</v>
      </c>
      <c r="Q259" s="20" t="s">
        <v>1122</v>
      </c>
      <c r="R259" s="20" t="s">
        <v>1123</v>
      </c>
      <c r="S259" s="21" t="str" cm="1">
        <f t="array" ref="S259">IF(
OR(AD259="",ISERROR(AD259)),
"-",
_xlfn.UNIQUE(_xlfn._xlws.FILTER([1]Sheet1!$D$2:$D$200,ISNUMBER(SEARCH(AD259,[1]Sheet1!$D$2:$D$200))))
)</f>
        <v>주식회사 다원로직스</v>
      </c>
      <c r="T259" s="22" t="s">
        <v>873</v>
      </c>
      <c r="U259" s="16" t="str" cm="1">
        <f t="array" ref="U259">IF(
OR(AD259="",ISERROR(AD259)),
"-",
_xlfn.UNIQUE(_xlfn._xlws.FILTER([1]Sheet1!$D$2:$D$200,ISNUMBER(SEARCH(AD259,[1]Sheet1!$D$2:$D$200))))
)</f>
        <v>주식회사 다원로직스</v>
      </c>
      <c r="V259" s="23">
        <v>200000</v>
      </c>
      <c r="W259" s="23">
        <v>200000</v>
      </c>
      <c r="X259" s="23">
        <f t="shared" si="8"/>
        <v>0</v>
      </c>
      <c r="Y259" s="25" t="s">
        <v>866</v>
      </c>
      <c r="Z259" s="42" t="s">
        <v>51</v>
      </c>
      <c r="AA259" s="19" t="s">
        <v>93</v>
      </c>
      <c r="AC259" s="17" t="str">
        <f t="shared" si="9"/>
        <v>Y</v>
      </c>
      <c r="AD259" s="17" t="s">
        <v>867</v>
      </c>
      <c r="AF259" s="27" t="s">
        <v>690</v>
      </c>
      <c r="AG259" s="27" t="s">
        <v>690</v>
      </c>
      <c r="AI259" s="49" t="s">
        <v>57</v>
      </c>
    </row>
    <row r="260" spans="1:35" ht="34.950000000000003" customHeight="1" x14ac:dyDescent="0.4">
      <c r="A260" s="16" t="s">
        <v>36</v>
      </c>
      <c r="B260" s="16" t="s">
        <v>37</v>
      </c>
      <c r="C260" s="17">
        <v>46002</v>
      </c>
      <c r="D260" s="16" t="s">
        <v>83</v>
      </c>
      <c r="E260" s="16" t="s">
        <v>545</v>
      </c>
      <c r="F260" s="16">
        <v>22902</v>
      </c>
      <c r="G260" s="18" t="s">
        <v>546</v>
      </c>
      <c r="H260" s="16" t="s">
        <v>41</v>
      </c>
      <c r="I260" s="19" t="s">
        <v>1006</v>
      </c>
      <c r="J260" s="16" t="str">
        <f>IFERROR(VLOOKUP(I260,[1]Sheet1!$A$2:$B$166,2,0),"_")</f>
        <v>PC</v>
      </c>
      <c r="K260" s="19" t="s">
        <v>381</v>
      </c>
      <c r="L260" s="16" t="str">
        <f>IFERROR(VLOOKUP(K260,[1]Sheet1!$A$2:$B$166,2,0),"-")</f>
        <v>PT</v>
      </c>
      <c r="M260" s="19" t="s">
        <v>273</v>
      </c>
      <c r="N260" s="16" t="str">
        <f>IFERROR(VLOOKUP(M260,[1]Sheet1!$G$2:$H$200,2,0),"-")</f>
        <v>DJSC</v>
      </c>
      <c r="O260" s="18" t="s">
        <v>1011</v>
      </c>
      <c r="P260" s="17">
        <v>46006</v>
      </c>
      <c r="Q260" s="20" t="s">
        <v>1124</v>
      </c>
      <c r="R260" s="20" t="s">
        <v>1123</v>
      </c>
      <c r="S260" s="21" t="str" cm="1">
        <f t="array" ref="S260">IF(
OR(AD260="",ISERROR(AD260)),
"-",
_xlfn.UNIQUE(_xlfn._xlws.FILTER([1]Sheet1!$D$2:$D$200,ISNUMBER(SEARCH(AD260,[1]Sheet1!$D$2:$D$200))))
)</f>
        <v>주식회사 다원로직스</v>
      </c>
      <c r="T260" s="22" t="s">
        <v>873</v>
      </c>
      <c r="U260" s="16" t="str" cm="1">
        <f t="array" ref="U260">IF(
OR(AD260="",ISERROR(AD260)),
"-",
_xlfn.UNIQUE(_xlfn._xlws.FILTER([1]Sheet1!$D$2:$D$200,ISNUMBER(SEARCH(AD260,[1]Sheet1!$D$2:$D$200))))
)</f>
        <v>주식회사 다원로직스</v>
      </c>
      <c r="V260" s="23">
        <v>0</v>
      </c>
      <c r="W260" s="23">
        <v>0</v>
      </c>
      <c r="X260" s="23">
        <f t="shared" si="8"/>
        <v>0</v>
      </c>
      <c r="Y260" s="25" t="s">
        <v>866</v>
      </c>
      <c r="Z260" s="42" t="s">
        <v>51</v>
      </c>
      <c r="AA260" s="19" t="s">
        <v>93</v>
      </c>
      <c r="AB260" s="18" t="s">
        <v>1125</v>
      </c>
      <c r="AC260" s="17" t="str">
        <f t="shared" si="9"/>
        <v>Y</v>
      </c>
      <c r="AD260" s="17" t="s">
        <v>552</v>
      </c>
      <c r="AF260" s="27" t="s">
        <v>690</v>
      </c>
      <c r="AG260" s="27" t="s">
        <v>690</v>
      </c>
      <c r="AI260" s="49" t="s">
        <v>57</v>
      </c>
    </row>
    <row r="261" spans="1:35" ht="34.950000000000003" customHeight="1" x14ac:dyDescent="0.4">
      <c r="A261" s="16" t="s">
        <v>36</v>
      </c>
      <c r="B261" s="16" t="s">
        <v>99</v>
      </c>
      <c r="C261" s="17">
        <v>46002</v>
      </c>
      <c r="D261" s="16" t="s">
        <v>216</v>
      </c>
      <c r="E261" s="16" t="s">
        <v>217</v>
      </c>
      <c r="F261" s="16">
        <v>26907</v>
      </c>
      <c r="G261" s="18" t="s">
        <v>1126</v>
      </c>
      <c r="H261" s="16" t="s">
        <v>711</v>
      </c>
      <c r="I261" s="19" t="s">
        <v>219</v>
      </c>
      <c r="J261" s="16" t="str">
        <f>IFERROR(VLOOKUP(I261,[1]Sheet1!$A$1:$B$200,2,0),"_")</f>
        <v>NN</v>
      </c>
      <c r="K261" s="19" t="s">
        <v>220</v>
      </c>
      <c r="L261" s="16">
        <f>IFERROR(VLOOKUP(K261,[1]Sheet1!$A$1:$B$200,2,0),"-")</f>
        <v>81</v>
      </c>
      <c r="M261" s="19" t="s">
        <v>221</v>
      </c>
      <c r="N261" s="16" t="str">
        <f>IFERROR(VLOOKUP(M261,[1]Sheet1!$G$2:$H$200,2,0),"-")</f>
        <v>DOOW</v>
      </c>
      <c r="O261" s="18" t="s">
        <v>1127</v>
      </c>
      <c r="P261" s="17">
        <v>46003</v>
      </c>
      <c r="Q261" s="20" t="s">
        <v>1128</v>
      </c>
      <c r="R261" s="20" t="s">
        <v>1129</v>
      </c>
      <c r="S261" s="21" t="str" cm="1">
        <f t="array" ref="S261">IF(
OR(AD261="",ISERROR(AD261)),
"-",
_xlfn.UNIQUE(_xlfn._xlws.FILTER([1]Sheet1!$D$2:$D$200,ISNUMBER(SEARCH(AD261,[1]Sheet1!$D$2:$D$200))))
)</f>
        <v>태성종합물류</v>
      </c>
      <c r="T261" s="22" t="s">
        <v>1130</v>
      </c>
      <c r="U261" s="16" t="str" cm="1">
        <f t="array" ref="U261">IF(
OR(AD261="",ISERROR(AD261)),
"-",
_xlfn.UNIQUE(_xlfn._xlws.FILTER([1]Sheet1!$D$2:$D$200,ISNUMBER(SEARCH(AD261,[1]Sheet1!$D$2:$D$200))))
)</f>
        <v>태성종합물류</v>
      </c>
      <c r="V261" s="23">
        <v>247000</v>
      </c>
      <c r="W261" s="24">
        <v>229700</v>
      </c>
      <c r="X261" s="23">
        <f t="shared" si="8"/>
        <v>17300</v>
      </c>
      <c r="Y261" s="25" t="s">
        <v>1131</v>
      </c>
      <c r="Z261" s="42" t="s">
        <v>51</v>
      </c>
      <c r="AA261" s="19" t="s">
        <v>93</v>
      </c>
      <c r="AB261" s="18" t="s">
        <v>1132</v>
      </c>
      <c r="AC261" s="17" t="str">
        <f t="shared" si="9"/>
        <v>Y</v>
      </c>
      <c r="AD261" s="17" t="s">
        <v>82</v>
      </c>
      <c r="AE261" s="26">
        <v>0.375</v>
      </c>
      <c r="AF261" s="27" t="s">
        <v>690</v>
      </c>
      <c r="AG261" s="27" t="s">
        <v>690</v>
      </c>
      <c r="AI261" s="49" t="s">
        <v>57</v>
      </c>
    </row>
    <row r="262" spans="1:35" ht="34.950000000000003" customHeight="1" x14ac:dyDescent="0.4">
      <c r="A262" s="16" t="s">
        <v>36</v>
      </c>
      <c r="B262" s="16" t="s">
        <v>99</v>
      </c>
      <c r="C262" s="17">
        <v>46002</v>
      </c>
      <c r="D262" s="16" t="s">
        <v>216</v>
      </c>
      <c r="E262" s="16" t="s">
        <v>217</v>
      </c>
      <c r="F262" s="16">
        <v>26907</v>
      </c>
      <c r="G262" s="18" t="s">
        <v>1126</v>
      </c>
      <c r="H262" s="16" t="s">
        <v>711</v>
      </c>
      <c r="I262" s="19" t="s">
        <v>219</v>
      </c>
      <c r="J262" s="16" t="str">
        <f>IFERROR(VLOOKUP(I262,[1]Sheet1!$A$1:$B$200,2,0),"_")</f>
        <v>NN</v>
      </c>
      <c r="K262" s="19" t="s">
        <v>220</v>
      </c>
      <c r="L262" s="16">
        <f>IFERROR(VLOOKUP(K262,[1]Sheet1!$A$1:$B$200,2,0),"-")</f>
        <v>81</v>
      </c>
      <c r="M262" s="19" t="s">
        <v>221</v>
      </c>
      <c r="N262" s="16" t="str">
        <f>IFERROR(VLOOKUP(M262,[1]Sheet1!$G$2:$H$200,2,0),"-")</f>
        <v>DOOW</v>
      </c>
      <c r="O262" s="18" t="s">
        <v>1127</v>
      </c>
      <c r="P262" s="17">
        <v>46003</v>
      </c>
      <c r="Q262" s="20" t="s">
        <v>1128</v>
      </c>
      <c r="R262" s="20" t="s">
        <v>1129</v>
      </c>
      <c r="S262" s="21" t="str" cm="1">
        <f t="array" ref="S262">IF(
OR(AD262="",ISERROR(AD262)),
"-",
_xlfn.UNIQUE(_xlfn._xlws.FILTER([1]Sheet1!$D$2:$D$200,ISNUMBER(SEARCH(AD262,[1]Sheet1!$D$2:$D$200))))
)</f>
        <v>태성종합물류</v>
      </c>
      <c r="T262" s="22" t="s">
        <v>1130</v>
      </c>
      <c r="U262" s="16" t="str" cm="1">
        <f t="array" ref="U262">IF(
OR(AD262="",ISERROR(AD262)),
"-",
_xlfn.UNIQUE(_xlfn._xlws.FILTER([1]Sheet1!$D$2:$D$200,ISNUMBER(SEARCH(AD262,[1]Sheet1!$D$2:$D$200))))
)</f>
        <v>태성종합물류</v>
      </c>
      <c r="V262" s="23">
        <v>10000</v>
      </c>
      <c r="W262" s="24">
        <v>10000</v>
      </c>
      <c r="X262" s="23">
        <f t="shared" si="8"/>
        <v>0</v>
      </c>
      <c r="Y262" s="25" t="s">
        <v>1133</v>
      </c>
      <c r="Z262" s="42" t="s">
        <v>51</v>
      </c>
      <c r="AA262" s="19" t="s">
        <v>93</v>
      </c>
      <c r="AC262" s="17" t="str">
        <f t="shared" si="9"/>
        <v>Y</v>
      </c>
      <c r="AD262" s="17" t="s">
        <v>82</v>
      </c>
      <c r="AE262" s="26">
        <v>0.375</v>
      </c>
      <c r="AF262" s="27" t="s">
        <v>690</v>
      </c>
      <c r="AG262" s="27" t="s">
        <v>690</v>
      </c>
      <c r="AI262" s="49" t="s">
        <v>57</v>
      </c>
    </row>
    <row r="263" spans="1:35" ht="34.950000000000003" customHeight="1" x14ac:dyDescent="0.4">
      <c r="A263" s="16" t="s">
        <v>36</v>
      </c>
      <c r="B263" s="16" t="s">
        <v>37</v>
      </c>
      <c r="C263" s="17">
        <v>46002</v>
      </c>
      <c r="D263" s="16" t="s">
        <v>248</v>
      </c>
      <c r="E263" s="16" t="s">
        <v>1034</v>
      </c>
      <c r="F263" s="16">
        <v>27062</v>
      </c>
      <c r="G263" s="18" t="s">
        <v>1134</v>
      </c>
      <c r="H263" s="16" t="s">
        <v>75</v>
      </c>
      <c r="I263" s="19" t="s">
        <v>219</v>
      </c>
      <c r="J263" s="16" t="str">
        <f>IFERROR(VLOOKUP(I263,[1]Sheet1!$A$1:$B$200,2,0),"_")</f>
        <v>NN</v>
      </c>
      <c r="K263" s="19" t="s">
        <v>730</v>
      </c>
      <c r="L263" s="16" t="str">
        <f>IFERROR(VLOOKUP(K263,[1]Sheet1!$A$1:$B$200,2,0),"-")</f>
        <v>TG</v>
      </c>
      <c r="M263" s="19" t="s">
        <v>566</v>
      </c>
      <c r="N263" s="16" t="str">
        <f>IFERROR(VLOOKUP(M263,[1]Sheet1!$G$2:$H$200,2,0),"-")</f>
        <v>WHLU</v>
      </c>
      <c r="O263" s="18" t="s">
        <v>1135</v>
      </c>
      <c r="P263" s="17">
        <v>46001</v>
      </c>
      <c r="Q263" s="20" t="s">
        <v>1136</v>
      </c>
      <c r="R263" s="20" t="s">
        <v>1137</v>
      </c>
      <c r="S263" s="21" t="str" cm="1">
        <f t="array" ref="S263">IF(
OR(AD263="",ISERROR(AD263)),
"-",
_xlfn.UNIQUE(_xlfn._xlws.FILTER([1]Sheet1!$D$2:$D$200,ISNUMBER(SEARCH(AD263,[1]Sheet1!$D$2:$D$200))))
)</f>
        <v>천일정기화물</v>
      </c>
      <c r="T263" s="22" t="s">
        <v>1138</v>
      </c>
      <c r="U263" s="16" t="str" cm="1">
        <f t="array" ref="U263">IF(
OR(AD263="",ISERROR(AD263)),
"-",
_xlfn.UNIQUE(_xlfn._xlws.FILTER([1]Sheet1!$D$2:$D$200,ISNUMBER(SEARCH(AD263,[1]Sheet1!$D$2:$D$200))))
)</f>
        <v>천일정기화물</v>
      </c>
      <c r="V263" s="23">
        <v>609000</v>
      </c>
      <c r="W263" s="23">
        <v>574700</v>
      </c>
      <c r="X263" s="23">
        <f t="shared" si="8"/>
        <v>34300</v>
      </c>
      <c r="Y263" s="25" t="s">
        <v>1139</v>
      </c>
      <c r="Z263" s="42" t="s">
        <v>51</v>
      </c>
      <c r="AA263" s="19" t="s">
        <v>144</v>
      </c>
      <c r="AB263" s="18" t="s">
        <v>240</v>
      </c>
      <c r="AC263" s="17" t="str">
        <f t="shared" si="9"/>
        <v>Y</v>
      </c>
      <c r="AD263" s="17" t="s">
        <v>737</v>
      </c>
      <c r="AE263" s="26">
        <v>0.375</v>
      </c>
      <c r="AF263" s="27" t="s">
        <v>690</v>
      </c>
      <c r="AG263" s="27" t="s">
        <v>690</v>
      </c>
      <c r="AI263" s="49" t="s">
        <v>57</v>
      </c>
    </row>
    <row r="264" spans="1:35" ht="34.950000000000003" customHeight="1" x14ac:dyDescent="0.4">
      <c r="A264" s="16" t="s">
        <v>36</v>
      </c>
      <c r="B264" s="16" t="s">
        <v>37</v>
      </c>
      <c r="C264" s="17">
        <v>46002</v>
      </c>
      <c r="D264" s="16" t="s">
        <v>248</v>
      </c>
      <c r="E264" s="16" t="s">
        <v>1034</v>
      </c>
      <c r="F264" s="16">
        <v>27062</v>
      </c>
      <c r="G264" s="18" t="s">
        <v>1134</v>
      </c>
      <c r="H264" s="16" t="s">
        <v>75</v>
      </c>
      <c r="I264" s="19" t="s">
        <v>219</v>
      </c>
      <c r="J264" s="16" t="str">
        <f>IFERROR(VLOOKUP(I264,[1]Sheet1!$A$1:$B$200,2,0),"_")</f>
        <v>NN</v>
      </c>
      <c r="K264" s="19" t="s">
        <v>730</v>
      </c>
      <c r="L264" s="16" t="str">
        <f>IFERROR(VLOOKUP(K264,[1]Sheet1!$A$1:$B$200,2,0),"-")</f>
        <v>TG</v>
      </c>
      <c r="M264" s="19" t="s">
        <v>566</v>
      </c>
      <c r="N264" s="16" t="str">
        <f>IFERROR(VLOOKUP(M264,[1]Sheet1!$G$2:$H$200,2,0),"-")</f>
        <v>WHLU</v>
      </c>
      <c r="O264" s="18" t="s">
        <v>1135</v>
      </c>
      <c r="P264" s="17">
        <v>46001</v>
      </c>
      <c r="Q264" s="20" t="s">
        <v>1136</v>
      </c>
      <c r="R264" s="20" t="s">
        <v>1137</v>
      </c>
      <c r="S264" s="21" t="str" cm="1">
        <f t="array" ref="S264">IF(
OR(AD264="",ISERROR(AD264)),
"-",
_xlfn.UNIQUE(_xlfn._xlws.FILTER([1]Sheet1!$D$2:$D$200,ISNUMBER(SEARCH(AD264,[1]Sheet1!$D$2:$D$200))))
)</f>
        <v>천일정기화물</v>
      </c>
      <c r="T264" s="22" t="s">
        <v>1138</v>
      </c>
      <c r="U264" s="16" t="str" cm="1">
        <f t="array" ref="U264">IF(
OR(AD264="",ISERROR(AD264)),
"-",
_xlfn.UNIQUE(_xlfn._xlws.FILTER([1]Sheet1!$D$2:$D$200,ISNUMBER(SEARCH(AD264,[1]Sheet1!$D$2:$D$200))))
)</f>
        <v>천일정기화물</v>
      </c>
      <c r="V264" s="23">
        <v>100000</v>
      </c>
      <c r="W264" s="23">
        <v>100000</v>
      </c>
      <c r="X264" s="23">
        <f t="shared" si="8"/>
        <v>0</v>
      </c>
      <c r="Y264" s="25" t="s">
        <v>1140</v>
      </c>
      <c r="Z264" s="42" t="s">
        <v>51</v>
      </c>
      <c r="AA264" s="19" t="s">
        <v>144</v>
      </c>
      <c r="AC264" s="17" t="str">
        <f t="shared" si="9"/>
        <v>Y</v>
      </c>
      <c r="AD264" s="17" t="s">
        <v>737</v>
      </c>
      <c r="AE264" s="26">
        <v>0.375</v>
      </c>
      <c r="AF264" s="27" t="s">
        <v>690</v>
      </c>
      <c r="AG264" s="27" t="s">
        <v>690</v>
      </c>
      <c r="AI264" s="49" t="s">
        <v>57</v>
      </c>
    </row>
    <row r="265" spans="1:35" ht="34.950000000000003" customHeight="1" x14ac:dyDescent="0.4">
      <c r="A265" s="16" t="s">
        <v>36</v>
      </c>
      <c r="B265" s="16" t="s">
        <v>37</v>
      </c>
      <c r="C265" s="17">
        <v>46002</v>
      </c>
      <c r="D265" s="16" t="s">
        <v>248</v>
      </c>
      <c r="E265" s="16" t="s">
        <v>1034</v>
      </c>
      <c r="F265" s="16">
        <v>27062</v>
      </c>
      <c r="G265" s="18" t="s">
        <v>1134</v>
      </c>
      <c r="H265" s="16" t="s">
        <v>75</v>
      </c>
      <c r="I265" s="19" t="s">
        <v>219</v>
      </c>
      <c r="J265" s="16" t="str">
        <f>IFERROR(VLOOKUP(I265,[1]Sheet1!$A$1:$B$200,2,0),"_")</f>
        <v>NN</v>
      </c>
      <c r="K265" s="19" t="s">
        <v>730</v>
      </c>
      <c r="L265" s="16" t="str">
        <f>IFERROR(VLOOKUP(K265,[1]Sheet1!$A$1:$B$200,2,0),"-")</f>
        <v>TG</v>
      </c>
      <c r="M265" s="19" t="s">
        <v>566</v>
      </c>
      <c r="N265" s="16" t="str">
        <f>IFERROR(VLOOKUP(M265,[1]Sheet1!$G$2:$H$200,2,0),"-")</f>
        <v>WHLU</v>
      </c>
      <c r="O265" s="18" t="s">
        <v>1135</v>
      </c>
      <c r="P265" s="17">
        <v>46001</v>
      </c>
      <c r="Q265" s="20" t="s">
        <v>1136</v>
      </c>
      <c r="R265" s="20" t="s">
        <v>1137</v>
      </c>
      <c r="S265" s="21" t="str" cm="1">
        <f t="array" ref="S265">IF(
OR(AD265="",ISERROR(AD265)),
"-",
_xlfn.UNIQUE(_xlfn._xlws.FILTER([1]Sheet1!$D$2:$D$200,ISNUMBER(SEARCH(AD265,[1]Sheet1!$D$2:$D$200))))
)</f>
        <v>천일정기화물</v>
      </c>
      <c r="T265" s="22" t="s">
        <v>1138</v>
      </c>
      <c r="U265" s="16" t="str" cm="1">
        <f t="array" ref="U265">IF(
OR(AD265="",ISERROR(AD265)),
"-",
_xlfn.UNIQUE(_xlfn._xlws.FILTER([1]Sheet1!$D$2:$D$200,ISNUMBER(SEARCH(AD265,[1]Sheet1!$D$2:$D$200))))
)</f>
        <v>천일정기화물</v>
      </c>
      <c r="V265" s="23">
        <v>10000</v>
      </c>
      <c r="W265" s="23">
        <v>10000</v>
      </c>
      <c r="X265" s="23">
        <f t="shared" si="8"/>
        <v>0</v>
      </c>
      <c r="Y265" s="25" t="s">
        <v>1141</v>
      </c>
      <c r="Z265" s="42" t="s">
        <v>51</v>
      </c>
      <c r="AA265" s="19" t="s">
        <v>144</v>
      </c>
      <c r="AC265" s="17" t="str">
        <f t="shared" si="9"/>
        <v>Y</v>
      </c>
      <c r="AD265" s="17" t="s">
        <v>737</v>
      </c>
      <c r="AE265" s="26">
        <v>0.375</v>
      </c>
      <c r="AF265" s="27" t="s">
        <v>690</v>
      </c>
      <c r="AG265" s="27" t="s">
        <v>690</v>
      </c>
      <c r="AI265" s="49" t="s">
        <v>57</v>
      </c>
    </row>
    <row r="266" spans="1:35" ht="34.950000000000003" customHeight="1" x14ac:dyDescent="0.4">
      <c r="A266" s="16" t="s">
        <v>36</v>
      </c>
      <c r="B266" s="16" t="s">
        <v>37</v>
      </c>
      <c r="C266" s="17">
        <v>46002</v>
      </c>
      <c r="D266" s="16" t="s">
        <v>248</v>
      </c>
      <c r="E266" s="16" t="s">
        <v>536</v>
      </c>
      <c r="F266" s="16">
        <v>18967</v>
      </c>
      <c r="G266" s="18" t="s">
        <v>1142</v>
      </c>
      <c r="H266" s="16" t="s">
        <v>59</v>
      </c>
      <c r="I266" s="19" t="s">
        <v>538</v>
      </c>
      <c r="J266" s="16" t="str">
        <f>IFERROR(VLOOKUP(I266,[1]Sheet1!$A$1:$B$200,2,0),"_")</f>
        <v>OS</v>
      </c>
      <c r="K266" s="19" t="s">
        <v>730</v>
      </c>
      <c r="L266" s="16" t="str">
        <f>IFERROR(VLOOKUP(K266,[1]Sheet1!$A$1:$B$200,2,0),"-")</f>
        <v>TG</v>
      </c>
      <c r="M266" s="19" t="s">
        <v>566</v>
      </c>
      <c r="N266" s="16" t="str">
        <f>IFERROR(VLOOKUP(M266,[1]Sheet1!$G$2:$H$200,2,0),"-")</f>
        <v>WHLU</v>
      </c>
      <c r="O266" s="18" t="s">
        <v>1143</v>
      </c>
      <c r="P266" s="17">
        <v>46006</v>
      </c>
      <c r="Q266" s="20" t="s">
        <v>799</v>
      </c>
      <c r="R266" s="20"/>
      <c r="S266" s="21" t="str" cm="1">
        <f t="array" ref="S266">IF(
OR(AD266="",ISERROR(AD266)),
"-",
_xlfn.UNIQUE(_xlfn._xlws.FILTER([1]Sheet1!$D$2:$D$200,ISNUMBER(SEARCH(AD266,[1]Sheet1!$D$2:$D$200))))
)</f>
        <v>(주)유진로직스</v>
      </c>
      <c r="T266" s="22" t="s">
        <v>1144</v>
      </c>
      <c r="U266" s="16" t="str" cm="1">
        <f t="array" ref="U266">IF(
OR(AD266="",ISERROR(AD266)),
"-",
_xlfn.UNIQUE(_xlfn._xlws.FILTER([1]Sheet1!$D$2:$D$200,ISNUMBER(SEARCH(AD266,[1]Sheet1!$D$2:$D$200))))
)</f>
        <v>(주)유진로직스</v>
      </c>
      <c r="V266" s="23">
        <v>550000</v>
      </c>
      <c r="W266" s="23">
        <v>530000</v>
      </c>
      <c r="X266" s="23">
        <f t="shared" si="8"/>
        <v>20000</v>
      </c>
      <c r="Y266" s="25" t="s">
        <v>1145</v>
      </c>
      <c r="Z266" s="42" t="s">
        <v>51</v>
      </c>
      <c r="AA266" s="19" t="s">
        <v>144</v>
      </c>
      <c r="AB266" s="18" t="s">
        <v>1146</v>
      </c>
      <c r="AC266" s="17" t="str">
        <f t="shared" si="9"/>
        <v>Y</v>
      </c>
      <c r="AD266" s="17" t="s">
        <v>70</v>
      </c>
      <c r="AF266" s="27">
        <v>46002</v>
      </c>
      <c r="AG266" s="27" t="s">
        <v>1147</v>
      </c>
      <c r="AI266" s="49" t="s">
        <v>57</v>
      </c>
    </row>
    <row r="267" spans="1:35" ht="34.950000000000003" customHeight="1" x14ac:dyDescent="0.4">
      <c r="A267" s="16" t="s">
        <v>36</v>
      </c>
      <c r="B267" s="16" t="s">
        <v>99</v>
      </c>
      <c r="C267" s="17">
        <v>46002</v>
      </c>
      <c r="D267" s="16" t="s">
        <v>464</v>
      </c>
      <c r="E267" s="16" t="s">
        <v>1148</v>
      </c>
      <c r="F267" s="16">
        <v>28817</v>
      </c>
      <c r="G267" s="18" t="s">
        <v>1149</v>
      </c>
      <c r="H267" s="16" t="s">
        <v>75</v>
      </c>
      <c r="I267" s="19" t="s">
        <v>201</v>
      </c>
      <c r="J267" s="16" t="str">
        <f>IFERROR(VLOOKUP(I267,[1]Sheet1!$A$1:$B$200,2,0),"_")</f>
        <v>Y25</v>
      </c>
      <c r="K267" s="19" t="s">
        <v>201</v>
      </c>
      <c r="L267" s="16" t="str">
        <f>IFERROR(VLOOKUP(K267,[1]Sheet1!$A$1:$B$200,2,0),"-")</f>
        <v>Y25</v>
      </c>
      <c r="M267" s="19" t="s">
        <v>530</v>
      </c>
      <c r="N267" s="16" t="str">
        <f>IFERROR(VLOOKUP(M267,[1]Sheet1!$G$2:$H$200,2,0),"-")</f>
        <v>YMLU</v>
      </c>
      <c r="O267" s="18" t="s">
        <v>1150</v>
      </c>
      <c r="P267" s="17">
        <v>46005</v>
      </c>
      <c r="Q267" s="20" t="s">
        <v>1151</v>
      </c>
      <c r="R267" s="20" t="s">
        <v>1152</v>
      </c>
      <c r="S267" s="21" t="str" cm="1">
        <f t="array" ref="S267">IF(
OR(AD267="",ISERROR(AD267)),
"-",
_xlfn.UNIQUE(_xlfn._xlws.FILTER([1]Sheet1!$D$2:$D$200,ISNUMBER(SEARCH(AD267,[1]Sheet1!$D$2:$D$200))))
)</f>
        <v>태성종합물류</v>
      </c>
      <c r="T267" s="22" t="s">
        <v>1153</v>
      </c>
      <c r="U267" s="16" t="str" cm="1">
        <f t="array" ref="U267">IF(
OR(AD267="",ISERROR(AD267)),
"-",
_xlfn.UNIQUE(_xlfn._xlws.FILTER([1]Sheet1!$D$2:$D$200,ISNUMBER(SEARCH(AD267,[1]Sheet1!$D$2:$D$200))))
)</f>
        <v>태성종합물류</v>
      </c>
      <c r="V267" s="23">
        <v>390000</v>
      </c>
      <c r="W267" s="23">
        <v>364900</v>
      </c>
      <c r="X267" s="23">
        <f t="shared" si="8"/>
        <v>25100</v>
      </c>
      <c r="Y267" s="25" t="s">
        <v>1154</v>
      </c>
      <c r="Z267" s="42" t="s">
        <v>51</v>
      </c>
      <c r="AA267" s="19" t="s">
        <v>472</v>
      </c>
      <c r="AB267" s="18" t="s">
        <v>1155</v>
      </c>
      <c r="AC267" s="17" t="str">
        <f t="shared" si="9"/>
        <v>Y</v>
      </c>
      <c r="AD267" s="17" t="s">
        <v>82</v>
      </c>
      <c r="AE267" s="26">
        <v>0.58333333333333337</v>
      </c>
      <c r="AF267" s="27" t="s">
        <v>690</v>
      </c>
      <c r="AG267" s="27" t="s">
        <v>690</v>
      </c>
      <c r="AI267" s="49" t="s">
        <v>57</v>
      </c>
    </row>
    <row r="268" spans="1:35" ht="34.950000000000003" customHeight="1" x14ac:dyDescent="0.4">
      <c r="A268" s="16" t="s">
        <v>36</v>
      </c>
      <c r="B268" s="16" t="s">
        <v>37</v>
      </c>
      <c r="C268" s="17">
        <v>46002</v>
      </c>
      <c r="D268" s="16" t="s">
        <v>248</v>
      </c>
      <c r="E268" s="16" t="s">
        <v>1156</v>
      </c>
      <c r="F268" s="16">
        <v>18662</v>
      </c>
      <c r="G268" s="18" t="s">
        <v>1157</v>
      </c>
      <c r="H268" s="16" t="s">
        <v>1158</v>
      </c>
      <c r="I268" s="19" t="s">
        <v>1159</v>
      </c>
      <c r="J268" s="16" t="str">
        <f>IFERROR(VLOOKUP(I268,[1]Sheet1!$A$1:$B$200,2,0),"_")</f>
        <v>AS1</v>
      </c>
      <c r="K268" s="19" t="s">
        <v>730</v>
      </c>
      <c r="L268" s="16" t="str">
        <f>IFERROR(VLOOKUP(K268,[1]Sheet1!$A$1:$B$200,2,0),"-")</f>
        <v>TG</v>
      </c>
      <c r="M268" s="19" t="s">
        <v>1160</v>
      </c>
      <c r="N268" s="16" t="str">
        <f>IFERROR(VLOOKUP(M268,[1]Sheet1!$G$2:$H$200,2,0),"-")</f>
        <v>RSA</v>
      </c>
      <c r="O268" s="18" t="s">
        <v>1161</v>
      </c>
      <c r="P268" s="17" t="s">
        <v>55</v>
      </c>
      <c r="Q268" s="20" t="s">
        <v>1162</v>
      </c>
      <c r="R268" s="20" t="s">
        <v>1163</v>
      </c>
      <c r="S268" s="21" t="str" cm="1">
        <f t="array" ref="S268">IF(
OR(AD268="",ISERROR(AD268)),
"-",
_xlfn.UNIQUE(_xlfn._xlws.FILTER([1]Sheet1!$D$2:$D$200,ISNUMBER(SEARCH(AD268,[1]Sheet1!$D$2:$D$200))))
)</f>
        <v>두레종합물류</v>
      </c>
      <c r="T268" s="22" t="s">
        <v>1164</v>
      </c>
      <c r="U268" s="16" t="str" cm="1">
        <f t="array" ref="U268">IF(
OR(AD268="",ISERROR(AD268)),
"-",
_xlfn.UNIQUE(_xlfn._xlws.FILTER([1]Sheet1!$D$2:$D$200,ISNUMBER(SEARCH(AD268,[1]Sheet1!$D$2:$D$200))))
)</f>
        <v>두레종합물류</v>
      </c>
      <c r="V268" s="23">
        <v>800000</v>
      </c>
      <c r="W268" s="23">
        <v>750000</v>
      </c>
      <c r="X268" s="23">
        <f t="shared" si="8"/>
        <v>50000</v>
      </c>
      <c r="Y268" s="25" t="s">
        <v>1165</v>
      </c>
      <c r="Z268" s="42" t="s">
        <v>51</v>
      </c>
      <c r="AA268" s="19" t="s">
        <v>144</v>
      </c>
      <c r="AB268" s="18" t="s">
        <v>1166</v>
      </c>
      <c r="AC268" s="17" t="str">
        <f t="shared" si="9"/>
        <v>Y</v>
      </c>
      <c r="AD268" s="17" t="s">
        <v>1167</v>
      </c>
      <c r="AE268" s="26">
        <v>0.58333333333333337</v>
      </c>
      <c r="AF268" s="27" t="s">
        <v>690</v>
      </c>
      <c r="AG268" s="27" t="s">
        <v>690</v>
      </c>
      <c r="AI268" s="49" t="s">
        <v>57</v>
      </c>
    </row>
    <row r="269" spans="1:35" ht="34.950000000000003" customHeight="1" x14ac:dyDescent="0.4">
      <c r="A269" s="16" t="s">
        <v>36</v>
      </c>
      <c r="B269" s="16" t="s">
        <v>37</v>
      </c>
      <c r="C269" s="17">
        <v>46002</v>
      </c>
      <c r="D269" s="16" t="s">
        <v>248</v>
      </c>
      <c r="E269" s="16" t="s">
        <v>1156</v>
      </c>
      <c r="F269" s="16">
        <v>18662</v>
      </c>
      <c r="G269" s="18" t="s">
        <v>1157</v>
      </c>
      <c r="H269" s="16" t="s">
        <v>1158</v>
      </c>
      <c r="I269" s="19" t="s">
        <v>1159</v>
      </c>
      <c r="J269" s="16" t="str">
        <f>IFERROR(VLOOKUP(I269,[1]Sheet1!$A$1:$B$200,2,0),"_")</f>
        <v>AS1</v>
      </c>
      <c r="K269" s="19" t="s">
        <v>730</v>
      </c>
      <c r="L269" s="16" t="str">
        <f>IFERROR(VLOOKUP(K269,[1]Sheet1!$A$1:$B$200,2,0),"-")</f>
        <v>TG</v>
      </c>
      <c r="M269" s="19" t="s">
        <v>1160</v>
      </c>
      <c r="N269" s="16" t="str">
        <f>IFERROR(VLOOKUP(M269,[1]Sheet1!$G$2:$H$200,2,0),"-")</f>
        <v>RSA</v>
      </c>
      <c r="O269" s="18" t="s">
        <v>1161</v>
      </c>
      <c r="P269" s="17" t="s">
        <v>55</v>
      </c>
      <c r="Q269" s="20" t="s">
        <v>1168</v>
      </c>
      <c r="R269" s="20" t="s">
        <v>1163</v>
      </c>
      <c r="S269" s="21" t="str" cm="1">
        <f t="array" ref="S269">IF(
OR(AD269="",ISERROR(AD269)),
"-",
_xlfn.UNIQUE(_xlfn._xlws.FILTER([1]Sheet1!$D$2:$D$200,ISNUMBER(SEARCH(AD269,[1]Sheet1!$D$2:$D$200))))
)</f>
        <v>두레종합물류</v>
      </c>
      <c r="T269" s="22" t="s">
        <v>1169</v>
      </c>
      <c r="U269" s="16" t="str" cm="1">
        <f t="array" ref="U269">IF(
OR(AD269="",ISERROR(AD269)),
"-",
_xlfn.UNIQUE(_xlfn._xlws.FILTER([1]Sheet1!$D$2:$D$200,ISNUMBER(SEARCH(AD269,[1]Sheet1!$D$2:$D$200))))
)</f>
        <v>두레종합물류</v>
      </c>
      <c r="V269" s="23">
        <v>800000</v>
      </c>
      <c r="W269" s="23">
        <v>750000</v>
      </c>
      <c r="X269" s="23">
        <f t="shared" si="8"/>
        <v>50000</v>
      </c>
      <c r="Y269" s="25" t="s">
        <v>1165</v>
      </c>
      <c r="Z269" s="42" t="s">
        <v>51</v>
      </c>
      <c r="AA269" s="19" t="s">
        <v>144</v>
      </c>
      <c r="AB269" s="18" t="s">
        <v>1166</v>
      </c>
      <c r="AC269" s="17" t="str">
        <f t="shared" si="9"/>
        <v>Y</v>
      </c>
      <c r="AD269" s="17" t="s">
        <v>1167</v>
      </c>
      <c r="AE269" s="26">
        <v>0.58333333333333337</v>
      </c>
      <c r="AF269" s="27" t="s">
        <v>690</v>
      </c>
      <c r="AG269" s="27" t="s">
        <v>690</v>
      </c>
      <c r="AI269" s="49" t="s">
        <v>57</v>
      </c>
    </row>
    <row r="270" spans="1:35" ht="34.950000000000003" customHeight="1" x14ac:dyDescent="0.4">
      <c r="A270" s="16" t="s">
        <v>36</v>
      </c>
      <c r="B270" s="16" t="s">
        <v>37</v>
      </c>
      <c r="C270" s="17">
        <v>46002</v>
      </c>
      <c r="D270" s="16" t="s">
        <v>248</v>
      </c>
      <c r="E270" s="16" t="s">
        <v>1156</v>
      </c>
      <c r="F270" s="16">
        <v>18662</v>
      </c>
      <c r="G270" s="18" t="s">
        <v>1157</v>
      </c>
      <c r="H270" s="16" t="s">
        <v>1158</v>
      </c>
      <c r="I270" s="19" t="s">
        <v>1159</v>
      </c>
      <c r="J270" s="16" t="str">
        <f>IFERROR(VLOOKUP(I270,[1]Sheet1!$A$1:$B$200,2,0),"_")</f>
        <v>AS1</v>
      </c>
      <c r="K270" s="19" t="s">
        <v>730</v>
      </c>
      <c r="L270" s="16" t="str">
        <f>IFERROR(VLOOKUP(K270,[1]Sheet1!$A$1:$B$200,2,0),"-")</f>
        <v>TG</v>
      </c>
      <c r="M270" s="19" t="s">
        <v>1160</v>
      </c>
      <c r="N270" s="16" t="str">
        <f>IFERROR(VLOOKUP(M270,[1]Sheet1!$G$2:$H$200,2,0),"-")</f>
        <v>RSA</v>
      </c>
      <c r="O270" s="18" t="s">
        <v>1161</v>
      </c>
      <c r="P270" s="17" t="s">
        <v>55</v>
      </c>
      <c r="Q270" s="20" t="s">
        <v>1170</v>
      </c>
      <c r="R270" s="20" t="s">
        <v>1163</v>
      </c>
      <c r="S270" s="21" t="str" cm="1">
        <f t="array" ref="S270">IF(
OR(AD270="",ISERROR(AD270)),
"-",
_xlfn.UNIQUE(_xlfn._xlws.FILTER([1]Sheet1!$D$2:$D$200,ISNUMBER(SEARCH(AD270,[1]Sheet1!$D$2:$D$200))))
)</f>
        <v>두레종합물류</v>
      </c>
      <c r="T270" s="22" t="s">
        <v>1171</v>
      </c>
      <c r="U270" s="16" t="str" cm="1">
        <f t="array" ref="U270">IF(
OR(AD270="",ISERROR(AD270)),
"-",
_xlfn.UNIQUE(_xlfn._xlws.FILTER([1]Sheet1!$D$2:$D$200,ISNUMBER(SEARCH(AD270,[1]Sheet1!$D$2:$D$200))))
)</f>
        <v>두레종합물류</v>
      </c>
      <c r="V270" s="23">
        <v>800000</v>
      </c>
      <c r="W270" s="23">
        <v>750000</v>
      </c>
      <c r="X270" s="23">
        <f t="shared" si="8"/>
        <v>50000</v>
      </c>
      <c r="Y270" s="25" t="s">
        <v>1165</v>
      </c>
      <c r="Z270" s="42" t="s">
        <v>51</v>
      </c>
      <c r="AA270" s="19" t="s">
        <v>144</v>
      </c>
      <c r="AB270" s="18" t="s">
        <v>1166</v>
      </c>
      <c r="AC270" s="17" t="str">
        <f t="shared" si="9"/>
        <v>Y</v>
      </c>
      <c r="AD270" s="17" t="s">
        <v>1167</v>
      </c>
      <c r="AE270" s="26">
        <v>0.58333333333333337</v>
      </c>
      <c r="AF270" s="27" t="s">
        <v>690</v>
      </c>
      <c r="AG270" s="27" t="s">
        <v>690</v>
      </c>
      <c r="AI270" s="49" t="s">
        <v>57</v>
      </c>
    </row>
    <row r="271" spans="1:35" ht="34.950000000000003" customHeight="1" x14ac:dyDescent="0.4">
      <c r="A271" s="16" t="s">
        <v>71</v>
      </c>
      <c r="B271" s="16" t="s">
        <v>99</v>
      </c>
      <c r="C271" s="17">
        <v>46002</v>
      </c>
      <c r="D271" s="16" t="s">
        <v>1172</v>
      </c>
      <c r="E271" s="16" t="s">
        <v>1173</v>
      </c>
      <c r="F271" s="16">
        <v>23361</v>
      </c>
      <c r="G271" s="18" t="s">
        <v>1174</v>
      </c>
      <c r="H271" s="16" t="s">
        <v>711</v>
      </c>
      <c r="I271" s="19" t="s">
        <v>129</v>
      </c>
      <c r="J271" s="16" t="str">
        <f>IFERROR(VLOOKUP(I271,[1]Sheet1!$A$1:$B$200,2,0),"_")</f>
        <v>E1</v>
      </c>
      <c r="K271" s="19" t="s">
        <v>129</v>
      </c>
      <c r="L271" s="16" t="str">
        <f>IFERROR(VLOOKUP(K271,[1]Sheet1!$A$1:$B$200,2,0),"-")</f>
        <v>E1</v>
      </c>
      <c r="M271" s="19" t="s">
        <v>667</v>
      </c>
      <c r="N271" s="16" t="str">
        <f>IFERROR(VLOOKUP(M271,[1]Sheet1!$G$2:$H$200,2,0),"-")</f>
        <v>CKCO</v>
      </c>
      <c r="O271" s="18" t="s">
        <v>55</v>
      </c>
      <c r="P271" s="17" t="s">
        <v>55</v>
      </c>
      <c r="Q271" s="20" t="s">
        <v>1175</v>
      </c>
      <c r="R271" s="20"/>
      <c r="S271" s="21" t="str" cm="1">
        <f t="array" ref="S271">IF(
OR(AD271="",ISERROR(AD271)),
"-",
_xlfn.UNIQUE(_xlfn._xlws.FILTER([1]Sheet1!$D$2:$D$200,ISNUMBER(SEARCH(AD271,[1]Sheet1!$D$2:$D$200))))
)</f>
        <v>태성종합물류</v>
      </c>
      <c r="T271" s="22" t="s">
        <v>1176</v>
      </c>
      <c r="U271" s="16" t="str" cm="1">
        <f t="array" ref="U271">IF(
OR(AD271="",ISERROR(AD271)),
"-",
_xlfn.UNIQUE(_xlfn._xlws.FILTER([1]Sheet1!$D$2:$D$200,ISNUMBER(SEARCH(AD271,[1]Sheet1!$D$2:$D$200))))
)</f>
        <v>태성종합물류</v>
      </c>
      <c r="V271" s="23">
        <v>300000</v>
      </c>
      <c r="W271" s="23">
        <v>271000</v>
      </c>
      <c r="X271" s="23">
        <f t="shared" si="8"/>
        <v>29000</v>
      </c>
      <c r="Y271" s="25" t="s">
        <v>1177</v>
      </c>
      <c r="Z271" s="42" t="s">
        <v>51</v>
      </c>
      <c r="AA271" s="19" t="s">
        <v>81</v>
      </c>
      <c r="AC271" s="17" t="str">
        <f t="shared" si="9"/>
        <v>Y</v>
      </c>
      <c r="AD271" s="17" t="s">
        <v>82</v>
      </c>
      <c r="AE271" s="26">
        <v>0.41666666666666669</v>
      </c>
      <c r="AF271" s="27" t="s">
        <v>690</v>
      </c>
      <c r="AG271" s="27" t="s">
        <v>690</v>
      </c>
      <c r="AI271" s="49" t="s">
        <v>57</v>
      </c>
    </row>
    <row r="272" spans="1:35" ht="34.950000000000003" customHeight="1" x14ac:dyDescent="0.4">
      <c r="A272" s="16" t="s">
        <v>36</v>
      </c>
      <c r="B272" s="16" t="s">
        <v>37</v>
      </c>
      <c r="C272" s="17">
        <v>46002</v>
      </c>
      <c r="D272" s="16" t="s">
        <v>442</v>
      </c>
      <c r="E272" s="16" t="s">
        <v>442</v>
      </c>
      <c r="F272" s="16">
        <v>2707</v>
      </c>
      <c r="G272" s="18" t="s">
        <v>1178</v>
      </c>
      <c r="H272" s="16" t="s">
        <v>711</v>
      </c>
      <c r="I272" s="19" t="s">
        <v>328</v>
      </c>
      <c r="J272" s="16" t="str">
        <f>IFERROR(VLOOKUP(I272,[1]Sheet1!$A$1:$B$200,2,0),"_")</f>
        <v>BT</v>
      </c>
      <c r="K272" s="19" t="s">
        <v>328</v>
      </c>
      <c r="L272" s="16" t="str">
        <f>IFERROR(VLOOKUP(K272,[1]Sheet1!$A$1:$B$200,2,0),"-")</f>
        <v>BT</v>
      </c>
      <c r="M272" s="19" t="s">
        <v>1021</v>
      </c>
      <c r="N272" s="16" t="str">
        <f>IFERROR(VLOOKUP(M272,[1]Sheet1!$G$2:$H$200,2,0),"-")</f>
        <v>HDS</v>
      </c>
      <c r="O272" s="18" t="s">
        <v>1179</v>
      </c>
      <c r="P272" s="17">
        <v>46011</v>
      </c>
      <c r="Q272" s="20" t="s">
        <v>1180</v>
      </c>
      <c r="R272" s="20" t="s">
        <v>1181</v>
      </c>
      <c r="S272" s="21" t="str" cm="1">
        <f t="array" ref="S272">IF(
OR(AD272="",ISERROR(AD272)),
"-",
_xlfn.UNIQUE(_xlfn._xlws.FILTER([1]Sheet1!$D$2:$D$200,ISNUMBER(SEARCH(AD272,[1]Sheet1!$D$2:$D$200))))
)</f>
        <v>(주)부강에너지</v>
      </c>
      <c r="T272" s="22" t="s">
        <v>851</v>
      </c>
      <c r="U272" s="16" t="str" cm="1">
        <f t="array" ref="U272">IF(
OR(AD272="",ISERROR(AD272)),
"-",
_xlfn.UNIQUE(_xlfn._xlws.FILTER([1]Sheet1!$D$2:$D$200,ISNUMBER(SEARCH(AD272,[1]Sheet1!$D$2:$D$200))))
)</f>
        <v>(주)부강에너지</v>
      </c>
      <c r="V272" s="23">
        <v>1200000</v>
      </c>
      <c r="W272" s="23">
        <v>895500</v>
      </c>
      <c r="X272" s="23">
        <f t="shared" si="8"/>
        <v>304500</v>
      </c>
      <c r="Y272" s="25" t="s">
        <v>1182</v>
      </c>
      <c r="Z272" s="42" t="s">
        <v>51</v>
      </c>
      <c r="AA272" s="19" t="s">
        <v>81</v>
      </c>
      <c r="AC272" s="17" t="str">
        <f t="shared" si="9"/>
        <v>Y</v>
      </c>
      <c r="AD272" s="17" t="s">
        <v>197</v>
      </c>
      <c r="AF272" s="27">
        <v>46002</v>
      </c>
      <c r="AG272" s="27" t="s">
        <v>1026</v>
      </c>
      <c r="AI272" s="49" t="s">
        <v>57</v>
      </c>
    </row>
    <row r="273" spans="1:35" ht="34.950000000000003" customHeight="1" x14ac:dyDescent="0.4">
      <c r="A273" s="16" t="s">
        <v>36</v>
      </c>
      <c r="B273" s="16" t="s">
        <v>37</v>
      </c>
      <c r="C273" s="17">
        <v>46002</v>
      </c>
      <c r="D273" s="16" t="s">
        <v>442</v>
      </c>
      <c r="E273" s="16" t="s">
        <v>442</v>
      </c>
      <c r="F273" s="16">
        <v>2707</v>
      </c>
      <c r="G273" s="18" t="s">
        <v>1178</v>
      </c>
      <c r="H273" s="16" t="s">
        <v>711</v>
      </c>
      <c r="I273" s="19" t="s">
        <v>328</v>
      </c>
      <c r="J273" s="16" t="str">
        <f>IFERROR(VLOOKUP(I273,[1]Sheet1!$A$1:$B$200,2,0),"_")</f>
        <v>BT</v>
      </c>
      <c r="K273" s="19" t="s">
        <v>328</v>
      </c>
      <c r="L273" s="16" t="str">
        <f>IFERROR(VLOOKUP(K273,[1]Sheet1!$A$1:$B$200,2,0),"-")</f>
        <v>BT</v>
      </c>
      <c r="M273" s="19" t="s">
        <v>1021</v>
      </c>
      <c r="N273" s="16" t="str">
        <f>IFERROR(VLOOKUP(M273,[1]Sheet1!$G$2:$H$200,2,0),"-")</f>
        <v>HDS</v>
      </c>
      <c r="O273" s="18" t="s">
        <v>1179</v>
      </c>
      <c r="P273" s="17">
        <v>46011</v>
      </c>
      <c r="Q273" s="20" t="s">
        <v>1180</v>
      </c>
      <c r="R273" s="20" t="s">
        <v>1181</v>
      </c>
      <c r="S273" s="21" t="str" cm="1">
        <f t="array" ref="S273">IF(
OR(AD273="",ISERROR(AD273)),
"-",
_xlfn.UNIQUE(_xlfn._xlws.FILTER([1]Sheet1!$D$2:$D$200,ISNUMBER(SEARCH(AD273,[1]Sheet1!$D$2:$D$200))))
)</f>
        <v>디앤케이물류</v>
      </c>
      <c r="T273" s="22" t="s">
        <v>851</v>
      </c>
      <c r="U273" s="16" t="str" cm="1">
        <f t="array" ref="U273">IF(
OR(AD273="",ISERROR(AD273)),
"-",
_xlfn.UNIQUE(_xlfn._xlws.FILTER([1]Sheet1!$D$2:$D$200,ISNUMBER(SEARCH(AD273,[1]Sheet1!$D$2:$D$200))))
)</f>
        <v>디앤케이물류</v>
      </c>
      <c r="V273" s="23">
        <v>230000</v>
      </c>
      <c r="W273" s="23">
        <v>185000</v>
      </c>
      <c r="X273" s="23">
        <f t="shared" si="8"/>
        <v>45000</v>
      </c>
      <c r="Y273" s="25" t="s">
        <v>1183</v>
      </c>
      <c r="Z273" s="42" t="s">
        <v>51</v>
      </c>
      <c r="AA273" s="19" t="s">
        <v>81</v>
      </c>
      <c r="AB273" s="18" t="s">
        <v>1184</v>
      </c>
      <c r="AC273" s="17" t="str">
        <f t="shared" si="9"/>
        <v>Y</v>
      </c>
      <c r="AD273" s="17" t="s">
        <v>292</v>
      </c>
      <c r="AF273" s="27">
        <v>46002</v>
      </c>
      <c r="AG273" s="27" t="s">
        <v>1029</v>
      </c>
      <c r="AI273" s="49" t="s">
        <v>57</v>
      </c>
    </row>
    <row r="274" spans="1:35" ht="34.950000000000003" customHeight="1" x14ac:dyDescent="0.4">
      <c r="A274" s="16" t="s">
        <v>36</v>
      </c>
      <c r="B274" s="16" t="s">
        <v>37</v>
      </c>
      <c r="C274" s="17">
        <v>46002</v>
      </c>
      <c r="D274" s="16" t="s">
        <v>38</v>
      </c>
      <c r="E274" s="16" t="s">
        <v>39</v>
      </c>
      <c r="F274" s="16">
        <v>27636</v>
      </c>
      <c r="G274" s="18" t="s">
        <v>1185</v>
      </c>
      <c r="H274" s="16" t="s">
        <v>59</v>
      </c>
      <c r="I274" s="19" t="s">
        <v>60</v>
      </c>
      <c r="J274" s="16" t="str">
        <f>IFERROR(VLOOKUP(I274,[1]Sheet1!$A$1:$B$200,2,0),"_")</f>
        <v>KQ</v>
      </c>
      <c r="K274" s="19" t="s">
        <v>520</v>
      </c>
      <c r="L274" s="16" t="str">
        <f>IFERROR(VLOOKUP(K274,[1]Sheet1!$A$1:$B$200,2,0),"-")</f>
        <v>KP</v>
      </c>
      <c r="M274" s="19" t="s">
        <v>64</v>
      </c>
      <c r="N274" s="16" t="str">
        <f>IFERROR(VLOOKUP(M274,[1]Sheet1!$G$2:$H$200,2,0),"-")</f>
        <v>XXXX</v>
      </c>
      <c r="O274" s="18" t="s">
        <v>55</v>
      </c>
      <c r="P274" s="17" t="s">
        <v>55</v>
      </c>
      <c r="Q274" s="20" t="s">
        <v>830</v>
      </c>
      <c r="R274" s="20" t="s">
        <v>1186</v>
      </c>
      <c r="S274" s="21" t="str" cm="1">
        <f t="array" ref="S274">IF(
OR(AD274="",ISERROR(AD274)),
"-",
_xlfn.UNIQUE(_xlfn._xlws.FILTER([1]Sheet1!$D$2:$D$200,ISNUMBER(SEARCH(AD274,[1]Sheet1!$D$2:$D$200))))
)</f>
        <v>(주)유진로직스</v>
      </c>
      <c r="T274" s="22" t="s">
        <v>1187</v>
      </c>
      <c r="U274" s="16" t="str" cm="1">
        <f t="array" ref="U274">IF(
OR(AD274="",ISERROR(AD274)),
"-",
_xlfn.UNIQUE(_xlfn._xlws.FILTER([1]Sheet1!$D$2:$D$200,ISNUMBER(SEARCH(AD274,[1]Sheet1!$D$2:$D$200))))
)</f>
        <v>(주)유진로직스</v>
      </c>
      <c r="V274" s="23">
        <v>90000</v>
      </c>
      <c r="W274" s="23">
        <v>60000</v>
      </c>
      <c r="X274" s="23">
        <f t="shared" si="8"/>
        <v>30000</v>
      </c>
      <c r="Y274" s="25" t="s">
        <v>1188</v>
      </c>
      <c r="Z274" s="42" t="s">
        <v>51</v>
      </c>
      <c r="AA274" s="19" t="s">
        <v>52</v>
      </c>
      <c r="AB274" s="18" t="s">
        <v>1189</v>
      </c>
      <c r="AC274" s="17" t="str">
        <f t="shared" si="9"/>
        <v>Y</v>
      </c>
      <c r="AD274" s="17" t="s">
        <v>70</v>
      </c>
      <c r="AE274" s="26">
        <v>0.41666666666666669</v>
      </c>
      <c r="AF274" s="27" t="s">
        <v>690</v>
      </c>
      <c r="AG274" s="27" t="s">
        <v>690</v>
      </c>
      <c r="AI274" s="49" t="s">
        <v>57</v>
      </c>
    </row>
    <row r="275" spans="1:35" ht="34.950000000000003" customHeight="1" x14ac:dyDescent="0.4">
      <c r="A275" s="16" t="s">
        <v>36</v>
      </c>
      <c r="B275" s="16" t="s">
        <v>37</v>
      </c>
      <c r="C275" s="17">
        <v>46002</v>
      </c>
      <c r="D275" s="16" t="s">
        <v>38</v>
      </c>
      <c r="E275" s="16" t="s">
        <v>950</v>
      </c>
      <c r="F275" s="16">
        <v>15356</v>
      </c>
      <c r="G275" s="18" t="s">
        <v>1185</v>
      </c>
      <c r="H275" s="16" t="s">
        <v>59</v>
      </c>
      <c r="I275" s="19" t="s">
        <v>60</v>
      </c>
      <c r="J275" s="16" t="str">
        <f>IFERROR(VLOOKUP(I275,[1]Sheet1!$A$1:$B$200,2,0),"_")</f>
        <v>KQ</v>
      </c>
      <c r="K275" s="19" t="s">
        <v>42</v>
      </c>
      <c r="L275" s="16" t="str">
        <f>IFERROR(VLOOKUP(K275,[1]Sheet1!$A$1:$B$200,2,0),"-")</f>
        <v>P</v>
      </c>
      <c r="M275" s="19" t="s">
        <v>64</v>
      </c>
      <c r="N275" s="16" t="str">
        <f>IFERROR(VLOOKUP(M275,[1]Sheet1!$G$2:$H$200,2,0),"-")</f>
        <v>XXXX</v>
      </c>
      <c r="O275" s="18" t="s">
        <v>55</v>
      </c>
      <c r="P275" s="17" t="s">
        <v>55</v>
      </c>
      <c r="Q275" s="20" t="s">
        <v>799</v>
      </c>
      <c r="R275" s="20" t="s">
        <v>1190</v>
      </c>
      <c r="S275" s="21" t="str" cm="1">
        <f t="array" ref="S275">IF(
OR(AD275="",ISERROR(AD275)),
"-",
_xlfn.UNIQUE(_xlfn._xlws.FILTER([1]Sheet1!$D$2:$D$200,ISNUMBER(SEARCH(AD275,[1]Sheet1!$D$2:$D$200))))
)</f>
        <v>(주)유진로직스</v>
      </c>
      <c r="T275" s="22" t="s">
        <v>1191</v>
      </c>
      <c r="U275" s="16" t="str" cm="1">
        <f t="array" ref="U275">IF(
OR(AD275="",ISERROR(AD275)),
"-",
_xlfn.UNIQUE(_xlfn._xlws.FILTER([1]Sheet1!$D$2:$D$200,ISNUMBER(SEARCH(AD275,[1]Sheet1!$D$2:$D$200))))
)</f>
        <v>(주)유진로직스</v>
      </c>
      <c r="V275" s="23">
        <v>200000</v>
      </c>
      <c r="W275" s="23">
        <v>170000</v>
      </c>
      <c r="X275" s="23">
        <f t="shared" si="8"/>
        <v>30000</v>
      </c>
      <c r="Y275" s="25" t="s">
        <v>1192</v>
      </c>
      <c r="Z275" s="42" t="s">
        <v>51</v>
      </c>
      <c r="AA275" s="19" t="s">
        <v>52</v>
      </c>
      <c r="AB275" s="18" t="s">
        <v>1193</v>
      </c>
      <c r="AC275" s="17" t="str">
        <f t="shared" si="9"/>
        <v>Y</v>
      </c>
      <c r="AD275" s="17" t="s">
        <v>70</v>
      </c>
      <c r="AE275" s="26">
        <v>0.41666666666666669</v>
      </c>
      <c r="AF275" s="27" t="s">
        <v>690</v>
      </c>
      <c r="AG275" s="27" t="s">
        <v>690</v>
      </c>
      <c r="AI275" s="49" t="s">
        <v>57</v>
      </c>
    </row>
    <row r="276" spans="1:35" ht="34.950000000000003" customHeight="1" x14ac:dyDescent="0.4">
      <c r="A276" s="16" t="s">
        <v>36</v>
      </c>
      <c r="B276" s="16" t="s">
        <v>37</v>
      </c>
      <c r="C276" s="17">
        <v>46002</v>
      </c>
      <c r="D276" s="16" t="s">
        <v>38</v>
      </c>
      <c r="E276" s="16" t="s">
        <v>39</v>
      </c>
      <c r="F276" s="16">
        <v>27636</v>
      </c>
      <c r="G276" s="18" t="s">
        <v>1185</v>
      </c>
      <c r="H276" s="16" t="s">
        <v>75</v>
      </c>
      <c r="I276" s="19" t="s">
        <v>42</v>
      </c>
      <c r="J276" s="16" t="str">
        <f>IFERROR(VLOOKUP(I276,[1]Sheet1!$A$1:$B$200,2,0),"_")</f>
        <v>P</v>
      </c>
      <c r="K276" s="19" t="s">
        <v>42</v>
      </c>
      <c r="L276" s="16" t="str">
        <f>IFERROR(VLOOKUP(K276,[1]Sheet1!$A$1:$B$200,2,0),"-")</f>
        <v>P</v>
      </c>
      <c r="M276" s="19" t="s">
        <v>44</v>
      </c>
      <c r="N276" s="16" t="str">
        <f>IFERROR(VLOOKUP(M276,[1]Sheet1!$G$2:$H$200,2,0),"-")</f>
        <v>HSLI</v>
      </c>
      <c r="O276" s="18" t="s">
        <v>1194</v>
      </c>
      <c r="P276" s="17">
        <v>46004</v>
      </c>
      <c r="Q276" s="20" t="s">
        <v>1195</v>
      </c>
      <c r="R276" s="20" t="s">
        <v>1196</v>
      </c>
      <c r="S276" s="21" t="str" cm="1">
        <f t="array" ref="S276">IF(
OR(AD276="",ISERROR(AD276)),
"-",
_xlfn.UNIQUE(_xlfn._xlws.FILTER([1]Sheet1!$D$2:$D$200,ISNUMBER(SEARCH(AD276,[1]Sheet1!$D$2:$D$200))))
)</f>
        <v>에스더블유로지스틱스</v>
      </c>
      <c r="T276" s="22" t="s">
        <v>1197</v>
      </c>
      <c r="U276" s="16" t="str" cm="1">
        <f t="array" ref="U276">IF(
OR(AD276="",ISERROR(AD276)),
"-",
_xlfn.UNIQUE(_xlfn._xlws.FILTER([1]Sheet1!$D$2:$D$200,ISNUMBER(SEARCH(AD276,[1]Sheet1!$D$2:$D$200))))
)</f>
        <v>에스더블유로지스틱스</v>
      </c>
      <c r="V276" s="23">
        <v>223800</v>
      </c>
      <c r="W276" s="23">
        <v>187000</v>
      </c>
      <c r="X276" s="23">
        <f t="shared" si="8"/>
        <v>36800</v>
      </c>
      <c r="Y276" s="25" t="s">
        <v>1198</v>
      </c>
      <c r="Z276" s="42" t="s">
        <v>51</v>
      </c>
      <c r="AA276" s="19" t="s">
        <v>52</v>
      </c>
      <c r="AB276" s="18" t="s">
        <v>1199</v>
      </c>
      <c r="AC276" s="17" t="str">
        <f t="shared" si="9"/>
        <v>Y</v>
      </c>
      <c r="AD276" s="17" t="s">
        <v>1200</v>
      </c>
      <c r="AE276" s="26">
        <v>0.625</v>
      </c>
      <c r="AF276" s="27" t="s">
        <v>690</v>
      </c>
      <c r="AG276" s="27" t="s">
        <v>690</v>
      </c>
      <c r="AI276" s="49" t="s">
        <v>57</v>
      </c>
    </row>
    <row r="277" spans="1:35" ht="34.950000000000003" customHeight="1" x14ac:dyDescent="0.4">
      <c r="A277" s="16" t="s">
        <v>71</v>
      </c>
      <c r="B277" s="16" t="s">
        <v>37</v>
      </c>
      <c r="C277" s="17">
        <v>46002</v>
      </c>
      <c r="D277" s="16" t="s">
        <v>188</v>
      </c>
      <c r="E277" s="16" t="s">
        <v>295</v>
      </c>
      <c r="F277" s="16">
        <v>1670</v>
      </c>
      <c r="G277" s="18" t="s">
        <v>1201</v>
      </c>
      <c r="H277" s="16" t="s">
        <v>75</v>
      </c>
      <c r="I277" s="19" t="s">
        <v>328</v>
      </c>
      <c r="J277" s="16" t="str">
        <f>IFERROR(VLOOKUP(I277,[1]Sheet1!$A$1:$B$200,2,0),"_")</f>
        <v>BT</v>
      </c>
      <c r="K277" s="19" t="s">
        <v>42</v>
      </c>
      <c r="L277" s="16" t="str">
        <f>IFERROR(VLOOKUP(K277,[1]Sheet1!$A$1:$B$200,2,0),"-")</f>
        <v>P</v>
      </c>
      <c r="M277" s="19" t="s">
        <v>191</v>
      </c>
      <c r="N277" s="16" t="str">
        <f>IFERROR(VLOOKUP(M277,[1]Sheet1!$G$2:$H$200,2,0),"-")</f>
        <v>HASL</v>
      </c>
      <c r="O277" s="18" t="s">
        <v>55</v>
      </c>
      <c r="P277" s="17" t="s">
        <v>55</v>
      </c>
      <c r="Q277" s="20" t="s">
        <v>1202</v>
      </c>
      <c r="R277" s="20"/>
      <c r="S277" s="21" t="str" cm="1">
        <f t="array" ref="S277">IF(
OR(AD277="",ISERROR(AD277)),
"-",
_xlfn.UNIQUE(_xlfn._xlws.FILTER([1]Sheet1!$D$2:$D$200,ISNUMBER(SEARCH(AD277,[1]Sheet1!$D$2:$D$200))))
)</f>
        <v>백승운수</v>
      </c>
      <c r="T277" s="22" t="s">
        <v>650</v>
      </c>
      <c r="U277" s="16" t="str" cm="1">
        <f t="array" ref="U277">IF(
OR(AD277="",ISERROR(AD277)),
"-",
_xlfn.UNIQUE(_xlfn._xlws.FILTER([1]Sheet1!$D$2:$D$200,ISNUMBER(SEARCH(AD277,[1]Sheet1!$D$2:$D$200))))
)</f>
        <v>백승운수</v>
      </c>
      <c r="V277" s="23">
        <v>380000</v>
      </c>
      <c r="W277" s="23">
        <v>318000</v>
      </c>
      <c r="X277" s="23">
        <f t="shared" si="8"/>
        <v>62000</v>
      </c>
      <c r="Y277" s="25" t="s">
        <v>1203</v>
      </c>
      <c r="Z277" s="42" t="s">
        <v>51</v>
      </c>
      <c r="AA277" s="19" t="s">
        <v>81</v>
      </c>
      <c r="AB277" s="18" t="s">
        <v>1204</v>
      </c>
      <c r="AC277" s="17" t="str">
        <f t="shared" si="9"/>
        <v>Y</v>
      </c>
      <c r="AD277" s="17" t="s">
        <v>95</v>
      </c>
      <c r="AE277" s="26">
        <v>0.54166666666666663</v>
      </c>
      <c r="AF277" s="27" t="s">
        <v>690</v>
      </c>
      <c r="AG277" s="27" t="s">
        <v>690</v>
      </c>
      <c r="AI277" s="49" t="s">
        <v>57</v>
      </c>
    </row>
    <row r="278" spans="1:35" ht="34.950000000000003" customHeight="1" x14ac:dyDescent="0.4">
      <c r="A278" s="16" t="s">
        <v>36</v>
      </c>
      <c r="B278" s="16" t="s">
        <v>37</v>
      </c>
      <c r="C278" s="17">
        <v>46002</v>
      </c>
      <c r="D278" s="16" t="s">
        <v>325</v>
      </c>
      <c r="E278" s="16" t="s">
        <v>1106</v>
      </c>
      <c r="F278" s="16">
        <v>13881</v>
      </c>
      <c r="G278" s="18" t="s">
        <v>1205</v>
      </c>
      <c r="H278" s="16" t="s">
        <v>41</v>
      </c>
      <c r="I278" s="19" t="s">
        <v>42</v>
      </c>
      <c r="J278" s="16" t="str">
        <f>IFERROR(VLOOKUP(I278,[1]Sheet1!$A$1:$B$200,2,0),"_")</f>
        <v>P</v>
      </c>
      <c r="K278" s="19" t="s">
        <v>42</v>
      </c>
      <c r="L278" s="16" t="str">
        <f>IFERROR(VLOOKUP(K278,[1]Sheet1!$A$1:$B$200,2,0),"-")</f>
        <v>P</v>
      </c>
      <c r="M278" s="19" t="s">
        <v>211</v>
      </c>
      <c r="N278" s="16" t="str">
        <f>IFERROR(VLOOKUP(M278,[1]Sheet1!$G$2:$H$200,2,0),"-")</f>
        <v>SITC</v>
      </c>
      <c r="O278" s="18" t="s">
        <v>1206</v>
      </c>
      <c r="P278" s="17">
        <v>46008</v>
      </c>
      <c r="Q278" s="20" t="s">
        <v>1109</v>
      </c>
      <c r="R278" s="20" t="s">
        <v>1110</v>
      </c>
      <c r="S278" s="21" t="str" cm="1">
        <f t="array" ref="S278">IF(
OR(AD278="",ISERROR(AD278)),
"-",
_xlfn.UNIQUE(_xlfn._xlws.FILTER([1]Sheet1!$D$2:$D$200,ISNUMBER(SEARCH(AD278,[1]Sheet1!$D$2:$D$200))))
)</f>
        <v>에스지로지스틱</v>
      </c>
      <c r="T278" s="22" t="s">
        <v>1207</v>
      </c>
      <c r="U278" s="16" t="str" cm="1">
        <f t="array" ref="U278">IF(
OR(AD278="",ISERROR(AD278)),
"-",
_xlfn.UNIQUE(_xlfn._xlws.FILTER([1]Sheet1!$D$2:$D$200,ISNUMBER(SEARCH(AD278,[1]Sheet1!$D$2:$D$200))))
)</f>
        <v>에스지로지스틱</v>
      </c>
      <c r="V278" s="23">
        <v>510000</v>
      </c>
      <c r="W278" s="23">
        <v>369000</v>
      </c>
      <c r="X278" s="23">
        <f t="shared" si="8"/>
        <v>141000</v>
      </c>
      <c r="Y278" s="25" t="s">
        <v>1208</v>
      </c>
      <c r="Z278" s="42" t="s">
        <v>51</v>
      </c>
      <c r="AA278" s="19" t="s">
        <v>93</v>
      </c>
      <c r="AB278" s="18" t="s">
        <v>1209</v>
      </c>
      <c r="AC278" s="17" t="str">
        <f t="shared" si="9"/>
        <v>Y</v>
      </c>
      <c r="AD278" s="17" t="s">
        <v>184</v>
      </c>
      <c r="AE278" s="26">
        <v>0.54166666666666663</v>
      </c>
      <c r="AF278" s="27">
        <v>46002</v>
      </c>
      <c r="AG278" s="27"/>
      <c r="AI278" s="49" t="s">
        <v>57</v>
      </c>
    </row>
    <row r="279" spans="1:35" ht="34.950000000000003" customHeight="1" x14ac:dyDescent="0.4">
      <c r="A279" s="16" t="s">
        <v>71</v>
      </c>
      <c r="B279" s="16" t="s">
        <v>37</v>
      </c>
      <c r="C279" s="17">
        <v>46002</v>
      </c>
      <c r="D279" s="16" t="s">
        <v>855</v>
      </c>
      <c r="E279" s="16" t="s">
        <v>934</v>
      </c>
      <c r="F279" s="16">
        <v>26969</v>
      </c>
      <c r="G279" s="18" t="s">
        <v>1210</v>
      </c>
      <c r="H279" s="16" t="s">
        <v>41</v>
      </c>
      <c r="I279" s="19" t="s">
        <v>42</v>
      </c>
      <c r="J279" s="16" t="str">
        <f>IFERROR(VLOOKUP(I279,[1]Sheet1!$A$1:$B$200,2,0),"_")</f>
        <v>P</v>
      </c>
      <c r="K279" s="19" t="s">
        <v>42</v>
      </c>
      <c r="L279" s="16" t="str">
        <f>IFERROR(VLOOKUP(K279,[1]Sheet1!$A$1:$B$200,2,0),"-")</f>
        <v>P</v>
      </c>
      <c r="M279" s="19" t="s">
        <v>151</v>
      </c>
      <c r="N279" s="16" t="str">
        <f>IFERROR(VLOOKUP(M279,[1]Sheet1!$G$2:$H$200,2,0),"-")</f>
        <v>NSSL</v>
      </c>
      <c r="O279" s="18" t="s">
        <v>55</v>
      </c>
      <c r="P279" s="17" t="s">
        <v>55</v>
      </c>
      <c r="Q279" s="20" t="s">
        <v>1211</v>
      </c>
      <c r="R279" s="20"/>
      <c r="S279" s="21" t="str" cm="1">
        <f t="array" ref="S279">IF(
OR(AD279="",ISERROR(AD279)),
"-",
_xlfn.UNIQUE(_xlfn._xlws.FILTER([1]Sheet1!$D$2:$D$200,ISNUMBER(SEARCH(AD279,[1]Sheet1!$D$2:$D$200))))
)</f>
        <v>에스지로지스틱</v>
      </c>
      <c r="T279" s="22" t="s">
        <v>407</v>
      </c>
      <c r="U279" s="16" t="str" cm="1">
        <f t="array" ref="U279">IF(
OR(AD279="",ISERROR(AD279)),
"-",
_xlfn.UNIQUE(_xlfn._xlws.FILTER([1]Sheet1!$D$2:$D$200,ISNUMBER(SEARCH(AD279,[1]Sheet1!$D$2:$D$200))))
)</f>
        <v>에스지로지스틱</v>
      </c>
      <c r="V279" s="23">
        <v>310000</v>
      </c>
      <c r="W279" s="23">
        <v>274000</v>
      </c>
      <c r="X279" s="23">
        <f t="shared" si="8"/>
        <v>36000</v>
      </c>
      <c r="Y279" s="25" t="s">
        <v>1212</v>
      </c>
      <c r="Z279" s="42" t="s">
        <v>51</v>
      </c>
      <c r="AA279" s="19" t="s">
        <v>144</v>
      </c>
      <c r="AC279" s="17" t="str">
        <f t="shared" si="9"/>
        <v>Y</v>
      </c>
      <c r="AD279" s="17" t="s">
        <v>184</v>
      </c>
      <c r="AE279" s="26">
        <v>0.35416666666666669</v>
      </c>
      <c r="AF279" s="27" t="s">
        <v>690</v>
      </c>
      <c r="AG279" s="27" t="s">
        <v>690</v>
      </c>
      <c r="AI279" s="49" t="s">
        <v>57</v>
      </c>
    </row>
    <row r="280" spans="1:35" ht="34.950000000000003" customHeight="1" x14ac:dyDescent="0.4">
      <c r="A280" s="16" t="s">
        <v>36</v>
      </c>
      <c r="B280" s="16" t="s">
        <v>37</v>
      </c>
      <c r="C280" s="17">
        <v>46002</v>
      </c>
      <c r="D280" s="16" t="s">
        <v>188</v>
      </c>
      <c r="E280" s="16" t="s">
        <v>189</v>
      </c>
      <c r="F280" s="16">
        <v>16725</v>
      </c>
      <c r="G280" s="18" t="s">
        <v>874</v>
      </c>
      <c r="H280" s="16" t="s">
        <v>687</v>
      </c>
      <c r="I280" s="19" t="s">
        <v>272</v>
      </c>
      <c r="J280" s="16" t="str">
        <f>IFERROR(VLOOKUP(I280,[1]Sheet1!$A$1:$B$200,2,0),"_")</f>
        <v>Z9</v>
      </c>
      <c r="K280" s="19" t="s">
        <v>42</v>
      </c>
      <c r="L280" s="16" t="str">
        <f>IFERROR(VLOOKUP(K280,[1]Sheet1!$A$1:$B$200,2,0),"-")</f>
        <v>P</v>
      </c>
      <c r="M280" s="19" t="s">
        <v>191</v>
      </c>
      <c r="N280" s="16" t="str">
        <f>IFERROR(VLOOKUP(M280,[1]Sheet1!$G$2:$H$200,2,0),"-")</f>
        <v>HASL</v>
      </c>
      <c r="O280" s="18" t="s">
        <v>1213</v>
      </c>
      <c r="P280" s="17">
        <v>46007</v>
      </c>
      <c r="Q280" s="20" t="s">
        <v>1214</v>
      </c>
      <c r="R280" s="20" t="s">
        <v>1215</v>
      </c>
      <c r="S280" s="21" t="str" cm="1">
        <f t="array" ref="S280">IF(
OR(AD280="",ISERROR(AD280)),
"-",
_xlfn.UNIQUE(_xlfn._xlws.FILTER([1]Sheet1!$D$2:$D$200,ISNUMBER(SEARCH(AD280,[1]Sheet1!$D$2:$D$200))))
)</f>
        <v>(주)부강에너지</v>
      </c>
      <c r="T280" s="22" t="s">
        <v>1216</v>
      </c>
      <c r="U280" s="16" t="str" cm="1">
        <f t="array" ref="U280">IF(
OR(AD280="",ISERROR(AD280)),
"-",
_xlfn.UNIQUE(_xlfn._xlws.FILTER([1]Sheet1!$D$2:$D$200,ISNUMBER(SEARCH(AD280,[1]Sheet1!$D$2:$D$200))))
)</f>
        <v>(주)부강에너지</v>
      </c>
      <c r="V280" s="23">
        <v>250000</v>
      </c>
      <c r="W280" s="23">
        <v>220000</v>
      </c>
      <c r="X280" s="23">
        <f t="shared" si="8"/>
        <v>30000</v>
      </c>
      <c r="Y280" s="25" t="s">
        <v>1217</v>
      </c>
      <c r="Z280" s="42" t="s">
        <v>51</v>
      </c>
      <c r="AA280" s="19" t="s">
        <v>81</v>
      </c>
      <c r="AB280" s="18" t="s">
        <v>1218</v>
      </c>
      <c r="AC280" s="17" t="str">
        <f t="shared" si="9"/>
        <v>Y</v>
      </c>
      <c r="AD280" s="17" t="s">
        <v>197</v>
      </c>
      <c r="AE280" s="26">
        <v>0.41666666666666669</v>
      </c>
      <c r="AF280" s="27" t="s">
        <v>690</v>
      </c>
      <c r="AG280" s="27" t="s">
        <v>690</v>
      </c>
      <c r="AI280" s="49" t="s">
        <v>57</v>
      </c>
    </row>
    <row r="281" spans="1:35" ht="34.950000000000003" customHeight="1" x14ac:dyDescent="0.4">
      <c r="A281" s="16" t="s">
        <v>36</v>
      </c>
      <c r="B281" s="16" t="s">
        <v>37</v>
      </c>
      <c r="C281" s="17">
        <v>46002</v>
      </c>
      <c r="D281" s="16" t="s">
        <v>188</v>
      </c>
      <c r="E281" s="16" t="s">
        <v>189</v>
      </c>
      <c r="F281" s="16">
        <v>727</v>
      </c>
      <c r="G281" s="18" t="s">
        <v>998</v>
      </c>
      <c r="H281" s="16" t="s">
        <v>687</v>
      </c>
      <c r="I281" s="19" t="s">
        <v>42</v>
      </c>
      <c r="J281" s="16" t="str">
        <f>IFERROR(VLOOKUP(I281,[1]Sheet1!$A$1:$B$200,2,0),"_")</f>
        <v>P</v>
      </c>
      <c r="K281" s="19" t="s">
        <v>42</v>
      </c>
      <c r="L281" s="16" t="str">
        <f>IFERROR(VLOOKUP(K281,[1]Sheet1!$A$1:$B$200,2,0),"-")</f>
        <v>P</v>
      </c>
      <c r="M281" s="19" t="s">
        <v>191</v>
      </c>
      <c r="N281" s="16" t="str">
        <f>IFERROR(VLOOKUP(M281,[1]Sheet1!$G$2:$H$200,2,0),"-")</f>
        <v>HASL</v>
      </c>
      <c r="O281" s="18" t="s">
        <v>1213</v>
      </c>
      <c r="P281" s="17">
        <v>46007</v>
      </c>
      <c r="Q281" s="20" t="s">
        <v>1219</v>
      </c>
      <c r="R281" s="20" t="s">
        <v>1220</v>
      </c>
      <c r="S281" s="21" t="str" cm="1">
        <f t="array" ref="S281">IF(
OR(AD281="",ISERROR(AD281)),
"-",
_xlfn.UNIQUE(_xlfn._xlws.FILTER([1]Sheet1!$D$2:$D$200,ISNUMBER(SEARCH(AD281,[1]Sheet1!$D$2:$D$200))))
)</f>
        <v>(주)부강에너지</v>
      </c>
      <c r="T281" s="22" t="s">
        <v>1221</v>
      </c>
      <c r="U281" s="16" t="str" cm="1">
        <f t="array" ref="U281">IF(
OR(AD281="",ISERROR(AD281)),
"-",
_xlfn.UNIQUE(_xlfn._xlws.FILTER([1]Sheet1!$D$2:$D$200,ISNUMBER(SEARCH(AD281,[1]Sheet1!$D$2:$D$200))))
)</f>
        <v>(주)부강에너지</v>
      </c>
      <c r="V281" s="23">
        <v>250000</v>
      </c>
      <c r="W281" s="23">
        <v>220000</v>
      </c>
      <c r="X281" s="23">
        <f t="shared" si="8"/>
        <v>30000</v>
      </c>
      <c r="Y281" s="25" t="s">
        <v>1217</v>
      </c>
      <c r="Z281" s="42" t="s">
        <v>51</v>
      </c>
      <c r="AA281" s="19" t="s">
        <v>81</v>
      </c>
      <c r="AB281" s="18" t="s">
        <v>1002</v>
      </c>
      <c r="AC281" s="17" t="str">
        <f t="shared" si="9"/>
        <v>Y</v>
      </c>
      <c r="AD281" s="17" t="s">
        <v>197</v>
      </c>
      <c r="AE281" s="26">
        <v>0.3611111111111111</v>
      </c>
      <c r="AF281" s="27" t="s">
        <v>690</v>
      </c>
      <c r="AG281" s="27" t="s">
        <v>690</v>
      </c>
      <c r="AI281" s="49" t="s">
        <v>57</v>
      </c>
    </row>
    <row r="282" spans="1:35" ht="34.950000000000003" customHeight="1" x14ac:dyDescent="0.4">
      <c r="A282" s="16" t="s">
        <v>36</v>
      </c>
      <c r="B282" s="16" t="s">
        <v>37</v>
      </c>
      <c r="C282" s="17">
        <v>46002</v>
      </c>
      <c r="D282" s="16" t="s">
        <v>188</v>
      </c>
      <c r="E282" s="16" t="s">
        <v>189</v>
      </c>
      <c r="F282" s="16">
        <v>727</v>
      </c>
      <c r="G282" s="18" t="s">
        <v>998</v>
      </c>
      <c r="H282" s="16" t="s">
        <v>687</v>
      </c>
      <c r="I282" s="19" t="s">
        <v>42</v>
      </c>
      <c r="J282" s="16" t="str">
        <f>IFERROR(VLOOKUP(I282,[1]Sheet1!$A$1:$B$200,2,0),"_")</f>
        <v>P</v>
      </c>
      <c r="K282" s="19" t="s">
        <v>42</v>
      </c>
      <c r="L282" s="16" t="str">
        <f>IFERROR(VLOOKUP(K282,[1]Sheet1!$A$1:$B$200,2,0),"-")</f>
        <v>P</v>
      </c>
      <c r="M282" s="19" t="s">
        <v>191</v>
      </c>
      <c r="N282" s="16" t="str">
        <f>IFERROR(VLOOKUP(M282,[1]Sheet1!$G$2:$H$200,2,0),"-")</f>
        <v>HASL</v>
      </c>
      <c r="O282" s="18" t="s">
        <v>1213</v>
      </c>
      <c r="P282" s="17">
        <v>46007</v>
      </c>
      <c r="Q282" s="20" t="s">
        <v>1222</v>
      </c>
      <c r="R282" s="20" t="s">
        <v>1223</v>
      </c>
      <c r="S282" s="21" t="str" cm="1">
        <f t="array" ref="S282">IF(
OR(AD282="",ISERROR(AD282)),
"-",
_xlfn.UNIQUE(_xlfn._xlws.FILTER([1]Sheet1!$D$2:$D$200,ISNUMBER(SEARCH(AD282,[1]Sheet1!$D$2:$D$200))))
)</f>
        <v>(주)부강에너지</v>
      </c>
      <c r="T282" s="22" t="s">
        <v>878</v>
      </c>
      <c r="U282" s="16" t="str" cm="1">
        <f t="array" ref="U282">IF(
OR(AD282="",ISERROR(AD282)),
"-",
_xlfn.UNIQUE(_xlfn._xlws.FILTER([1]Sheet1!$D$2:$D$200,ISNUMBER(SEARCH(AD282,[1]Sheet1!$D$2:$D$200))))
)</f>
        <v>(주)부강에너지</v>
      </c>
      <c r="V282" s="23">
        <v>250000</v>
      </c>
      <c r="W282" s="23">
        <v>220000</v>
      </c>
      <c r="X282" s="23">
        <f t="shared" si="8"/>
        <v>30000</v>
      </c>
      <c r="Y282" s="25" t="s">
        <v>1217</v>
      </c>
      <c r="Z282" s="42" t="s">
        <v>51</v>
      </c>
      <c r="AA282" s="19" t="s">
        <v>81</v>
      </c>
      <c r="AB282" s="18" t="s">
        <v>1002</v>
      </c>
      <c r="AC282" s="17" t="str">
        <f t="shared" si="9"/>
        <v>Y</v>
      </c>
      <c r="AD282" s="17" t="s">
        <v>197</v>
      </c>
      <c r="AE282" s="26">
        <v>0.54166666666666663</v>
      </c>
      <c r="AF282" s="27" t="s">
        <v>690</v>
      </c>
      <c r="AG282" s="27" t="s">
        <v>690</v>
      </c>
      <c r="AI282" s="49" t="s">
        <v>57</v>
      </c>
    </row>
    <row r="283" spans="1:35" ht="34.950000000000003" customHeight="1" x14ac:dyDescent="0.4">
      <c r="A283" s="16" t="s">
        <v>36</v>
      </c>
      <c r="B283" s="16" t="s">
        <v>37</v>
      </c>
      <c r="C283" s="17">
        <v>46002</v>
      </c>
      <c r="D283" s="16" t="s">
        <v>280</v>
      </c>
      <c r="E283" s="16" t="s">
        <v>281</v>
      </c>
      <c r="F283" s="16">
        <v>25997</v>
      </c>
      <c r="G283" s="18" t="s">
        <v>282</v>
      </c>
      <c r="H283" s="16" t="s">
        <v>687</v>
      </c>
      <c r="I283" s="19" t="s">
        <v>42</v>
      </c>
      <c r="J283" s="16" t="str">
        <f>IFERROR(VLOOKUP(I283,[1]Sheet1!$A$1:$B$200,2,0),"_")</f>
        <v>P</v>
      </c>
      <c r="K283" s="19" t="s">
        <v>42</v>
      </c>
      <c r="L283" s="16" t="str">
        <f>IFERROR(VLOOKUP(K283,[1]Sheet1!$A$1:$B$200,2,0),"-")</f>
        <v>P</v>
      </c>
      <c r="M283" s="19" t="s">
        <v>77</v>
      </c>
      <c r="N283" s="16" t="str">
        <f>IFERROR(VLOOKUP(M283,[1]Sheet1!$G$2:$H$200,2,0),"-")</f>
        <v>KMTC</v>
      </c>
      <c r="O283" s="18" t="s">
        <v>1224</v>
      </c>
      <c r="P283" s="17">
        <v>46008</v>
      </c>
      <c r="Q283" s="20" t="s">
        <v>1225</v>
      </c>
      <c r="R283" s="20" t="s">
        <v>1226</v>
      </c>
      <c r="S283" s="21" t="str" cm="1">
        <f t="array" ref="S283">IF(
OR(AD283="",ISERROR(AD283)),
"-",
_xlfn.UNIQUE(_xlfn._xlws.FILTER([1]Sheet1!$D$2:$D$200,ISNUMBER(SEARCH(AD283,[1]Sheet1!$D$2:$D$200))))
)</f>
        <v>(주)비에스물류</v>
      </c>
      <c r="T283" s="22" t="s">
        <v>1227</v>
      </c>
      <c r="U283" s="16" t="str" cm="1">
        <f t="array" ref="U283">IF(
OR(AD283="",ISERROR(AD283)),
"-",
_xlfn.UNIQUE(_xlfn._xlws.FILTER([1]Sheet1!$D$2:$D$200,ISNUMBER(SEARCH(AD283,[1]Sheet1!$D$2:$D$200))))
)</f>
        <v>(주)비에스물류</v>
      </c>
      <c r="V283" s="23">
        <v>770000</v>
      </c>
      <c r="W283" s="23">
        <v>732000</v>
      </c>
      <c r="X283" s="23">
        <f t="shared" si="8"/>
        <v>38000</v>
      </c>
      <c r="Y283" s="25" t="s">
        <v>1228</v>
      </c>
      <c r="Z283" s="42" t="s">
        <v>51</v>
      </c>
      <c r="AA283" s="19" t="s">
        <v>115</v>
      </c>
      <c r="AB283" s="18" t="s">
        <v>1229</v>
      </c>
      <c r="AC283" s="17" t="str">
        <f t="shared" si="9"/>
        <v>Y</v>
      </c>
      <c r="AD283" s="17" t="s">
        <v>288</v>
      </c>
      <c r="AE283" s="26">
        <v>0.58333333333333337</v>
      </c>
      <c r="AF283" s="27" t="s">
        <v>1230</v>
      </c>
      <c r="AG283" s="27" t="s">
        <v>1231</v>
      </c>
      <c r="AI283" s="49" t="s">
        <v>57</v>
      </c>
    </row>
    <row r="284" spans="1:35" ht="34.950000000000003" customHeight="1" x14ac:dyDescent="0.4">
      <c r="A284" s="16" t="s">
        <v>36</v>
      </c>
      <c r="B284" s="16" t="s">
        <v>37</v>
      </c>
      <c r="C284" s="17">
        <v>46002</v>
      </c>
      <c r="D284" s="16" t="s">
        <v>280</v>
      </c>
      <c r="E284" s="16" t="s">
        <v>281</v>
      </c>
      <c r="F284" s="16">
        <v>25997</v>
      </c>
      <c r="G284" s="18" t="s">
        <v>282</v>
      </c>
      <c r="H284" s="16" t="s">
        <v>687</v>
      </c>
      <c r="I284" s="19" t="s">
        <v>42</v>
      </c>
      <c r="J284" s="16" t="str">
        <f>IFERROR(VLOOKUP(I284,[1]Sheet1!$A$1:$B$200,2,0),"_")</f>
        <v>P</v>
      </c>
      <c r="K284" s="19" t="s">
        <v>42</v>
      </c>
      <c r="L284" s="16" t="str">
        <f>IFERROR(VLOOKUP(K284,[1]Sheet1!$A$1:$B$200,2,0),"-")</f>
        <v>P</v>
      </c>
      <c r="M284" s="19" t="s">
        <v>77</v>
      </c>
      <c r="N284" s="16" t="str">
        <f>IFERROR(VLOOKUP(M284,[1]Sheet1!$G$2:$H$200,2,0),"-")</f>
        <v>KMTC</v>
      </c>
      <c r="O284" s="18" t="s">
        <v>1224</v>
      </c>
      <c r="P284" s="17">
        <v>46008</v>
      </c>
      <c r="Q284" s="20" t="s">
        <v>293</v>
      </c>
      <c r="R284" s="20" t="s">
        <v>1226</v>
      </c>
      <c r="S284" s="21" t="str" cm="1">
        <f t="array" ref="S284">IF(
OR(AD284="",ISERROR(AD284)),
"-",
_xlfn.UNIQUE(_xlfn._xlws.FILTER([1]Sheet1!$D$2:$D$200,ISNUMBER(SEARCH(AD284,[1]Sheet1!$D$2:$D$200))))
)</f>
        <v>디앤케이물류</v>
      </c>
      <c r="T284" s="22" t="s">
        <v>1227</v>
      </c>
      <c r="U284" s="16" t="str" cm="1">
        <f t="array" ref="U284">IF(
OR(AD284="",ISERROR(AD284)),
"-",
_xlfn.UNIQUE(_xlfn._xlws.FILTER([1]Sheet1!$D$2:$D$200,ISNUMBER(SEARCH(AD284,[1]Sheet1!$D$2:$D$200))))
)</f>
        <v>디앤케이물류</v>
      </c>
      <c r="V284" s="23">
        <v>55000</v>
      </c>
      <c r="W284" s="23">
        <v>50000</v>
      </c>
      <c r="X284" s="23">
        <f t="shared" si="8"/>
        <v>5000</v>
      </c>
      <c r="Y284" s="25" t="s">
        <v>1228</v>
      </c>
      <c r="Z284" s="42" t="s">
        <v>51</v>
      </c>
      <c r="AA284" s="19" t="s">
        <v>115</v>
      </c>
      <c r="AB284" s="18" t="s">
        <v>1229</v>
      </c>
      <c r="AC284" s="17" t="str">
        <f t="shared" si="9"/>
        <v>Y</v>
      </c>
      <c r="AD284" s="17" t="s">
        <v>292</v>
      </c>
      <c r="AE284" s="26">
        <v>0.58333333333333337</v>
      </c>
      <c r="AF284" s="27" t="s">
        <v>1230</v>
      </c>
      <c r="AG284" s="27" t="s">
        <v>1231</v>
      </c>
      <c r="AI284" s="49" t="s">
        <v>57</v>
      </c>
    </row>
    <row r="285" spans="1:35" ht="34.950000000000003" customHeight="1" x14ac:dyDescent="0.4">
      <c r="A285" s="16" t="s">
        <v>36</v>
      </c>
      <c r="B285" s="16" t="s">
        <v>37</v>
      </c>
      <c r="C285" s="17">
        <v>46002</v>
      </c>
      <c r="D285" s="16" t="s">
        <v>280</v>
      </c>
      <c r="E285" s="16" t="s">
        <v>281</v>
      </c>
      <c r="F285" s="16">
        <v>25997</v>
      </c>
      <c r="G285" s="18" t="s">
        <v>282</v>
      </c>
      <c r="H285" s="16" t="s">
        <v>687</v>
      </c>
      <c r="I285" s="19" t="s">
        <v>42</v>
      </c>
      <c r="J285" s="16" t="str">
        <f>IFERROR(VLOOKUP(I285,[1]Sheet1!$A$1:$B$200,2,0),"_")</f>
        <v>P</v>
      </c>
      <c r="K285" s="19" t="s">
        <v>42</v>
      </c>
      <c r="L285" s="16" t="str">
        <f>IFERROR(VLOOKUP(K285,[1]Sheet1!$A$1:$B$200,2,0),"-")</f>
        <v>P</v>
      </c>
      <c r="M285" s="19" t="s">
        <v>77</v>
      </c>
      <c r="N285" s="16" t="str">
        <f>IFERROR(VLOOKUP(M285,[1]Sheet1!$G$2:$H$200,2,0),"-")</f>
        <v>KMTC</v>
      </c>
      <c r="O285" s="18" t="s">
        <v>1224</v>
      </c>
      <c r="P285" s="17">
        <v>46008</v>
      </c>
      <c r="Q285" s="20" t="s">
        <v>290</v>
      </c>
      <c r="R285" s="20" t="s">
        <v>1226</v>
      </c>
      <c r="S285" s="21" t="str" cm="1">
        <f t="array" ref="S285">IF(
OR(AD285="",ISERROR(AD285)),
"-",
_xlfn.UNIQUE(_xlfn._xlws.FILTER([1]Sheet1!$D$2:$D$200,ISNUMBER(SEARCH(AD285,[1]Sheet1!$D$2:$D$200))))
)</f>
        <v>디앤케이물류</v>
      </c>
      <c r="T285" s="22" t="s">
        <v>1227</v>
      </c>
      <c r="U285" s="16" t="str" cm="1">
        <f t="array" ref="U285">IF(
OR(AD285="",ISERROR(AD285)),
"-",
_xlfn.UNIQUE(_xlfn._xlws.FILTER([1]Sheet1!$D$2:$D$200,ISNUMBER(SEARCH(AD285,[1]Sheet1!$D$2:$D$200))))
)</f>
        <v>디앤케이물류</v>
      </c>
      <c r="V285" s="23">
        <v>25000</v>
      </c>
      <c r="W285" s="23">
        <v>45000</v>
      </c>
      <c r="X285" s="23">
        <f t="shared" si="8"/>
        <v>-20000</v>
      </c>
      <c r="Y285" s="25" t="s">
        <v>1228</v>
      </c>
      <c r="Z285" s="42" t="s">
        <v>51</v>
      </c>
      <c r="AA285" s="19" t="s">
        <v>115</v>
      </c>
      <c r="AB285" s="18" t="s">
        <v>1229</v>
      </c>
      <c r="AC285" s="17" t="str">
        <f t="shared" si="9"/>
        <v>Y</v>
      </c>
      <c r="AD285" s="17" t="s">
        <v>292</v>
      </c>
      <c r="AE285" s="26">
        <v>0.58333333333333337</v>
      </c>
      <c r="AF285" s="27" t="s">
        <v>1230</v>
      </c>
      <c r="AG285" s="27" t="s">
        <v>1231</v>
      </c>
      <c r="AI285" s="49" t="s">
        <v>57</v>
      </c>
    </row>
    <row r="286" spans="1:35" ht="34.950000000000003" customHeight="1" x14ac:dyDescent="0.4">
      <c r="A286" s="16" t="s">
        <v>36</v>
      </c>
      <c r="B286" s="16" t="s">
        <v>37</v>
      </c>
      <c r="C286" s="17">
        <v>46002</v>
      </c>
      <c r="D286" s="16" t="s">
        <v>280</v>
      </c>
      <c r="E286" s="16" t="s">
        <v>281</v>
      </c>
      <c r="F286" s="16">
        <v>25997</v>
      </c>
      <c r="G286" s="18" t="s">
        <v>282</v>
      </c>
      <c r="H286" s="16" t="s">
        <v>687</v>
      </c>
      <c r="I286" s="19" t="s">
        <v>42</v>
      </c>
      <c r="J286" s="16" t="str">
        <f>IFERROR(VLOOKUP(I286,[1]Sheet1!$A$1:$B$200,2,0),"_")</f>
        <v>P</v>
      </c>
      <c r="K286" s="19" t="s">
        <v>42</v>
      </c>
      <c r="L286" s="16" t="str">
        <f>IFERROR(VLOOKUP(K286,[1]Sheet1!$A$1:$B$200,2,0),"-")</f>
        <v>P</v>
      </c>
      <c r="M286" s="19" t="s">
        <v>77</v>
      </c>
      <c r="N286" s="16" t="str">
        <f>IFERROR(VLOOKUP(M286,[1]Sheet1!$G$2:$H$200,2,0),"-")</f>
        <v>KMTC</v>
      </c>
      <c r="O286" s="18" t="s">
        <v>1224</v>
      </c>
      <c r="P286" s="17">
        <v>46008</v>
      </c>
      <c r="Q286" s="20" t="s">
        <v>294</v>
      </c>
      <c r="R286" s="20" t="s">
        <v>1226</v>
      </c>
      <c r="S286" s="21" t="str" cm="1">
        <f t="array" ref="S286">IF(
OR(AD286="",ISERROR(AD286)),
"-",
_xlfn.UNIQUE(_xlfn._xlws.FILTER([1]Sheet1!$D$2:$D$200,ISNUMBER(SEARCH(AD286,[1]Sheet1!$D$2:$D$200))))
)</f>
        <v>디앤케이물류</v>
      </c>
      <c r="T286" s="22" t="s">
        <v>1227</v>
      </c>
      <c r="U286" s="16" t="str" cm="1">
        <f t="array" ref="U286">IF(
OR(AD286="",ISERROR(AD286)),
"-",
_xlfn.UNIQUE(_xlfn._xlws.FILTER([1]Sheet1!$D$2:$D$200,ISNUMBER(SEARCH(AD286,[1]Sheet1!$D$2:$D$200))))
)</f>
        <v>디앤케이물류</v>
      </c>
      <c r="V286" s="23">
        <v>45000</v>
      </c>
      <c r="W286" s="23">
        <v>50000</v>
      </c>
      <c r="X286" s="23">
        <f t="shared" ref="X286:X351" si="10">V286-W286</f>
        <v>-5000</v>
      </c>
      <c r="Y286" s="25" t="s">
        <v>1228</v>
      </c>
      <c r="Z286" s="42" t="s">
        <v>51</v>
      </c>
      <c r="AA286" s="19" t="s">
        <v>115</v>
      </c>
      <c r="AB286" s="18" t="s">
        <v>1229</v>
      </c>
      <c r="AC286" s="17" t="str">
        <f t="shared" si="9"/>
        <v>Y</v>
      </c>
      <c r="AD286" s="17" t="s">
        <v>292</v>
      </c>
      <c r="AE286" s="26">
        <v>0.58333333333333337</v>
      </c>
      <c r="AF286" s="27" t="s">
        <v>1230</v>
      </c>
      <c r="AG286" s="27" t="s">
        <v>1231</v>
      </c>
      <c r="AI286" s="49" t="s">
        <v>57</v>
      </c>
    </row>
    <row r="287" spans="1:35" s="67" customFormat="1" ht="41.25" customHeight="1" x14ac:dyDescent="0.4">
      <c r="A287" s="50" t="s">
        <v>36</v>
      </c>
      <c r="B287" s="50" t="s">
        <v>37</v>
      </c>
      <c r="C287" s="17">
        <v>46002</v>
      </c>
      <c r="D287" s="21" t="s">
        <v>1058</v>
      </c>
      <c r="E287" s="16" t="s">
        <v>1059</v>
      </c>
      <c r="F287" s="16">
        <v>28755</v>
      </c>
      <c r="G287" s="16" t="s">
        <v>381</v>
      </c>
      <c r="H287" s="50" t="s">
        <v>41</v>
      </c>
      <c r="I287" s="50" t="s">
        <v>861</v>
      </c>
      <c r="J287" s="16" t="str">
        <f>IFERROR(VLOOKUP(I287,[1]Sheet1!$A$1:$B$200,2,0),"_")</f>
        <v>PC</v>
      </c>
      <c r="K287" s="50" t="s">
        <v>861</v>
      </c>
      <c r="L287" s="16" t="str">
        <f>IFERROR(VLOOKUP(K287,[1]Sheet1!$A$1:$B$200,2,0),"-")</f>
        <v>PC</v>
      </c>
      <c r="M287" s="50" t="s">
        <v>251</v>
      </c>
      <c r="N287" s="16" t="str">
        <f>IFERROR(VLOOKUP(M287,[1]Sheet1!$G$2:$H$200,2,0),"-")</f>
        <v>SNKO</v>
      </c>
      <c r="O287" s="50" t="s">
        <v>1074</v>
      </c>
      <c r="P287" s="17">
        <v>46007</v>
      </c>
      <c r="Q287" s="16" t="s">
        <v>1061</v>
      </c>
      <c r="R287" s="20" t="s">
        <v>1232</v>
      </c>
      <c r="S287" s="21" t="str" cm="1">
        <f t="array" ref="S287">IF(
OR(AD287="",ISERROR(AD287)),
"-",
_xlfn.UNIQUE(_xlfn._xlws.FILTER([1]Sheet1!$D$2:$D$200,ISNUMBER(SEARCH(AD287,[1]Sheet1!$D$2:$D$200))))
)</f>
        <v>주식회사 다원로직스</v>
      </c>
      <c r="T287" s="20" t="s">
        <v>1233</v>
      </c>
      <c r="U287" s="16" t="str" cm="1">
        <f t="array" ref="U287">IF(
OR(AD287="",ISERROR(AD287)),
"-",
_xlfn.UNIQUE(_xlfn._xlws.FILTER([1]Sheet1!$D$2:$D$200,ISNUMBER(SEARCH(AD287,[1]Sheet1!$D$2:$D$200))))
)</f>
        <v>주식회사 다원로직스</v>
      </c>
      <c r="V287" s="23">
        <v>400000</v>
      </c>
      <c r="W287" s="23">
        <v>350000</v>
      </c>
      <c r="X287" s="23">
        <f t="shared" si="10"/>
        <v>50000</v>
      </c>
      <c r="Y287" s="51" t="s">
        <v>1234</v>
      </c>
      <c r="Z287" s="16" t="s">
        <v>115</v>
      </c>
      <c r="AA287" s="16" t="s">
        <v>115</v>
      </c>
      <c r="AB287" s="35" t="s">
        <v>1235</v>
      </c>
      <c r="AC287" s="17" t="s">
        <v>1066</v>
      </c>
      <c r="AD287" s="52" t="s">
        <v>552</v>
      </c>
      <c r="AE287" s="52" t="s">
        <v>1236</v>
      </c>
      <c r="AF287" s="65" t="s">
        <v>1237</v>
      </c>
      <c r="AG287" s="68" t="s">
        <v>1082</v>
      </c>
      <c r="AH287" s="50"/>
      <c r="AI287" s="49" t="s">
        <v>57</v>
      </c>
    </row>
    <row r="288" spans="1:35" s="67" customFormat="1" ht="41.25" customHeight="1" x14ac:dyDescent="0.4">
      <c r="A288" s="50" t="s">
        <v>36</v>
      </c>
      <c r="B288" s="50" t="s">
        <v>37</v>
      </c>
      <c r="C288" s="17">
        <v>46002</v>
      </c>
      <c r="D288" s="21" t="s">
        <v>1058</v>
      </c>
      <c r="E288" s="16" t="s">
        <v>1059</v>
      </c>
      <c r="F288" s="16">
        <v>28755</v>
      </c>
      <c r="G288" s="16" t="s">
        <v>381</v>
      </c>
      <c r="H288" s="50" t="s">
        <v>41</v>
      </c>
      <c r="I288" s="50" t="s">
        <v>861</v>
      </c>
      <c r="J288" s="16" t="str">
        <f>IFERROR(VLOOKUP(I288,[1]Sheet1!$A$1:$B$200,2,0),"_")</f>
        <v>PC</v>
      </c>
      <c r="K288" s="50" t="s">
        <v>861</v>
      </c>
      <c r="L288" s="16" t="str">
        <f>IFERROR(VLOOKUP(K288,[1]Sheet1!$A$1:$B$200,2,0),"-")</f>
        <v>PC</v>
      </c>
      <c r="M288" s="50" t="s">
        <v>251</v>
      </c>
      <c r="N288" s="16" t="str">
        <f>IFERROR(VLOOKUP(M288,[1]Sheet1!$G$2:$H$200,2,0),"-")</f>
        <v>SNKO</v>
      </c>
      <c r="O288" s="50" t="s">
        <v>1074</v>
      </c>
      <c r="P288" s="17">
        <v>46007</v>
      </c>
      <c r="Q288" s="16" t="s">
        <v>555</v>
      </c>
      <c r="R288" s="20" t="s">
        <v>1232</v>
      </c>
      <c r="S288" s="21" t="str" cm="1">
        <f t="array" ref="S288">IF(
OR(AD288="",ISERROR(AD288)),
"-",
_xlfn.UNIQUE(_xlfn._xlws.FILTER([1]Sheet1!$D$2:$D$200,ISNUMBER(SEARCH(AD288,[1]Sheet1!$D$2:$D$200))))
)</f>
        <v>주식회사 다원로직스</v>
      </c>
      <c r="T288" s="20" t="s">
        <v>1233</v>
      </c>
      <c r="U288" s="16" t="str" cm="1">
        <f t="array" ref="U288">IF(
OR(AD288="",ISERROR(AD288)),
"-",
_xlfn.UNIQUE(_xlfn._xlws.FILTER([1]Sheet1!$D$2:$D$200,ISNUMBER(SEARCH(AD288,[1]Sheet1!$D$2:$D$200))))
)</f>
        <v>주식회사 다원로직스</v>
      </c>
      <c r="V288" s="23">
        <v>140000</v>
      </c>
      <c r="W288" s="23">
        <v>140000</v>
      </c>
      <c r="X288" s="23">
        <f t="shared" si="10"/>
        <v>0</v>
      </c>
      <c r="Y288" s="51" t="s">
        <v>1234</v>
      </c>
      <c r="Z288" s="16" t="s">
        <v>115</v>
      </c>
      <c r="AA288" s="16" t="s">
        <v>115</v>
      </c>
      <c r="AB288" s="35" t="s">
        <v>1235</v>
      </c>
      <c r="AC288" s="17" t="s">
        <v>1066</v>
      </c>
      <c r="AD288" s="52" t="s">
        <v>552</v>
      </c>
      <c r="AE288" s="52" t="s">
        <v>1236</v>
      </c>
      <c r="AF288" s="65" t="s">
        <v>1237</v>
      </c>
      <c r="AG288" s="68" t="s">
        <v>1082</v>
      </c>
      <c r="AH288" s="50"/>
      <c r="AI288" s="49" t="s">
        <v>57</v>
      </c>
    </row>
    <row r="289" spans="1:35" s="67" customFormat="1" ht="41.25" customHeight="1" x14ac:dyDescent="0.4">
      <c r="A289" s="50" t="s">
        <v>36</v>
      </c>
      <c r="B289" s="50" t="s">
        <v>37</v>
      </c>
      <c r="C289" s="17">
        <v>46002</v>
      </c>
      <c r="D289" s="21" t="s">
        <v>1058</v>
      </c>
      <c r="E289" s="16" t="s">
        <v>1059</v>
      </c>
      <c r="F289" s="16">
        <v>28755</v>
      </c>
      <c r="G289" s="16" t="s">
        <v>381</v>
      </c>
      <c r="H289" s="50" t="s">
        <v>41</v>
      </c>
      <c r="I289" s="50" t="s">
        <v>861</v>
      </c>
      <c r="J289" s="16" t="str">
        <f>IFERROR(VLOOKUP(I289,[1]Sheet1!$A$1:$B$200,2,0),"_")</f>
        <v>PC</v>
      </c>
      <c r="K289" s="50" t="s">
        <v>861</v>
      </c>
      <c r="L289" s="16" t="str">
        <f>IFERROR(VLOOKUP(K289,[1]Sheet1!$A$1:$B$200,2,0),"-")</f>
        <v>PC</v>
      </c>
      <c r="M289" s="50" t="s">
        <v>251</v>
      </c>
      <c r="N289" s="16" t="str">
        <f>IFERROR(VLOOKUP(M289,[1]Sheet1!$G$2:$H$200,2,0),"-")</f>
        <v>SNKO</v>
      </c>
      <c r="O289" s="50" t="s">
        <v>1074</v>
      </c>
      <c r="P289" s="17">
        <v>46007</v>
      </c>
      <c r="Q289" s="16" t="s">
        <v>1069</v>
      </c>
      <c r="R289" s="20" t="s">
        <v>1232</v>
      </c>
      <c r="S289" s="21" t="str" cm="1">
        <f t="array" ref="S289">IF(
OR(AD289="",ISERROR(AD289)),
"-",
_xlfn.UNIQUE(_xlfn._xlws.FILTER([1]Sheet1!$D$2:$D$200,ISNUMBER(SEARCH(AD289,[1]Sheet1!$D$2:$D$200))))
)</f>
        <v>주식회사 다원로직스</v>
      </c>
      <c r="T289" s="20" t="s">
        <v>1233</v>
      </c>
      <c r="U289" s="16" t="str" cm="1">
        <f t="array" ref="U289">IF(
OR(AD289="",ISERROR(AD289)),
"-",
_xlfn.UNIQUE(_xlfn._xlws.FILTER([1]Sheet1!$D$2:$D$200,ISNUMBER(SEARCH(AD289,[1]Sheet1!$D$2:$D$200))))
)</f>
        <v>주식회사 다원로직스</v>
      </c>
      <c r="V289" s="23">
        <v>50000</v>
      </c>
      <c r="W289" s="23">
        <v>0</v>
      </c>
      <c r="X289" s="23">
        <f t="shared" si="10"/>
        <v>50000</v>
      </c>
      <c r="Y289" s="51" t="s">
        <v>1234</v>
      </c>
      <c r="Z289" s="16" t="s">
        <v>115</v>
      </c>
      <c r="AA289" s="16" t="s">
        <v>115</v>
      </c>
      <c r="AB289" s="35" t="s">
        <v>1235</v>
      </c>
      <c r="AC289" s="17" t="s">
        <v>1066</v>
      </c>
      <c r="AD289" s="52" t="s">
        <v>552</v>
      </c>
      <c r="AE289" s="52" t="s">
        <v>1236</v>
      </c>
      <c r="AF289" s="65" t="s">
        <v>1237</v>
      </c>
      <c r="AG289" s="68" t="s">
        <v>1082</v>
      </c>
      <c r="AH289" s="50"/>
      <c r="AI289" s="49" t="s">
        <v>57</v>
      </c>
    </row>
    <row r="290" spans="1:35" ht="34.950000000000003" customHeight="1" x14ac:dyDescent="0.4">
      <c r="A290" s="16" t="s">
        <v>36</v>
      </c>
      <c r="B290" s="16" t="s">
        <v>37</v>
      </c>
      <c r="C290" s="17">
        <v>46003</v>
      </c>
      <c r="D290" s="21" t="s">
        <v>1238</v>
      </c>
      <c r="E290" s="16" t="s">
        <v>978</v>
      </c>
      <c r="F290" s="16">
        <v>1785</v>
      </c>
      <c r="G290" s="18" t="s">
        <v>1239</v>
      </c>
      <c r="H290" s="16" t="s">
        <v>75</v>
      </c>
      <c r="I290" s="19" t="s">
        <v>137</v>
      </c>
      <c r="J290" s="16" t="str">
        <f>IFERROR(VLOOKUP(I290,[1]Sheet1!$A$1:$B$200,2,0),"_")</f>
        <v>BE</v>
      </c>
      <c r="K290" s="19" t="s">
        <v>42</v>
      </c>
      <c r="L290" s="16" t="str">
        <f>IFERROR(VLOOKUP(K290,[1]Sheet1!$A$1:$B$200,2,0),"-")</f>
        <v>P</v>
      </c>
      <c r="M290" s="19" t="s">
        <v>752</v>
      </c>
      <c r="N290" s="16" t="str">
        <f>IFERROR(VLOOKUP(M290,[1]Sheet1!$G$2:$H$200,2,0),"-")</f>
        <v>ONE</v>
      </c>
      <c r="O290" s="18" t="s">
        <v>1240</v>
      </c>
      <c r="P290" s="17">
        <v>46007</v>
      </c>
      <c r="Q290" s="20" t="s">
        <v>1241</v>
      </c>
      <c r="R290" s="20" t="s">
        <v>1242</v>
      </c>
      <c r="S290" s="21" t="str" cm="1">
        <f t="array" ref="S290">IF(
OR(AD290="",ISERROR(AD290)),
"-",
_xlfn.UNIQUE(_xlfn._xlws.FILTER([1]Sheet1!$D$2:$D$200,ISNUMBER(SEARCH(AD290,[1]Sheet1!$D$2:$D$200))))
)</f>
        <v>양양운수(주)</v>
      </c>
      <c r="T290" s="22" t="s">
        <v>1096</v>
      </c>
      <c r="U290" s="16" t="str" cm="1">
        <f t="array" ref="U290">IF(
OR(AD290="",ISERROR(AD290)),
"-",
_xlfn.UNIQUE(_xlfn._xlws.FILTER([1]Sheet1!$D$2:$D$200,ISNUMBER(SEARCH(AD290,[1]Sheet1!$D$2:$D$200))))
)</f>
        <v>양양운수(주)</v>
      </c>
      <c r="V290" s="23">
        <v>755000</v>
      </c>
      <c r="W290" s="23">
        <v>691100</v>
      </c>
      <c r="X290" s="23">
        <f t="shared" si="10"/>
        <v>63900</v>
      </c>
      <c r="Y290" s="25" t="s">
        <v>1243</v>
      </c>
      <c r="Z290" s="42" t="s">
        <v>51</v>
      </c>
      <c r="AA290" s="19" t="s">
        <v>81</v>
      </c>
      <c r="AB290" s="18" t="s">
        <v>1244</v>
      </c>
      <c r="AC290" s="17" t="str">
        <f t="shared" ref="AC290:AC317" si="11">IF(AI290="ㅇ", "Y", IF(Z290="강다영", "", "Y"))</f>
        <v>Y</v>
      </c>
      <c r="AD290" s="17" t="s">
        <v>619</v>
      </c>
      <c r="AF290" s="27" t="s">
        <v>690</v>
      </c>
      <c r="AG290" s="27" t="s">
        <v>690</v>
      </c>
      <c r="AI290" s="49" t="s">
        <v>57</v>
      </c>
    </row>
    <row r="291" spans="1:35" ht="34.950000000000003" customHeight="1" x14ac:dyDescent="0.4">
      <c r="A291" s="16" t="s">
        <v>36</v>
      </c>
      <c r="B291" s="16" t="s">
        <v>37</v>
      </c>
      <c r="C291" s="17">
        <v>46003</v>
      </c>
      <c r="D291" s="21" t="s">
        <v>1238</v>
      </c>
      <c r="E291" s="16" t="s">
        <v>978</v>
      </c>
      <c r="F291" s="16">
        <v>1785</v>
      </c>
      <c r="G291" s="18" t="s">
        <v>1239</v>
      </c>
      <c r="H291" s="16" t="s">
        <v>75</v>
      </c>
      <c r="I291" s="19" t="s">
        <v>137</v>
      </c>
      <c r="J291" s="16" t="str">
        <f>IFERROR(VLOOKUP(I291,[1]Sheet1!$A$1:$B$200,2,0),"_")</f>
        <v>BE</v>
      </c>
      <c r="K291" s="19" t="s">
        <v>42</v>
      </c>
      <c r="L291" s="16" t="str">
        <f>IFERROR(VLOOKUP(K291,[1]Sheet1!$A$1:$B$200,2,0),"-")</f>
        <v>P</v>
      </c>
      <c r="M291" s="19" t="s">
        <v>752</v>
      </c>
      <c r="N291" s="16" t="str">
        <f>IFERROR(VLOOKUP(M291,[1]Sheet1!$G$2:$H$200,2,0),"-")</f>
        <v>ONE</v>
      </c>
      <c r="O291" s="18" t="s">
        <v>1240</v>
      </c>
      <c r="P291" s="17">
        <v>46007</v>
      </c>
      <c r="Q291" s="20" t="s">
        <v>1241</v>
      </c>
      <c r="R291" s="20" t="s">
        <v>1242</v>
      </c>
      <c r="S291" s="21" t="str" cm="1">
        <f t="array" ref="S291">IF(
OR(AD291="",ISERROR(AD291)),
"-",
_xlfn.UNIQUE(_xlfn._xlws.FILTER([1]Sheet1!$D$2:$D$200,ISNUMBER(SEARCH(AD291,[1]Sheet1!$D$2:$D$200))))
)</f>
        <v>양양운수(주)</v>
      </c>
      <c r="T291" s="22" t="s">
        <v>1096</v>
      </c>
      <c r="U291" s="16" t="str" cm="1">
        <f t="array" ref="U291">IF(
OR(AD291="",ISERROR(AD291)),
"-",
_xlfn.UNIQUE(_xlfn._xlws.FILTER([1]Sheet1!$D$2:$D$200,ISNUMBER(SEARCH(AD291,[1]Sheet1!$D$2:$D$200))))
)</f>
        <v>양양운수(주)</v>
      </c>
      <c r="V291" s="23">
        <v>10000</v>
      </c>
      <c r="W291" s="23">
        <v>10000</v>
      </c>
      <c r="X291" s="23">
        <f t="shared" si="10"/>
        <v>0</v>
      </c>
      <c r="Y291" s="25" t="s">
        <v>1245</v>
      </c>
      <c r="Z291" s="42" t="s">
        <v>51</v>
      </c>
      <c r="AA291" s="19" t="s">
        <v>81</v>
      </c>
      <c r="AB291" s="18" t="s">
        <v>1244</v>
      </c>
      <c r="AC291" s="17" t="str">
        <f t="shared" si="11"/>
        <v>Y</v>
      </c>
      <c r="AD291" s="17" t="s">
        <v>619</v>
      </c>
      <c r="AF291" s="27" t="s">
        <v>690</v>
      </c>
      <c r="AG291" s="27" t="s">
        <v>690</v>
      </c>
      <c r="AI291" s="49" t="s">
        <v>57</v>
      </c>
    </row>
    <row r="292" spans="1:35" ht="34.950000000000003" customHeight="1" x14ac:dyDescent="0.4">
      <c r="A292" s="16" t="s">
        <v>36</v>
      </c>
      <c r="B292" s="16" t="s">
        <v>37</v>
      </c>
      <c r="C292" s="17">
        <v>46003</v>
      </c>
      <c r="D292" s="16" t="s">
        <v>229</v>
      </c>
      <c r="E292" s="16" t="s">
        <v>229</v>
      </c>
      <c r="F292" s="16">
        <v>3641</v>
      </c>
      <c r="G292" s="18" t="s">
        <v>1246</v>
      </c>
      <c r="H292" s="16" t="s">
        <v>41</v>
      </c>
      <c r="I292" s="19" t="s">
        <v>137</v>
      </c>
      <c r="J292" s="16" t="str">
        <f>IFERROR(VLOOKUP(I292,[1]Sheet1!$A$1:$B$200,2,0),"_")</f>
        <v>BE</v>
      </c>
      <c r="K292" s="19" t="s">
        <v>751</v>
      </c>
      <c r="L292" s="16" t="str">
        <f>IFERROR(VLOOKUP(K292,[1]Sheet1!$A$1:$B$200,2,0),"-")</f>
        <v>PN</v>
      </c>
      <c r="M292" s="19" t="s">
        <v>159</v>
      </c>
      <c r="N292" s="16" t="str">
        <f>IFERROR(VLOOKUP(M292,[1]Sheet1!$G$2:$H$200,2,0),"-")</f>
        <v>MAEU</v>
      </c>
      <c r="O292" s="18" t="s">
        <v>1247</v>
      </c>
      <c r="P292" s="17">
        <v>46008</v>
      </c>
      <c r="Q292" s="20" t="s">
        <v>1248</v>
      </c>
      <c r="R292" s="20" t="s">
        <v>1249</v>
      </c>
      <c r="S292" s="21" t="str" cm="1">
        <f t="array" ref="S292">IF(
OR(AD292="",ISERROR(AD292)),
"-",
_xlfn.UNIQUE(_xlfn._xlws.FILTER([1]Sheet1!$D$2:$D$200,ISNUMBER(SEARCH(AD292,[1]Sheet1!$D$2:$D$200))))
)</f>
        <v>양양운수(주)</v>
      </c>
      <c r="T292" s="22" t="s">
        <v>1250</v>
      </c>
      <c r="U292" s="16" t="str" cm="1">
        <f t="array" ref="U292">IF(
OR(AD292="",ISERROR(AD292)),
"-",
_xlfn.UNIQUE(_xlfn._xlws.FILTER([1]Sheet1!$D$2:$D$200,ISNUMBER(SEARCH(AD292,[1]Sheet1!$D$2:$D$200))))
)</f>
        <v>양양운수(주)</v>
      </c>
      <c r="V292" s="23">
        <v>860000</v>
      </c>
      <c r="W292" s="23">
        <v>770800</v>
      </c>
      <c r="X292" s="23">
        <f t="shared" si="10"/>
        <v>89200</v>
      </c>
      <c r="Y292" s="25" t="s">
        <v>1251</v>
      </c>
      <c r="Z292" s="42" t="s">
        <v>51</v>
      </c>
      <c r="AA292" s="19" t="s">
        <v>81</v>
      </c>
      <c r="AB292" s="18" t="s">
        <v>1252</v>
      </c>
      <c r="AC292" s="17" t="str">
        <f t="shared" si="11"/>
        <v>Y</v>
      </c>
      <c r="AD292" s="17" t="s">
        <v>619</v>
      </c>
      <c r="AF292" s="27" t="s">
        <v>690</v>
      </c>
      <c r="AG292" s="27" t="s">
        <v>690</v>
      </c>
      <c r="AI292" s="49" t="s">
        <v>57</v>
      </c>
    </row>
    <row r="293" spans="1:35" ht="34.950000000000003" customHeight="1" x14ac:dyDescent="0.4">
      <c r="A293" s="16" t="s">
        <v>71</v>
      </c>
      <c r="B293" s="16" t="s">
        <v>37</v>
      </c>
      <c r="C293" s="17">
        <v>46003</v>
      </c>
      <c r="D293" s="16" t="s">
        <v>628</v>
      </c>
      <c r="E293" s="16" t="s">
        <v>665</v>
      </c>
      <c r="F293" s="16">
        <v>28842</v>
      </c>
      <c r="G293" s="18" t="s">
        <v>1253</v>
      </c>
      <c r="H293" s="16" t="s">
        <v>711</v>
      </c>
      <c r="I293" s="19" t="s">
        <v>272</v>
      </c>
      <c r="J293" s="16" t="str">
        <f>IFERROR(VLOOKUP(I293,[1]Sheet1!$A$1:$B$200,2,0),"_")</f>
        <v>Z9</v>
      </c>
      <c r="K293" s="19" t="s">
        <v>272</v>
      </c>
      <c r="L293" s="16" t="str">
        <f>IFERROR(VLOOKUP(K293,[1]Sheet1!$A$1:$B$200,2,0),"-")</f>
        <v>Z9</v>
      </c>
      <c r="M293" s="19" t="s">
        <v>251</v>
      </c>
      <c r="N293" s="16" t="str">
        <f>IFERROR(VLOOKUP(M293,[1]Sheet1!$G$2:$H$200,2,0),"-")</f>
        <v>SNKO</v>
      </c>
      <c r="O293" s="18" t="s">
        <v>55</v>
      </c>
      <c r="P293" s="17" t="s">
        <v>55</v>
      </c>
      <c r="Q293" s="20" t="s">
        <v>1254</v>
      </c>
      <c r="R293" s="20"/>
      <c r="S293" s="21" t="str" cm="1">
        <f t="array" ref="S293">IF(
OR(AD293="",ISERROR(AD293)),
"-",
_xlfn.UNIQUE(_xlfn._xlws.FILTER([1]Sheet1!$D$2:$D$200,ISNUMBER(SEARCH(AD293,[1]Sheet1!$D$2:$D$200))))
)</f>
        <v>에스지로지스틱</v>
      </c>
      <c r="T293" s="22" t="s">
        <v>1255</v>
      </c>
      <c r="U293" s="16" t="str" cm="1">
        <f t="array" ref="U293">IF(
OR(AD293="",ISERROR(AD293)),
"-",
_xlfn.UNIQUE(_xlfn._xlws.FILTER([1]Sheet1!$D$2:$D$200,ISNUMBER(SEARCH(AD293,[1]Sheet1!$D$2:$D$200))))
)</f>
        <v>에스지로지스틱</v>
      </c>
      <c r="V293" s="23">
        <v>366000</v>
      </c>
      <c r="W293" s="23">
        <v>342400</v>
      </c>
      <c r="X293" s="23">
        <f t="shared" si="10"/>
        <v>23600</v>
      </c>
      <c r="Y293" s="25" t="s">
        <v>1256</v>
      </c>
      <c r="Z293" s="42" t="s">
        <v>51</v>
      </c>
      <c r="AA293" s="19" t="s">
        <v>472</v>
      </c>
      <c r="AC293" s="17" t="str">
        <f t="shared" si="11"/>
        <v>Y</v>
      </c>
      <c r="AD293" s="17" t="s">
        <v>184</v>
      </c>
      <c r="AF293" s="27" t="s">
        <v>690</v>
      </c>
      <c r="AG293" s="27" t="s">
        <v>690</v>
      </c>
      <c r="AI293" s="49" t="s">
        <v>57</v>
      </c>
    </row>
    <row r="294" spans="1:35" ht="34.950000000000003" customHeight="1" x14ac:dyDescent="0.4">
      <c r="A294" s="16" t="s">
        <v>71</v>
      </c>
      <c r="B294" s="16" t="s">
        <v>37</v>
      </c>
      <c r="C294" s="17">
        <v>46003</v>
      </c>
      <c r="D294" s="16" t="s">
        <v>628</v>
      </c>
      <c r="E294" s="16" t="s">
        <v>665</v>
      </c>
      <c r="F294" s="16">
        <v>28842</v>
      </c>
      <c r="G294" s="18" t="s">
        <v>1253</v>
      </c>
      <c r="H294" s="16" t="s">
        <v>711</v>
      </c>
      <c r="I294" s="19" t="s">
        <v>272</v>
      </c>
      <c r="J294" s="16" t="str">
        <f>IFERROR(VLOOKUP(I294,[1]Sheet1!$A$1:$B$200,2,0),"_")</f>
        <v>Z9</v>
      </c>
      <c r="K294" s="19" t="s">
        <v>272</v>
      </c>
      <c r="L294" s="16" t="str">
        <f>IFERROR(VLOOKUP(K294,[1]Sheet1!$A$1:$B$200,2,0),"-")</f>
        <v>Z9</v>
      </c>
      <c r="M294" s="19" t="s">
        <v>251</v>
      </c>
      <c r="N294" s="16" t="str">
        <f>IFERROR(VLOOKUP(M294,[1]Sheet1!$G$2:$H$200,2,0),"-")</f>
        <v>SNKO</v>
      </c>
      <c r="O294" s="18" t="s">
        <v>55</v>
      </c>
      <c r="P294" s="17" t="s">
        <v>55</v>
      </c>
      <c r="Q294" s="20" t="s">
        <v>1254</v>
      </c>
      <c r="R294" s="20"/>
      <c r="S294" s="21" t="str" cm="1">
        <f t="array" ref="S294">IF(
OR(AD294="",ISERROR(AD294)),
"-",
_xlfn.UNIQUE(_xlfn._xlws.FILTER([1]Sheet1!$D$2:$D$200,ISNUMBER(SEARCH(AD294,[1]Sheet1!$D$2:$D$200))))
)</f>
        <v>에스지로지스틱</v>
      </c>
      <c r="T294" s="22" t="s">
        <v>1255</v>
      </c>
      <c r="U294" s="16" t="str" cm="1">
        <f t="array" ref="U294">IF(
OR(AD294="",ISERROR(AD294)),
"-",
_xlfn.UNIQUE(_xlfn._xlws.FILTER([1]Sheet1!$D$2:$D$200,ISNUMBER(SEARCH(AD294,[1]Sheet1!$D$2:$D$200))))
)</f>
        <v>에스지로지스틱</v>
      </c>
      <c r="V294" s="23">
        <v>120000</v>
      </c>
      <c r="X294" s="23">
        <f t="shared" si="10"/>
        <v>120000</v>
      </c>
      <c r="Y294" s="25" t="s">
        <v>1257</v>
      </c>
      <c r="Z294" s="42" t="s">
        <v>51</v>
      </c>
      <c r="AA294" s="19" t="s">
        <v>472</v>
      </c>
      <c r="AB294" s="18" t="s">
        <v>1258</v>
      </c>
      <c r="AC294" s="17" t="str">
        <f t="shared" si="11"/>
        <v>Y</v>
      </c>
      <c r="AD294" s="17" t="s">
        <v>184</v>
      </c>
      <c r="AF294" s="27">
        <v>46003</v>
      </c>
      <c r="AG294" s="27" t="s">
        <v>1259</v>
      </c>
      <c r="AI294" s="49" t="s">
        <v>57</v>
      </c>
    </row>
    <row r="295" spans="1:35" ht="34.950000000000003" customHeight="1" x14ac:dyDescent="0.4">
      <c r="A295" s="16" t="s">
        <v>36</v>
      </c>
      <c r="B295" s="16" t="s">
        <v>99</v>
      </c>
      <c r="C295" s="17">
        <v>46003</v>
      </c>
      <c r="D295" s="16" t="s">
        <v>1260</v>
      </c>
      <c r="E295" s="16" t="s">
        <v>1261</v>
      </c>
      <c r="F295" s="16">
        <v>28816</v>
      </c>
      <c r="G295" s="18" t="s">
        <v>1262</v>
      </c>
      <c r="H295" s="16" t="s">
        <v>1263</v>
      </c>
      <c r="I295" s="19" t="s">
        <v>76</v>
      </c>
      <c r="J295" s="16" t="str">
        <f>IFERROR(VLOOKUP(I295,[1]Sheet1!$A$1:$B$200,2,0),"_")</f>
        <v>NJ</v>
      </c>
      <c r="K295" s="19" t="s">
        <v>76</v>
      </c>
      <c r="L295" s="16" t="str">
        <f>IFERROR(VLOOKUP(K295,[1]Sheet1!$A$1:$B$200,2,0),"-")</f>
        <v>NJ</v>
      </c>
      <c r="M295" s="19" t="s">
        <v>578</v>
      </c>
      <c r="N295" s="16" t="str">
        <f>IFERROR(VLOOKUP(M295,[1]Sheet1!$G$2:$H$200,2,0),"-")</f>
        <v>PCSL</v>
      </c>
      <c r="O295" s="18" t="s">
        <v>712</v>
      </c>
      <c r="P295" s="17">
        <v>46005</v>
      </c>
      <c r="Q295" s="20" t="s">
        <v>1264</v>
      </c>
      <c r="R295" s="20" t="s">
        <v>1265</v>
      </c>
      <c r="S295" s="21" t="str" cm="1">
        <f t="array" ref="S295">IF(
OR(AD295="",ISERROR(AD295)),
"-",
_xlfn.UNIQUE(_xlfn._xlws.FILTER([1]Sheet1!$D$2:$D$200,ISNUMBER(SEARCH(AD295,[1]Sheet1!$D$2:$D$200))))
)</f>
        <v>태성종합물류</v>
      </c>
      <c r="T295" s="22" t="s">
        <v>1266</v>
      </c>
      <c r="U295" s="16" t="str" cm="1">
        <f t="array" ref="U295">IF(
OR(AD295="",ISERROR(AD295)),
"-",
_xlfn.UNIQUE(_xlfn._xlws.FILTER([1]Sheet1!$D$2:$D$200,ISNUMBER(SEARCH(AD295,[1]Sheet1!$D$2:$D$200))))
)</f>
        <v>태성종합물류</v>
      </c>
      <c r="V295" s="23">
        <v>292000</v>
      </c>
      <c r="W295" s="23">
        <v>272600</v>
      </c>
      <c r="X295" s="23">
        <f t="shared" si="10"/>
        <v>19400</v>
      </c>
      <c r="Y295" s="25" t="s">
        <v>1267</v>
      </c>
      <c r="Z295" s="42" t="s">
        <v>51</v>
      </c>
      <c r="AA295" s="19" t="s">
        <v>93</v>
      </c>
      <c r="AB295" s="35" t="s">
        <v>1268</v>
      </c>
      <c r="AC295" s="17" t="str">
        <f t="shared" si="11"/>
        <v>Y</v>
      </c>
      <c r="AD295" s="17" t="s">
        <v>82</v>
      </c>
      <c r="AE295" s="26">
        <v>0.33333333333333331</v>
      </c>
      <c r="AF295" s="27" t="s">
        <v>690</v>
      </c>
      <c r="AG295" s="27" t="s">
        <v>690</v>
      </c>
      <c r="AI295" s="49" t="s">
        <v>57</v>
      </c>
    </row>
    <row r="296" spans="1:35" ht="34.950000000000003" customHeight="1" x14ac:dyDescent="0.4">
      <c r="A296" s="16" t="s">
        <v>36</v>
      </c>
      <c r="B296" s="16" t="s">
        <v>99</v>
      </c>
      <c r="C296" s="17">
        <v>46003</v>
      </c>
      <c r="D296" s="16" t="s">
        <v>1260</v>
      </c>
      <c r="E296" s="16" t="s">
        <v>1261</v>
      </c>
      <c r="F296" s="16">
        <v>28816</v>
      </c>
      <c r="G296" s="18" t="s">
        <v>1262</v>
      </c>
      <c r="H296" s="16" t="s">
        <v>1263</v>
      </c>
      <c r="I296" s="19" t="s">
        <v>76</v>
      </c>
      <c r="J296" s="16" t="str">
        <f>IFERROR(VLOOKUP(I296,[1]Sheet1!$A$1:$B$200,2,0),"_")</f>
        <v>NJ</v>
      </c>
      <c r="K296" s="19" t="s">
        <v>76</v>
      </c>
      <c r="L296" s="16" t="str">
        <f>IFERROR(VLOOKUP(K296,[1]Sheet1!$A$1:$B$200,2,0),"-")</f>
        <v>NJ</v>
      </c>
      <c r="M296" s="19" t="s">
        <v>578</v>
      </c>
      <c r="N296" s="16" t="str">
        <f>IFERROR(VLOOKUP(M296,[1]Sheet1!$G$2:$H$200,2,0),"-")</f>
        <v>PCSL</v>
      </c>
      <c r="O296" s="18" t="s">
        <v>712</v>
      </c>
      <c r="P296" s="17">
        <v>46005</v>
      </c>
      <c r="Q296" s="20" t="s">
        <v>1269</v>
      </c>
      <c r="R296" s="20" t="s">
        <v>1270</v>
      </c>
      <c r="S296" s="21" t="str" cm="1">
        <f t="array" ref="S296">IF(
OR(AD296="",ISERROR(AD296)),
"-",
_xlfn.UNIQUE(_xlfn._xlws.FILTER([1]Sheet1!$D$2:$D$200,ISNUMBER(SEARCH(AD296,[1]Sheet1!$D$2:$D$200))))
)</f>
        <v>태성종합물류</v>
      </c>
      <c r="T296" s="22" t="s">
        <v>917</v>
      </c>
      <c r="U296" s="16" t="str" cm="1">
        <f t="array" ref="U296">IF(
OR(AD296="",ISERROR(AD296)),
"-",
_xlfn.UNIQUE(_xlfn._xlws.FILTER([1]Sheet1!$D$2:$D$200,ISNUMBER(SEARCH(AD296,[1]Sheet1!$D$2:$D$200))))
)</f>
        <v>태성종합물류</v>
      </c>
      <c r="V296" s="23">
        <v>292000</v>
      </c>
      <c r="W296" s="23">
        <v>272600</v>
      </c>
      <c r="X296" s="23">
        <f t="shared" si="10"/>
        <v>19400</v>
      </c>
      <c r="Y296" s="25" t="s">
        <v>1267</v>
      </c>
      <c r="Z296" s="42" t="s">
        <v>51</v>
      </c>
      <c r="AA296" s="19" t="s">
        <v>93</v>
      </c>
      <c r="AB296" s="35" t="s">
        <v>1268</v>
      </c>
      <c r="AC296" s="17" t="str">
        <f t="shared" si="11"/>
        <v>Y</v>
      </c>
      <c r="AD296" s="17" t="s">
        <v>82</v>
      </c>
      <c r="AE296" s="26">
        <v>0.41666666666666669</v>
      </c>
      <c r="AF296" s="27" t="s">
        <v>690</v>
      </c>
      <c r="AG296" s="27" t="s">
        <v>690</v>
      </c>
      <c r="AI296" s="49" t="s">
        <v>57</v>
      </c>
    </row>
    <row r="297" spans="1:35" ht="34.950000000000003" customHeight="1" x14ac:dyDescent="0.4">
      <c r="A297" s="16" t="s">
        <v>36</v>
      </c>
      <c r="B297" s="16" t="s">
        <v>99</v>
      </c>
      <c r="C297" s="17">
        <v>46003</v>
      </c>
      <c r="D297" s="16" t="s">
        <v>1260</v>
      </c>
      <c r="E297" s="16" t="s">
        <v>1261</v>
      </c>
      <c r="F297" s="16">
        <v>28816</v>
      </c>
      <c r="G297" s="18" t="s">
        <v>1262</v>
      </c>
      <c r="H297" s="16" t="s">
        <v>1263</v>
      </c>
      <c r="I297" s="19" t="s">
        <v>76</v>
      </c>
      <c r="J297" s="16" t="str">
        <f>IFERROR(VLOOKUP(I297,[1]Sheet1!$A$1:$B$200,2,0),"_")</f>
        <v>NJ</v>
      </c>
      <c r="K297" s="19" t="s">
        <v>76</v>
      </c>
      <c r="L297" s="16" t="str">
        <f>IFERROR(VLOOKUP(K297,[1]Sheet1!$A$1:$B$200,2,0),"-")</f>
        <v>NJ</v>
      </c>
      <c r="M297" s="19" t="s">
        <v>578</v>
      </c>
      <c r="N297" s="16" t="str">
        <f>IFERROR(VLOOKUP(M297,[1]Sheet1!$G$2:$H$200,2,0),"-")</f>
        <v>PCSL</v>
      </c>
      <c r="O297" s="18" t="s">
        <v>712</v>
      </c>
      <c r="P297" s="17">
        <v>46005</v>
      </c>
      <c r="Q297" s="20" t="s">
        <v>1269</v>
      </c>
      <c r="R297" s="20" t="s">
        <v>1270</v>
      </c>
      <c r="S297" s="21" t="str" cm="1">
        <f t="array" ref="S297">IF(
OR(AD297="",ISERROR(AD297)),
"-",
_xlfn.UNIQUE(_xlfn._xlws.FILTER([1]Sheet1!$D$2:$D$200,ISNUMBER(SEARCH(AD297,[1]Sheet1!$D$2:$D$200))))
)</f>
        <v>태성종합물류</v>
      </c>
      <c r="T297" s="22" t="s">
        <v>917</v>
      </c>
      <c r="U297" s="16" t="str" cm="1">
        <f t="array" ref="U297">IF(
OR(AD297="",ISERROR(AD297)),
"-",
_xlfn.UNIQUE(_xlfn._xlws.FILTER([1]Sheet1!$D$2:$D$200,ISNUMBER(SEARCH(AD297,[1]Sheet1!$D$2:$D$200))))
)</f>
        <v>태성종합물류</v>
      </c>
      <c r="V297" s="23">
        <v>10000</v>
      </c>
      <c r="W297" s="23">
        <v>10000</v>
      </c>
      <c r="X297" s="23">
        <f t="shared" si="10"/>
        <v>0</v>
      </c>
      <c r="Y297" s="25" t="s">
        <v>1271</v>
      </c>
      <c r="Z297" s="42" t="s">
        <v>51</v>
      </c>
      <c r="AA297" s="19" t="s">
        <v>93</v>
      </c>
      <c r="AC297" s="17" t="str">
        <f t="shared" si="11"/>
        <v>Y</v>
      </c>
      <c r="AD297" s="17" t="s">
        <v>82</v>
      </c>
      <c r="AE297" s="26">
        <v>0.41666666666666669</v>
      </c>
      <c r="AF297" s="27" t="s">
        <v>690</v>
      </c>
      <c r="AG297" s="27" t="s">
        <v>690</v>
      </c>
      <c r="AI297" s="49" t="s">
        <v>57</v>
      </c>
    </row>
    <row r="298" spans="1:35" ht="34.950000000000003" customHeight="1" x14ac:dyDescent="0.4">
      <c r="A298" s="16" t="s">
        <v>36</v>
      </c>
      <c r="B298" s="16" t="s">
        <v>99</v>
      </c>
      <c r="C298" s="17">
        <v>46003</v>
      </c>
      <c r="D298" s="16" t="s">
        <v>1260</v>
      </c>
      <c r="E298" s="16" t="s">
        <v>1261</v>
      </c>
      <c r="F298" s="16">
        <v>28816</v>
      </c>
      <c r="G298" s="18" t="s">
        <v>1262</v>
      </c>
      <c r="H298" s="16" t="s">
        <v>1263</v>
      </c>
      <c r="I298" s="19" t="s">
        <v>76</v>
      </c>
      <c r="J298" s="16" t="str">
        <f>IFERROR(VLOOKUP(I298,[1]Sheet1!$A$1:$B$200,2,0),"_")</f>
        <v>NJ</v>
      </c>
      <c r="K298" s="19" t="s">
        <v>76</v>
      </c>
      <c r="L298" s="16" t="str">
        <f>IFERROR(VLOOKUP(K298,[1]Sheet1!$A$1:$B$200,2,0),"-")</f>
        <v>NJ</v>
      </c>
      <c r="M298" s="19" t="s">
        <v>578</v>
      </c>
      <c r="N298" s="16" t="str">
        <f>IFERROR(VLOOKUP(M298,[1]Sheet1!$G$2:$H$200,2,0),"-")</f>
        <v>PCSL</v>
      </c>
      <c r="O298" s="18" t="s">
        <v>712</v>
      </c>
      <c r="P298" s="17">
        <v>46005</v>
      </c>
      <c r="Q298" s="20" t="s">
        <v>1264</v>
      </c>
      <c r="R298" s="20" t="s">
        <v>1265</v>
      </c>
      <c r="S298" s="21" t="str" cm="1">
        <f t="array" ref="S298">IF(
OR(AD298="",ISERROR(AD298)),
"-",
_xlfn.UNIQUE(_xlfn._xlws.FILTER([1]Sheet1!$D$2:$D$200,ISNUMBER(SEARCH(AD298,[1]Sheet1!$D$2:$D$200))))
)</f>
        <v>태성종합물류</v>
      </c>
      <c r="T298" s="22" t="s">
        <v>1266</v>
      </c>
      <c r="U298" s="16" t="str" cm="1">
        <f t="array" ref="U298">IF(
OR(AD298="",ISERROR(AD298)),
"-",
_xlfn.UNIQUE(_xlfn._xlws.FILTER([1]Sheet1!$D$2:$D$200,ISNUMBER(SEARCH(AD298,[1]Sheet1!$D$2:$D$200))))
)</f>
        <v>태성종합물류</v>
      </c>
      <c r="V298" s="23">
        <v>10000</v>
      </c>
      <c r="W298" s="23">
        <v>10000</v>
      </c>
      <c r="X298" s="23">
        <f t="shared" si="10"/>
        <v>0</v>
      </c>
      <c r="Y298" s="25" t="s">
        <v>1271</v>
      </c>
      <c r="Z298" s="42" t="s">
        <v>51</v>
      </c>
      <c r="AA298" s="19" t="s">
        <v>93</v>
      </c>
      <c r="AC298" s="17" t="str">
        <f t="shared" si="11"/>
        <v>Y</v>
      </c>
      <c r="AD298" s="17" t="s">
        <v>82</v>
      </c>
      <c r="AE298" s="26">
        <v>0.33333333333333331</v>
      </c>
      <c r="AF298" s="27" t="s">
        <v>690</v>
      </c>
      <c r="AG298" s="27" t="s">
        <v>690</v>
      </c>
      <c r="AI298" s="49" t="s">
        <v>57</v>
      </c>
    </row>
    <row r="299" spans="1:35" ht="34.950000000000003" customHeight="1" x14ac:dyDescent="0.4">
      <c r="A299" s="16" t="s">
        <v>71</v>
      </c>
      <c r="B299" s="16" t="s">
        <v>37</v>
      </c>
      <c r="C299" s="17">
        <v>46003</v>
      </c>
      <c r="D299" s="16" t="s">
        <v>855</v>
      </c>
      <c r="E299" s="16" t="s">
        <v>1272</v>
      </c>
      <c r="F299" s="16">
        <v>26969</v>
      </c>
      <c r="G299" s="18" t="s">
        <v>1210</v>
      </c>
      <c r="H299" s="16" t="s">
        <v>711</v>
      </c>
      <c r="I299" s="19" t="s">
        <v>42</v>
      </c>
      <c r="J299" s="16" t="str">
        <f>IFERROR(VLOOKUP(I299,[1]Sheet1!$A$1:$B$200,2,0),"_")</f>
        <v>P</v>
      </c>
      <c r="K299" s="19" t="s">
        <v>42</v>
      </c>
      <c r="L299" s="16" t="str">
        <f>IFERROR(VLOOKUP(K299,[1]Sheet1!$A$1:$B$200,2,0),"-")</f>
        <v>P</v>
      </c>
      <c r="M299" s="19" t="s">
        <v>151</v>
      </c>
      <c r="N299" s="16" t="str">
        <f>IFERROR(VLOOKUP(M299,[1]Sheet1!$G$2:$H$200,2,0),"-")</f>
        <v>NSSL</v>
      </c>
      <c r="O299" s="18" t="s">
        <v>55</v>
      </c>
      <c r="P299" s="17" t="s">
        <v>55</v>
      </c>
      <c r="Q299" s="20" t="s">
        <v>1273</v>
      </c>
      <c r="R299" s="20"/>
      <c r="S299" s="21" t="str" cm="1">
        <f t="array" ref="S299">IF(
OR(AD299="",ISERROR(AD299)),
"-",
_xlfn.UNIQUE(_xlfn._xlws.FILTER([1]Sheet1!$D$2:$D$200,ISNUMBER(SEARCH(AD299,[1]Sheet1!$D$2:$D$200))))
)</f>
        <v>에스지로지스틱</v>
      </c>
      <c r="T299" s="22" t="s">
        <v>1274</v>
      </c>
      <c r="U299" s="16" t="str" cm="1">
        <f t="array" ref="U299">IF(
OR(AD299="",ISERROR(AD299)),
"-",
_xlfn.UNIQUE(_xlfn._xlws.FILTER([1]Sheet1!$D$2:$D$200,ISNUMBER(SEARCH(AD299,[1]Sheet1!$D$2:$D$200))))
)</f>
        <v>에스지로지스틱</v>
      </c>
      <c r="V299" s="23">
        <v>310000</v>
      </c>
      <c r="W299" s="23">
        <v>274000</v>
      </c>
      <c r="X299" s="23">
        <f t="shared" si="10"/>
        <v>36000</v>
      </c>
      <c r="Y299" s="25" t="s">
        <v>1275</v>
      </c>
      <c r="Z299" s="42" t="s">
        <v>51</v>
      </c>
      <c r="AA299" s="19" t="s">
        <v>144</v>
      </c>
      <c r="AC299" s="17" t="str">
        <f t="shared" si="11"/>
        <v>Y</v>
      </c>
      <c r="AD299" s="17" t="s">
        <v>184</v>
      </c>
      <c r="AF299" s="27" t="s">
        <v>690</v>
      </c>
      <c r="AG299" s="27" t="s">
        <v>690</v>
      </c>
      <c r="AI299" s="49" t="s">
        <v>57</v>
      </c>
    </row>
    <row r="300" spans="1:35" ht="34.950000000000003" customHeight="1" x14ac:dyDescent="0.4">
      <c r="A300" s="16" t="s">
        <v>36</v>
      </c>
      <c r="B300" s="16" t="s">
        <v>99</v>
      </c>
      <c r="C300" s="17">
        <v>46003</v>
      </c>
      <c r="D300" s="16" t="s">
        <v>1260</v>
      </c>
      <c r="E300" s="16" t="s">
        <v>1261</v>
      </c>
      <c r="F300" s="16">
        <v>28816</v>
      </c>
      <c r="G300" s="18" t="s">
        <v>1262</v>
      </c>
      <c r="H300" s="16" t="s">
        <v>1276</v>
      </c>
      <c r="I300" s="19" t="s">
        <v>76</v>
      </c>
      <c r="J300" s="16" t="str">
        <f>IFERROR(VLOOKUP(I300,[1]Sheet1!$A$1:$B$200,2,0),"_")</f>
        <v>NJ</v>
      </c>
      <c r="K300" s="19" t="s">
        <v>76</v>
      </c>
      <c r="L300" s="16" t="str">
        <f>IFERROR(VLOOKUP(K300,[1]Sheet1!$A$1:$B$200,2,0),"-")</f>
        <v>NJ</v>
      </c>
      <c r="M300" s="19" t="s">
        <v>578</v>
      </c>
      <c r="N300" s="16" t="str">
        <f>IFERROR(VLOOKUP(M300,[1]Sheet1!$G$2:$H$200,2,0),"-")</f>
        <v>PCSL</v>
      </c>
      <c r="O300" s="18" t="s">
        <v>712</v>
      </c>
      <c r="P300" s="17">
        <v>46005</v>
      </c>
      <c r="Q300" s="20" t="s">
        <v>722</v>
      </c>
      <c r="R300" s="20" t="s">
        <v>1277</v>
      </c>
      <c r="S300" s="21" t="str" cm="1">
        <f t="array" ref="S300">IF(
OR(AD300="",ISERROR(AD300)),
"-",
_xlfn.UNIQUE(_xlfn._xlws.FILTER([1]Sheet1!$D$2:$D$200,ISNUMBER(SEARCH(AD300,[1]Sheet1!$D$2:$D$200))))
)</f>
        <v>동화로지스틱스</v>
      </c>
      <c r="T300" s="22" t="s">
        <v>1278</v>
      </c>
      <c r="U300" s="16" t="str" cm="1">
        <f t="array" ref="U300">IF(
OR(AD300="",ISERROR(AD300)),
"-",
_xlfn.UNIQUE(_xlfn._xlws.FILTER([1]Sheet1!$D$2:$D$200,ISNUMBER(SEARCH(AD300,[1]Sheet1!$D$2:$D$200))))
)</f>
        <v>동화로지스틱스</v>
      </c>
      <c r="V300" s="23">
        <v>650000</v>
      </c>
      <c r="W300" s="23">
        <v>580000</v>
      </c>
      <c r="X300" s="23">
        <f t="shared" si="10"/>
        <v>70000</v>
      </c>
      <c r="Y300" s="25" t="s">
        <v>1279</v>
      </c>
      <c r="Z300" s="42" t="s">
        <v>51</v>
      </c>
      <c r="AA300" s="19" t="s">
        <v>93</v>
      </c>
      <c r="AB300" s="18" t="s">
        <v>1280</v>
      </c>
      <c r="AC300" s="17" t="str">
        <f t="shared" si="11"/>
        <v>Y</v>
      </c>
      <c r="AD300" s="17" t="s">
        <v>727</v>
      </c>
      <c r="AE300" s="26">
        <v>0.54166666666666663</v>
      </c>
      <c r="AF300" s="27" t="s">
        <v>690</v>
      </c>
      <c r="AG300" s="27" t="s">
        <v>690</v>
      </c>
      <c r="AI300" s="49" t="s">
        <v>57</v>
      </c>
    </row>
    <row r="301" spans="1:35" ht="34.200000000000003" customHeight="1" x14ac:dyDescent="0.4">
      <c r="A301" s="16" t="s">
        <v>36</v>
      </c>
      <c r="B301" s="16" t="s">
        <v>99</v>
      </c>
      <c r="C301" s="17">
        <v>46003</v>
      </c>
      <c r="D301" s="16" t="s">
        <v>1260</v>
      </c>
      <c r="E301" s="16" t="s">
        <v>1261</v>
      </c>
      <c r="F301" s="16">
        <v>28816</v>
      </c>
      <c r="G301" s="18" t="s">
        <v>1262</v>
      </c>
      <c r="H301" s="16" t="s">
        <v>1276</v>
      </c>
      <c r="I301" s="19" t="s">
        <v>76</v>
      </c>
      <c r="J301" s="16" t="str">
        <f>IFERROR(VLOOKUP(I301,[1]Sheet1!$A$1:$B$200,2,0),"_")</f>
        <v>NJ</v>
      </c>
      <c r="K301" s="19" t="s">
        <v>76</v>
      </c>
      <c r="L301" s="16" t="str">
        <f>IFERROR(VLOOKUP(K301,[1]Sheet1!$A$1:$B$200,2,0),"-")</f>
        <v>NJ</v>
      </c>
      <c r="M301" s="19" t="s">
        <v>578</v>
      </c>
      <c r="N301" s="16" t="str">
        <f>IFERROR(VLOOKUP(M301,[1]Sheet1!$G$2:$H$200,2,0),"-")</f>
        <v>PCSL</v>
      </c>
      <c r="O301" s="18" t="s">
        <v>712</v>
      </c>
      <c r="P301" s="17">
        <v>46005</v>
      </c>
      <c r="Q301" s="20" t="s">
        <v>722</v>
      </c>
      <c r="R301" s="20" t="s">
        <v>1277</v>
      </c>
      <c r="S301" s="21" t="str" cm="1">
        <f t="array" ref="S301">IF(
OR(AD301="",ISERROR(AD301)),
"-",
_xlfn.UNIQUE(_xlfn._xlws.FILTER([1]Sheet1!$D$2:$D$200,ISNUMBER(SEARCH(AD301,[1]Sheet1!$D$2:$D$200))))
)</f>
        <v>동화로지스틱스</v>
      </c>
      <c r="T301" s="22" t="s">
        <v>1278</v>
      </c>
      <c r="U301" s="16" t="str" cm="1">
        <f t="array" ref="U301">IF(
OR(AD301="",ISERROR(AD301)),
"-",
_xlfn.UNIQUE(_xlfn._xlws.FILTER([1]Sheet1!$D$2:$D$200,ISNUMBER(SEARCH(AD301,[1]Sheet1!$D$2:$D$200))))
)</f>
        <v>동화로지스틱스</v>
      </c>
      <c r="V301" s="23">
        <v>400000</v>
      </c>
      <c r="W301" s="23">
        <v>0</v>
      </c>
      <c r="X301" s="23">
        <f t="shared" si="10"/>
        <v>400000</v>
      </c>
      <c r="Y301" s="25" t="s">
        <v>1281</v>
      </c>
      <c r="Z301" s="42" t="s">
        <v>51</v>
      </c>
      <c r="AA301" s="19" t="s">
        <v>93</v>
      </c>
      <c r="AB301" s="18" t="s">
        <v>1280</v>
      </c>
      <c r="AC301" s="17" t="str">
        <f t="shared" si="11"/>
        <v>Y</v>
      </c>
      <c r="AD301" s="17" t="s">
        <v>727</v>
      </c>
      <c r="AE301" s="26">
        <v>0.54166666666666663</v>
      </c>
      <c r="AF301" s="27" t="s">
        <v>690</v>
      </c>
      <c r="AG301" s="27" t="s">
        <v>690</v>
      </c>
      <c r="AI301" s="49" t="s">
        <v>57</v>
      </c>
    </row>
    <row r="302" spans="1:35" ht="34.950000000000003" customHeight="1" x14ac:dyDescent="0.4">
      <c r="A302" s="16" t="s">
        <v>36</v>
      </c>
      <c r="B302" s="16" t="s">
        <v>99</v>
      </c>
      <c r="C302" s="17">
        <v>46003</v>
      </c>
      <c r="D302" s="16" t="s">
        <v>1260</v>
      </c>
      <c r="E302" s="16" t="s">
        <v>1261</v>
      </c>
      <c r="F302" s="16">
        <v>28816</v>
      </c>
      <c r="G302" s="18" t="s">
        <v>1262</v>
      </c>
      <c r="H302" s="16" t="s">
        <v>1276</v>
      </c>
      <c r="I302" s="19" t="s">
        <v>76</v>
      </c>
      <c r="J302" s="16" t="str">
        <f>IFERROR(VLOOKUP(I302,[1]Sheet1!$A$1:$B$200,2,0),"_")</f>
        <v>NJ</v>
      </c>
      <c r="K302" s="19" t="s">
        <v>76</v>
      </c>
      <c r="L302" s="16" t="str">
        <f>IFERROR(VLOOKUP(K302,[1]Sheet1!$A$1:$B$200,2,0),"-")</f>
        <v>NJ</v>
      </c>
      <c r="M302" s="19" t="s">
        <v>578</v>
      </c>
      <c r="N302" s="16" t="str">
        <f>IFERROR(VLOOKUP(M302,[1]Sheet1!$G$2:$H$200,2,0),"-")</f>
        <v>PCSL</v>
      </c>
      <c r="O302" s="18" t="s">
        <v>712</v>
      </c>
      <c r="P302" s="17">
        <v>46005</v>
      </c>
      <c r="Q302" s="20" t="s">
        <v>722</v>
      </c>
      <c r="R302" s="20" t="s">
        <v>1277</v>
      </c>
      <c r="S302" s="21" t="str" cm="1">
        <f t="array" ref="S302">IF(
OR(AD302="",ISERROR(AD302)),
"-",
_xlfn.UNIQUE(_xlfn._xlws.FILTER([1]Sheet1!$D$2:$D$200,ISNUMBER(SEARCH(AD302,[1]Sheet1!$D$2:$D$200))))
)</f>
        <v>동화로지스틱스</v>
      </c>
      <c r="T302" s="22" t="s">
        <v>1278</v>
      </c>
      <c r="U302" s="16" t="str" cm="1">
        <f t="array" ref="U302">IF(
OR(AD302="",ISERROR(AD302)),
"-",
_xlfn.UNIQUE(_xlfn._xlws.FILTER([1]Sheet1!$D$2:$D$200,ISNUMBER(SEARCH(AD302,[1]Sheet1!$D$2:$D$200))))
)</f>
        <v>동화로지스틱스</v>
      </c>
      <c r="V302" s="23">
        <v>10000</v>
      </c>
      <c r="W302" s="23">
        <v>10000</v>
      </c>
      <c r="X302" s="23">
        <f t="shared" si="10"/>
        <v>0</v>
      </c>
      <c r="Y302" s="25" t="s">
        <v>1282</v>
      </c>
      <c r="Z302" s="42" t="s">
        <v>51</v>
      </c>
      <c r="AA302" s="19" t="s">
        <v>93</v>
      </c>
      <c r="AB302" s="18" t="s">
        <v>1280</v>
      </c>
      <c r="AC302" s="17" t="str">
        <f t="shared" si="11"/>
        <v>Y</v>
      </c>
      <c r="AD302" s="17" t="s">
        <v>727</v>
      </c>
      <c r="AE302" s="26">
        <v>0.54166666666666663</v>
      </c>
      <c r="AF302" s="27" t="s">
        <v>690</v>
      </c>
      <c r="AG302" s="27" t="s">
        <v>690</v>
      </c>
      <c r="AI302" s="49" t="s">
        <v>57</v>
      </c>
    </row>
    <row r="303" spans="1:35" ht="34.950000000000003" customHeight="1" x14ac:dyDescent="0.4">
      <c r="A303" s="16" t="s">
        <v>36</v>
      </c>
      <c r="B303" s="16" t="s">
        <v>37</v>
      </c>
      <c r="C303" s="17">
        <v>46003</v>
      </c>
      <c r="D303" s="16" t="s">
        <v>248</v>
      </c>
      <c r="E303" s="16" t="s">
        <v>1283</v>
      </c>
      <c r="F303" s="16">
        <v>23595</v>
      </c>
      <c r="G303" s="18" t="s">
        <v>1284</v>
      </c>
      <c r="H303" s="16" t="s">
        <v>711</v>
      </c>
      <c r="I303" s="19" t="s">
        <v>730</v>
      </c>
      <c r="J303" s="16" t="str">
        <f>IFERROR(VLOOKUP(I303,[1]Sheet1!$A$1:$B$200,2,0),"_")</f>
        <v>TG</v>
      </c>
      <c r="K303" s="19" t="s">
        <v>730</v>
      </c>
      <c r="L303" s="16" t="str">
        <f>IFERROR(VLOOKUP(K303,[1]Sheet1!$A$1:$B$200,2,0),"-")</f>
        <v>TG</v>
      </c>
      <c r="M303" s="19" t="s">
        <v>77</v>
      </c>
      <c r="N303" s="16" t="str">
        <f>IFERROR(VLOOKUP(M303,[1]Sheet1!$G$2:$H$200,2,0),"-")</f>
        <v>KMTC</v>
      </c>
      <c r="O303" s="18" t="s">
        <v>1285</v>
      </c>
      <c r="P303" s="17">
        <v>46006</v>
      </c>
      <c r="Q303" s="20" t="s">
        <v>1286</v>
      </c>
      <c r="R303" s="20" t="s">
        <v>1287</v>
      </c>
      <c r="S303" s="21" t="str" cm="1">
        <f t="array" ref="S303">IF(
OR(AD303="",ISERROR(AD303)),
"-",
_xlfn.UNIQUE(_xlfn._xlws.FILTER([1]Sheet1!$D$2:$D$200,ISNUMBER(SEARCH(AD303,[1]Sheet1!$D$2:$D$200))))
)</f>
        <v>동방 익스프레스</v>
      </c>
      <c r="T303" s="22" t="s">
        <v>402</v>
      </c>
      <c r="U303" s="16" t="str" cm="1">
        <f t="array" ref="U303">IF(
OR(AD303="",ISERROR(AD303)),
"-",
_xlfn.UNIQUE(_xlfn._xlws.FILTER([1]Sheet1!$D$2:$D$200,ISNUMBER(SEARCH(AD303,[1]Sheet1!$D$2:$D$200))))
)</f>
        <v>동방 익스프레스</v>
      </c>
      <c r="V303" s="23">
        <v>796000</v>
      </c>
      <c r="W303" s="23">
        <v>676000</v>
      </c>
      <c r="X303" s="23">
        <f t="shared" si="10"/>
        <v>120000</v>
      </c>
      <c r="Y303" s="25" t="s">
        <v>1288</v>
      </c>
      <c r="Z303" s="42" t="s">
        <v>51</v>
      </c>
      <c r="AA303" s="19" t="s">
        <v>144</v>
      </c>
      <c r="AB303" s="18" t="s">
        <v>1289</v>
      </c>
      <c r="AC303" s="17" t="str">
        <f t="shared" si="11"/>
        <v>Y</v>
      </c>
      <c r="AD303" s="17" t="s">
        <v>116</v>
      </c>
      <c r="AE303" s="26">
        <v>0.41666666666666669</v>
      </c>
      <c r="AF303" s="27" t="s">
        <v>690</v>
      </c>
      <c r="AG303" s="27" t="s">
        <v>690</v>
      </c>
      <c r="AI303" s="49" t="s">
        <v>57</v>
      </c>
    </row>
    <row r="304" spans="1:35" ht="34.950000000000003" customHeight="1" x14ac:dyDescent="0.4">
      <c r="A304" s="16" t="s">
        <v>36</v>
      </c>
      <c r="B304" s="16" t="s">
        <v>37</v>
      </c>
      <c r="C304" s="17">
        <v>46003</v>
      </c>
      <c r="D304" s="16" t="s">
        <v>83</v>
      </c>
      <c r="E304" s="16" t="s">
        <v>84</v>
      </c>
      <c r="F304" s="16">
        <v>21335</v>
      </c>
      <c r="G304" s="18" t="s">
        <v>1290</v>
      </c>
      <c r="H304" s="16" t="s">
        <v>75</v>
      </c>
      <c r="I304" s="19" t="s">
        <v>86</v>
      </c>
      <c r="J304" s="16" t="str">
        <f>IFERROR(VLOOKUP(I304,[1]Sheet1!$A$1:$B$200,2,0),"_")</f>
        <v>HP</v>
      </c>
      <c r="K304" s="19" t="s">
        <v>86</v>
      </c>
      <c r="L304" s="16" t="str">
        <f>IFERROR(VLOOKUP(K304,[1]Sheet1!$A$1:$B$200,2,0),"-")</f>
        <v>HP</v>
      </c>
      <c r="M304" s="19" t="s">
        <v>87</v>
      </c>
      <c r="N304" s="16" t="str">
        <f>IFERROR(VLOOKUP(M304,[1]Sheet1!$G$2:$H$200,2,0),"-")</f>
        <v>HDMU</v>
      </c>
      <c r="O304" s="18" t="s">
        <v>1291</v>
      </c>
      <c r="P304" s="17">
        <v>46006</v>
      </c>
      <c r="Q304" s="20" t="s">
        <v>1292</v>
      </c>
      <c r="R304" s="20" t="s">
        <v>1293</v>
      </c>
      <c r="S304" s="21" t="str" cm="1">
        <f t="array" ref="S304">IF(
OR(AD304="",ISERROR(AD304)),
"-",
_xlfn.UNIQUE(_xlfn._xlws.FILTER([1]Sheet1!$D$2:$D$200,ISNUMBER(SEARCH(AD304,[1]Sheet1!$D$2:$D$200))))
)</f>
        <v>백승운수</v>
      </c>
      <c r="T304" s="22" t="s">
        <v>650</v>
      </c>
      <c r="U304" s="16" t="str" cm="1">
        <f t="array" ref="U304">IF(
OR(AD304="",ISERROR(AD304)),
"-",
_xlfn.UNIQUE(_xlfn._xlws.FILTER([1]Sheet1!$D$2:$D$200,ISNUMBER(SEARCH(AD304,[1]Sheet1!$D$2:$D$200))))
)</f>
        <v>백승운수</v>
      </c>
      <c r="V304" s="23">
        <v>665000</v>
      </c>
      <c r="W304" s="23">
        <v>616000</v>
      </c>
      <c r="X304" s="23">
        <f t="shared" si="10"/>
        <v>49000</v>
      </c>
      <c r="Y304" s="25" t="s">
        <v>1294</v>
      </c>
      <c r="Z304" s="42" t="s">
        <v>51</v>
      </c>
      <c r="AA304" s="19" t="s">
        <v>93</v>
      </c>
      <c r="AB304" s="18" t="s">
        <v>1295</v>
      </c>
      <c r="AC304" s="17" t="str">
        <f t="shared" si="11"/>
        <v>Y</v>
      </c>
      <c r="AD304" s="17" t="s">
        <v>95</v>
      </c>
      <c r="AE304" s="26">
        <v>0.33333333333333331</v>
      </c>
      <c r="AF304" s="27" t="s">
        <v>690</v>
      </c>
      <c r="AG304" s="27" t="s">
        <v>690</v>
      </c>
      <c r="AI304" s="49" t="s">
        <v>57</v>
      </c>
    </row>
    <row r="305" spans="1:35" ht="34.950000000000003" customHeight="1" x14ac:dyDescent="0.4">
      <c r="A305" s="16" t="s">
        <v>36</v>
      </c>
      <c r="B305" s="16" t="s">
        <v>37</v>
      </c>
      <c r="C305" s="17">
        <v>46003</v>
      </c>
      <c r="D305" s="16" t="s">
        <v>83</v>
      </c>
      <c r="E305" s="16" t="s">
        <v>84</v>
      </c>
      <c r="F305" s="16">
        <v>21335</v>
      </c>
      <c r="G305" s="18" t="s">
        <v>1290</v>
      </c>
      <c r="H305" s="16" t="s">
        <v>75</v>
      </c>
      <c r="I305" s="19" t="s">
        <v>86</v>
      </c>
      <c r="J305" s="16" t="str">
        <f>IFERROR(VLOOKUP(I305,[1]Sheet1!$A$1:$B$200,2,0),"_")</f>
        <v>HP</v>
      </c>
      <c r="K305" s="19" t="s">
        <v>86</v>
      </c>
      <c r="L305" s="16" t="str">
        <f>IFERROR(VLOOKUP(K305,[1]Sheet1!$A$1:$B$200,2,0),"-")</f>
        <v>HP</v>
      </c>
      <c r="M305" s="19" t="s">
        <v>87</v>
      </c>
      <c r="N305" s="16" t="str">
        <f>IFERROR(VLOOKUP(M305,[1]Sheet1!$G$2:$H$200,2,0),"-")</f>
        <v>HDMU</v>
      </c>
      <c r="O305" s="18" t="s">
        <v>1291</v>
      </c>
      <c r="P305" s="17">
        <v>46006</v>
      </c>
      <c r="Q305" s="20" t="s">
        <v>1296</v>
      </c>
      <c r="R305" s="20" t="s">
        <v>1297</v>
      </c>
      <c r="S305" s="21" t="str" cm="1">
        <f t="array" ref="S305">IF(
OR(AD305="",ISERROR(AD305)),
"-",
_xlfn.UNIQUE(_xlfn._xlws.FILTER([1]Sheet1!$D$2:$D$200,ISNUMBER(SEARCH(AD305,[1]Sheet1!$D$2:$D$200))))
)</f>
        <v>백승운수</v>
      </c>
      <c r="T305" s="22" t="s">
        <v>650</v>
      </c>
      <c r="U305" s="16" t="str" cm="1">
        <f t="array" ref="U305">IF(
OR(AD305="",ISERROR(AD305)),
"-",
_xlfn.UNIQUE(_xlfn._xlws.FILTER([1]Sheet1!$D$2:$D$200,ISNUMBER(SEARCH(AD305,[1]Sheet1!$D$2:$D$200))))
)</f>
        <v>백승운수</v>
      </c>
      <c r="V305" s="23">
        <v>665000</v>
      </c>
      <c r="W305" s="23">
        <v>616000</v>
      </c>
      <c r="X305" s="23">
        <f t="shared" si="10"/>
        <v>49000</v>
      </c>
      <c r="Y305" s="25" t="s">
        <v>1294</v>
      </c>
      <c r="Z305" s="42" t="s">
        <v>51</v>
      </c>
      <c r="AA305" s="19" t="s">
        <v>93</v>
      </c>
      <c r="AB305" s="18" t="s">
        <v>1295</v>
      </c>
      <c r="AC305" s="17" t="str">
        <f t="shared" si="11"/>
        <v>Y</v>
      </c>
      <c r="AD305" s="17" t="s">
        <v>95</v>
      </c>
      <c r="AE305" s="26">
        <v>0.33333333333333331</v>
      </c>
      <c r="AF305" s="27" t="s">
        <v>690</v>
      </c>
      <c r="AG305" s="27" t="s">
        <v>690</v>
      </c>
      <c r="AI305" s="49" t="s">
        <v>57</v>
      </c>
    </row>
    <row r="306" spans="1:35" ht="34.950000000000003" customHeight="1" x14ac:dyDescent="0.4">
      <c r="A306" s="16" t="s">
        <v>71</v>
      </c>
      <c r="B306" s="16" t="s">
        <v>37</v>
      </c>
      <c r="C306" s="17">
        <v>46003</v>
      </c>
      <c r="D306" s="16" t="s">
        <v>216</v>
      </c>
      <c r="E306" s="16" t="s">
        <v>1049</v>
      </c>
      <c r="F306" s="16">
        <v>27880</v>
      </c>
      <c r="G306" s="18" t="s">
        <v>1298</v>
      </c>
      <c r="H306" s="16" t="s">
        <v>41</v>
      </c>
      <c r="I306" s="19" t="s">
        <v>363</v>
      </c>
      <c r="J306" s="16" t="str">
        <f>IFERROR(VLOOKUP(I306,[1]Sheet1!$A$1:$B$200,2,0),"_")</f>
        <v>BB</v>
      </c>
      <c r="K306" s="19" t="s">
        <v>363</v>
      </c>
      <c r="L306" s="16" t="str">
        <f>IFERROR(VLOOKUP(K306,[1]Sheet1!$A$1:$B$200,2,0),"-")</f>
        <v>BB</v>
      </c>
      <c r="M306" s="19" t="s">
        <v>1299</v>
      </c>
      <c r="N306" s="16" t="str">
        <f>IFERROR(VLOOKUP(M306,[1]Sheet1!$G$2:$H$200,2,0),"-")</f>
        <v>OOLU</v>
      </c>
      <c r="O306" s="18" t="s">
        <v>55</v>
      </c>
      <c r="P306" s="17" t="s">
        <v>55</v>
      </c>
      <c r="Q306" s="20" t="s">
        <v>1300</v>
      </c>
      <c r="R306" s="20"/>
      <c r="S306" s="21" t="str" cm="1">
        <f t="array" ref="S306">IF(
OR(AD306="",ISERROR(AD306)),
"-",
_xlfn.UNIQUE(_xlfn._xlws.FILTER([1]Sheet1!$D$2:$D$200,ISNUMBER(SEARCH(AD306,[1]Sheet1!$D$2:$D$200))))
)</f>
        <v>에스지로지스틱</v>
      </c>
      <c r="T306" s="22" t="s">
        <v>1056</v>
      </c>
      <c r="U306" s="16" t="str" cm="1">
        <f t="array" ref="U306">IF(
OR(AD306="",ISERROR(AD306)),
"-",
_xlfn.UNIQUE(_xlfn._xlws.FILTER([1]Sheet1!$D$2:$D$200,ISNUMBER(SEARCH(AD306,[1]Sheet1!$D$2:$D$200))))
)</f>
        <v>에스지로지스틱</v>
      </c>
      <c r="V306" s="23">
        <v>216000</v>
      </c>
      <c r="W306" s="23">
        <v>196000</v>
      </c>
      <c r="X306" s="23">
        <f t="shared" si="10"/>
        <v>20000</v>
      </c>
      <c r="Y306" s="25" t="s">
        <v>1301</v>
      </c>
      <c r="Z306" s="42" t="s">
        <v>51</v>
      </c>
      <c r="AA306" s="19" t="s">
        <v>93</v>
      </c>
      <c r="AC306" s="17" t="str">
        <f t="shared" si="11"/>
        <v>Y</v>
      </c>
      <c r="AD306" s="17" t="s">
        <v>184</v>
      </c>
      <c r="AE306" s="26">
        <v>0.375</v>
      </c>
      <c r="AF306" s="27" t="s">
        <v>690</v>
      </c>
      <c r="AG306" s="27" t="s">
        <v>690</v>
      </c>
      <c r="AI306" s="49" t="s">
        <v>57</v>
      </c>
    </row>
    <row r="307" spans="1:35" ht="34.950000000000003" customHeight="1" x14ac:dyDescent="0.4">
      <c r="A307" s="16" t="s">
        <v>71</v>
      </c>
      <c r="B307" s="16" t="s">
        <v>37</v>
      </c>
      <c r="C307" s="17">
        <v>46003</v>
      </c>
      <c r="D307" s="16" t="s">
        <v>216</v>
      </c>
      <c r="E307" s="16" t="s">
        <v>1049</v>
      </c>
      <c r="F307" s="16">
        <v>27880</v>
      </c>
      <c r="G307" s="18" t="s">
        <v>1298</v>
      </c>
      <c r="H307" s="16" t="s">
        <v>41</v>
      </c>
      <c r="I307" s="19" t="s">
        <v>363</v>
      </c>
      <c r="J307" s="16" t="str">
        <f>IFERROR(VLOOKUP(I307,[1]Sheet1!$A$1:$B$200,2,0),"_")</f>
        <v>BB</v>
      </c>
      <c r="K307" s="19" t="s">
        <v>363</v>
      </c>
      <c r="L307" s="16" t="str">
        <f>IFERROR(VLOOKUP(K307,[1]Sheet1!$A$1:$B$200,2,0),"-")</f>
        <v>BB</v>
      </c>
      <c r="M307" s="19" t="s">
        <v>1299</v>
      </c>
      <c r="N307" s="16" t="str">
        <f>IFERROR(VLOOKUP(M307,[1]Sheet1!$G$2:$H$200,2,0),"-")</f>
        <v>OOLU</v>
      </c>
      <c r="O307" s="18" t="s">
        <v>55</v>
      </c>
      <c r="P307" s="17" t="s">
        <v>55</v>
      </c>
      <c r="Q307" s="20" t="s">
        <v>1302</v>
      </c>
      <c r="R307" s="20"/>
      <c r="S307" s="21" t="str" cm="1">
        <f t="array" ref="S307">IF(
OR(AD307="",ISERROR(AD307)),
"-",
_xlfn.UNIQUE(_xlfn._xlws.FILTER([1]Sheet1!$D$2:$D$200,ISNUMBER(SEARCH(AD307,[1]Sheet1!$D$2:$D$200))))
)</f>
        <v>에스지로지스틱</v>
      </c>
      <c r="T307" s="22" t="s">
        <v>1303</v>
      </c>
      <c r="U307" s="16" t="str" cm="1">
        <f t="array" ref="U307">IF(
OR(AD307="",ISERROR(AD307)),
"-",
_xlfn.UNIQUE(_xlfn._xlws.FILTER([1]Sheet1!$D$2:$D$200,ISNUMBER(SEARCH(AD307,[1]Sheet1!$D$2:$D$200))))
)</f>
        <v>에스지로지스틱</v>
      </c>
      <c r="V307" s="23">
        <v>216000</v>
      </c>
      <c r="W307" s="23">
        <v>196000</v>
      </c>
      <c r="X307" s="23">
        <f t="shared" si="10"/>
        <v>20000</v>
      </c>
      <c r="Y307" s="25" t="s">
        <v>1301</v>
      </c>
      <c r="Z307" s="42" t="s">
        <v>51</v>
      </c>
      <c r="AA307" s="19" t="s">
        <v>93</v>
      </c>
      <c r="AC307" s="17" t="str">
        <f t="shared" si="11"/>
        <v>Y</v>
      </c>
      <c r="AD307" s="17" t="s">
        <v>184</v>
      </c>
      <c r="AE307" s="26">
        <v>0.41666666666666669</v>
      </c>
      <c r="AF307" s="27" t="s">
        <v>690</v>
      </c>
      <c r="AG307" s="27" t="s">
        <v>690</v>
      </c>
      <c r="AI307" s="49" t="s">
        <v>57</v>
      </c>
    </row>
    <row r="308" spans="1:35" ht="34.950000000000003" customHeight="1" x14ac:dyDescent="0.4">
      <c r="A308" s="16" t="s">
        <v>71</v>
      </c>
      <c r="B308" s="16" t="s">
        <v>37</v>
      </c>
      <c r="C308" s="17">
        <v>46003</v>
      </c>
      <c r="D308" s="16" t="s">
        <v>216</v>
      </c>
      <c r="E308" s="16" t="s">
        <v>1049</v>
      </c>
      <c r="F308" s="16">
        <v>27880</v>
      </c>
      <c r="G308" s="18" t="s">
        <v>1298</v>
      </c>
      <c r="H308" s="16" t="s">
        <v>41</v>
      </c>
      <c r="I308" s="19" t="s">
        <v>363</v>
      </c>
      <c r="J308" s="16" t="str">
        <f>IFERROR(VLOOKUP(I308,[1]Sheet1!$A$1:$B$200,2,0),"_")</f>
        <v>BB</v>
      </c>
      <c r="K308" s="19" t="s">
        <v>363</v>
      </c>
      <c r="L308" s="16" t="str">
        <f>IFERROR(VLOOKUP(K308,[1]Sheet1!$A$1:$B$200,2,0),"-")</f>
        <v>BB</v>
      </c>
      <c r="M308" s="19" t="s">
        <v>1299</v>
      </c>
      <c r="N308" s="16" t="str">
        <f>IFERROR(VLOOKUP(M308,[1]Sheet1!$G$2:$H$200,2,0),"-")</f>
        <v>OOLU</v>
      </c>
      <c r="O308" s="18" t="s">
        <v>55</v>
      </c>
      <c r="P308" s="17" t="s">
        <v>55</v>
      </c>
      <c r="Q308" s="20" t="s">
        <v>1304</v>
      </c>
      <c r="R308" s="20"/>
      <c r="S308" s="21" t="str" cm="1">
        <f t="array" ref="S308">IF(
OR(AD308="",ISERROR(AD308)),
"-",
_xlfn.UNIQUE(_xlfn._xlws.FILTER([1]Sheet1!$D$2:$D$200,ISNUMBER(SEARCH(AD308,[1]Sheet1!$D$2:$D$200))))
)</f>
        <v>에스지로지스틱</v>
      </c>
      <c r="T308" s="22" t="s">
        <v>1305</v>
      </c>
      <c r="U308" s="16" t="str" cm="1">
        <f t="array" ref="U308">IF(
OR(AD308="",ISERROR(AD308)),
"-",
_xlfn.UNIQUE(_xlfn._xlws.FILTER([1]Sheet1!$D$2:$D$200,ISNUMBER(SEARCH(AD308,[1]Sheet1!$D$2:$D$200))))
)</f>
        <v>에스지로지스틱</v>
      </c>
      <c r="V308" s="23">
        <v>216000</v>
      </c>
      <c r="W308" s="23">
        <v>196000</v>
      </c>
      <c r="X308" s="23">
        <f t="shared" si="10"/>
        <v>20000</v>
      </c>
      <c r="Y308" s="25" t="s">
        <v>1301</v>
      </c>
      <c r="Z308" s="42" t="s">
        <v>51</v>
      </c>
      <c r="AA308" s="19" t="s">
        <v>93</v>
      </c>
      <c r="AC308" s="17" t="str">
        <f t="shared" si="11"/>
        <v>Y</v>
      </c>
      <c r="AD308" s="17" t="s">
        <v>184</v>
      </c>
      <c r="AE308" s="26">
        <v>0.54166666666666663</v>
      </c>
      <c r="AF308" s="27" t="s">
        <v>690</v>
      </c>
      <c r="AG308" s="27" t="s">
        <v>690</v>
      </c>
      <c r="AI308" s="49" t="s">
        <v>57</v>
      </c>
    </row>
    <row r="309" spans="1:35" ht="34.950000000000003" customHeight="1" x14ac:dyDescent="0.4">
      <c r="A309" s="16" t="s">
        <v>71</v>
      </c>
      <c r="B309" s="16" t="s">
        <v>37</v>
      </c>
      <c r="C309" s="17">
        <v>46003</v>
      </c>
      <c r="D309" s="16" t="s">
        <v>109</v>
      </c>
      <c r="E309" s="16" t="s">
        <v>110</v>
      </c>
      <c r="F309" s="16">
        <v>12650</v>
      </c>
      <c r="G309" s="18" t="s">
        <v>1306</v>
      </c>
      <c r="H309" s="16" t="s">
        <v>75</v>
      </c>
      <c r="I309" s="19" t="s">
        <v>272</v>
      </c>
      <c r="J309" s="16" t="str">
        <f>IFERROR(VLOOKUP(I309,[1]Sheet1!$A$1:$B$200,2,0),"_")</f>
        <v>Z9</v>
      </c>
      <c r="K309" s="19" t="s">
        <v>272</v>
      </c>
      <c r="L309" s="16" t="str">
        <f>IFERROR(VLOOKUP(K309,[1]Sheet1!$A$1:$B$200,2,0),"-")</f>
        <v>Z9</v>
      </c>
      <c r="M309" s="19" t="s">
        <v>191</v>
      </c>
      <c r="N309" s="16" t="str">
        <f>IFERROR(VLOOKUP(M309,[1]Sheet1!$G$2:$H$200,2,0),"-")</f>
        <v>HASL</v>
      </c>
      <c r="O309" s="18" t="s">
        <v>55</v>
      </c>
      <c r="P309" s="17" t="s">
        <v>55</v>
      </c>
      <c r="Q309" s="20" t="s">
        <v>1307</v>
      </c>
      <c r="R309" s="20"/>
      <c r="S309" s="21" t="str" cm="1">
        <f t="array" ref="S309">IF(
OR(AD309="",ISERROR(AD309)),
"-",
_xlfn.UNIQUE(_xlfn._xlws.FILTER([1]Sheet1!$D$2:$D$200,ISNUMBER(SEARCH(AD309,[1]Sheet1!$D$2:$D$200))))
)</f>
        <v>에스지로지스틱</v>
      </c>
      <c r="T309" s="22" t="s">
        <v>1308</v>
      </c>
      <c r="U309" s="16" t="str" cm="1">
        <f t="array" ref="U309">IF(
OR(AD309="",ISERROR(AD309)),
"-",
_xlfn.UNIQUE(_xlfn._xlws.FILTER([1]Sheet1!$D$2:$D$200,ISNUMBER(SEARCH(AD309,[1]Sheet1!$D$2:$D$200))))
)</f>
        <v>에스지로지스틱</v>
      </c>
      <c r="V309" s="23">
        <v>365000</v>
      </c>
      <c r="W309" s="23">
        <v>342000</v>
      </c>
      <c r="X309" s="23">
        <f t="shared" si="10"/>
        <v>23000</v>
      </c>
      <c r="Y309" s="25" t="s">
        <v>1309</v>
      </c>
      <c r="Z309" s="42" t="s">
        <v>51</v>
      </c>
      <c r="AA309" s="19" t="s">
        <v>115</v>
      </c>
      <c r="AC309" s="17" t="str">
        <f t="shared" si="11"/>
        <v>Y</v>
      </c>
      <c r="AD309" s="17" t="s">
        <v>184</v>
      </c>
      <c r="AF309" s="27" t="s">
        <v>690</v>
      </c>
      <c r="AG309" s="27" t="s">
        <v>690</v>
      </c>
      <c r="AI309" s="49" t="s">
        <v>57</v>
      </c>
    </row>
    <row r="310" spans="1:35" ht="34.950000000000003" customHeight="1" x14ac:dyDescent="0.4">
      <c r="A310" s="16" t="s">
        <v>36</v>
      </c>
      <c r="B310" s="16" t="s">
        <v>37</v>
      </c>
      <c r="C310" s="17">
        <v>46003</v>
      </c>
      <c r="D310" s="16" t="s">
        <v>109</v>
      </c>
      <c r="E310" s="16" t="s">
        <v>1310</v>
      </c>
      <c r="F310" s="16">
        <v>25441</v>
      </c>
      <c r="G310" s="18" t="s">
        <v>1311</v>
      </c>
      <c r="H310" s="16" t="s">
        <v>75</v>
      </c>
      <c r="I310" s="19" t="s">
        <v>42</v>
      </c>
      <c r="J310" s="16" t="str">
        <f>IFERROR(VLOOKUP(I310,[1]Sheet1!$A$1:$B$200,2,0),"_")</f>
        <v>P</v>
      </c>
      <c r="K310" s="19" t="s">
        <v>42</v>
      </c>
      <c r="L310" s="16" t="str">
        <f>IFERROR(VLOOKUP(K310,[1]Sheet1!$A$1:$B$200,2,0),"-")</f>
        <v>P</v>
      </c>
      <c r="M310" s="19" t="s">
        <v>752</v>
      </c>
      <c r="N310" s="16" t="str">
        <f>IFERROR(VLOOKUP(M310,[1]Sheet1!$G$2:$H$200,2,0),"-")</f>
        <v>ONE</v>
      </c>
      <c r="O310" s="18" t="s">
        <v>1312</v>
      </c>
      <c r="P310" s="17">
        <v>46002</v>
      </c>
      <c r="Q310" s="20" t="s">
        <v>1313</v>
      </c>
      <c r="R310" s="20" t="s">
        <v>1314</v>
      </c>
      <c r="S310" s="21" t="str" cm="1">
        <f t="array" ref="S310">IF(
OR(AD310="",ISERROR(AD310)),
"-",
_xlfn.UNIQUE(_xlfn._xlws.FILTER([1]Sheet1!$D$2:$D$200,ISNUMBER(SEARCH(AD310,[1]Sheet1!$D$2:$D$200))))
)</f>
        <v>에스지로지스틱</v>
      </c>
      <c r="T310" s="22" t="s">
        <v>1315</v>
      </c>
      <c r="U310" s="16" t="str" cm="1">
        <f t="array" ref="U310">IF(
OR(AD310="",ISERROR(AD310)),
"-",
_xlfn.UNIQUE(_xlfn._xlws.FILTER([1]Sheet1!$D$2:$D$200,ISNUMBER(SEARCH(AD310,[1]Sheet1!$D$2:$D$200))))
)</f>
        <v>에스지로지스틱</v>
      </c>
      <c r="V310" s="23">
        <v>440000</v>
      </c>
      <c r="W310" s="23">
        <v>415700</v>
      </c>
      <c r="X310" s="23">
        <f t="shared" si="10"/>
        <v>24300</v>
      </c>
      <c r="Y310" s="25" t="s">
        <v>1316</v>
      </c>
      <c r="Z310" s="42" t="s">
        <v>51</v>
      </c>
      <c r="AA310" s="19" t="s">
        <v>115</v>
      </c>
      <c r="AB310" s="18" t="s">
        <v>1317</v>
      </c>
      <c r="AC310" s="17" t="str">
        <f t="shared" si="11"/>
        <v>Y</v>
      </c>
      <c r="AD310" s="17" t="s">
        <v>184</v>
      </c>
      <c r="AF310" s="27" t="s">
        <v>690</v>
      </c>
      <c r="AG310" s="27" t="s">
        <v>690</v>
      </c>
      <c r="AI310" s="49" t="s">
        <v>57</v>
      </c>
    </row>
    <row r="311" spans="1:35" ht="34.950000000000003" customHeight="1" x14ac:dyDescent="0.4">
      <c r="A311" s="16" t="s">
        <v>71</v>
      </c>
      <c r="B311" s="16" t="s">
        <v>37</v>
      </c>
      <c r="C311" s="17">
        <v>46003</v>
      </c>
      <c r="D311" s="16" t="s">
        <v>207</v>
      </c>
      <c r="E311" s="16" t="s">
        <v>427</v>
      </c>
      <c r="F311" s="16">
        <v>24391</v>
      </c>
      <c r="G311" s="18" t="s">
        <v>1318</v>
      </c>
      <c r="H311" s="16" t="s">
        <v>41</v>
      </c>
      <c r="I311" s="19" t="s">
        <v>328</v>
      </c>
      <c r="J311" s="16" t="str">
        <f>IFERROR(VLOOKUP(I311,[1]Sheet1!$A$1:$B$200,2,0),"_")</f>
        <v>BT</v>
      </c>
      <c r="K311" s="19" t="s">
        <v>328</v>
      </c>
      <c r="L311" s="16" t="str">
        <f>IFERROR(VLOOKUP(K311,[1]Sheet1!$A$1:$B$200,2,0),"-")</f>
        <v>BT</v>
      </c>
      <c r="M311" s="19" t="s">
        <v>191</v>
      </c>
      <c r="N311" s="16" t="str">
        <f>IFERROR(VLOOKUP(M311,[1]Sheet1!$G$2:$H$200,2,0),"-")</f>
        <v>HASL</v>
      </c>
      <c r="O311" s="18" t="s">
        <v>55</v>
      </c>
      <c r="P311" s="17" t="s">
        <v>55</v>
      </c>
      <c r="Q311" s="20" t="s">
        <v>1319</v>
      </c>
      <c r="R311" s="20"/>
      <c r="S311" s="21" t="str" cm="1">
        <f t="array" ref="S311">IF(
OR(AD311="",ISERROR(AD311)),
"-",
_xlfn.UNIQUE(_xlfn._xlws.FILTER([1]Sheet1!$D$2:$D$200,ISNUMBER(SEARCH(AD311,[1]Sheet1!$D$2:$D$200))))
)</f>
        <v>에스지로지스틱</v>
      </c>
      <c r="T311" s="22" t="s">
        <v>674</v>
      </c>
      <c r="U311" s="16" t="str" cm="1">
        <f t="array" ref="U311">IF(
OR(AD311="",ISERROR(AD311)),
"-",
_xlfn.UNIQUE(_xlfn._xlws.FILTER([1]Sheet1!$D$2:$D$200,ISNUMBER(SEARCH(AD311,[1]Sheet1!$D$2:$D$200))))
)</f>
        <v>에스지로지스틱</v>
      </c>
      <c r="V311" s="23">
        <v>379000</v>
      </c>
      <c r="W311" s="23">
        <v>355000</v>
      </c>
      <c r="X311" s="23">
        <f t="shared" si="10"/>
        <v>24000</v>
      </c>
      <c r="Y311" s="25" t="s">
        <v>1320</v>
      </c>
      <c r="Z311" s="42" t="s">
        <v>51</v>
      </c>
      <c r="AA311" s="19" t="s">
        <v>144</v>
      </c>
      <c r="AC311" s="17" t="str">
        <f t="shared" si="11"/>
        <v>Y</v>
      </c>
      <c r="AD311" s="17" t="s">
        <v>184</v>
      </c>
      <c r="AE311" s="26">
        <v>0.29166666666666669</v>
      </c>
      <c r="AF311" s="27" t="s">
        <v>690</v>
      </c>
      <c r="AG311" s="27" t="s">
        <v>690</v>
      </c>
      <c r="AI311" s="49" t="s">
        <v>57</v>
      </c>
    </row>
    <row r="312" spans="1:35" ht="34.950000000000003" customHeight="1" x14ac:dyDescent="0.4">
      <c r="A312" s="16" t="s">
        <v>36</v>
      </c>
      <c r="B312" s="16" t="s">
        <v>37</v>
      </c>
      <c r="C312" s="17">
        <v>46003</v>
      </c>
      <c r="D312" s="16" t="s">
        <v>188</v>
      </c>
      <c r="E312" s="16" t="s">
        <v>189</v>
      </c>
      <c r="F312" s="16">
        <v>727</v>
      </c>
      <c r="G312" s="18" t="s">
        <v>998</v>
      </c>
      <c r="H312" s="16" t="s">
        <v>41</v>
      </c>
      <c r="I312" s="19" t="s">
        <v>42</v>
      </c>
      <c r="J312" s="16" t="str">
        <f>IFERROR(VLOOKUP(I312,[1]Sheet1!$A$1:$B$200,2,0),"_")</f>
        <v>P</v>
      </c>
      <c r="K312" s="19" t="s">
        <v>42</v>
      </c>
      <c r="L312" s="16" t="str">
        <f>IFERROR(VLOOKUP(K312,[1]Sheet1!$A$1:$B$200,2,0),"-")</f>
        <v>P</v>
      </c>
      <c r="M312" s="19" t="s">
        <v>191</v>
      </c>
      <c r="N312" s="16" t="str">
        <f>IFERROR(VLOOKUP(M312,[1]Sheet1!$G$2:$H$200,2,0),"-")</f>
        <v>HASL</v>
      </c>
      <c r="O312" s="18" t="s">
        <v>1213</v>
      </c>
      <c r="P312" s="17">
        <v>46007</v>
      </c>
      <c r="Q312" s="20" t="s">
        <v>1321</v>
      </c>
      <c r="R312" s="20" t="s">
        <v>1322</v>
      </c>
      <c r="S312" s="21" t="str" cm="1">
        <f t="array" ref="S312">IF(
OR(AD312="",ISERROR(AD312)),
"-",
_xlfn.UNIQUE(_xlfn._xlws.FILTER([1]Sheet1!$D$2:$D$200,ISNUMBER(SEARCH(AD312,[1]Sheet1!$D$2:$D$200))))
)</f>
        <v>(주)부강에너지</v>
      </c>
      <c r="T312" s="22" t="s">
        <v>937</v>
      </c>
      <c r="U312" s="16" t="str" cm="1">
        <f t="array" ref="U312">IF(
OR(AD312="",ISERROR(AD312)),
"-",
_xlfn.UNIQUE(_xlfn._xlws.FILTER([1]Sheet1!$D$2:$D$200,ISNUMBER(SEARCH(AD312,[1]Sheet1!$D$2:$D$200))))
)</f>
        <v>(주)부강에너지</v>
      </c>
      <c r="V312" s="23">
        <v>250000</v>
      </c>
      <c r="W312" s="23">
        <v>220000</v>
      </c>
      <c r="X312" s="23">
        <f t="shared" si="10"/>
        <v>30000</v>
      </c>
      <c r="Y312" s="25" t="s">
        <v>1217</v>
      </c>
      <c r="Z312" s="42" t="s">
        <v>51</v>
      </c>
      <c r="AA312" s="19" t="s">
        <v>81</v>
      </c>
      <c r="AB312" s="69" t="s">
        <v>1323</v>
      </c>
      <c r="AC312" s="17" t="str">
        <f t="shared" si="11"/>
        <v>Y</v>
      </c>
      <c r="AD312" s="17" t="s">
        <v>197</v>
      </c>
      <c r="AE312" s="26">
        <v>0.41666666666666669</v>
      </c>
      <c r="AF312" s="27" t="s">
        <v>690</v>
      </c>
      <c r="AG312" s="27" t="s">
        <v>690</v>
      </c>
      <c r="AI312" s="49" t="s">
        <v>57</v>
      </c>
    </row>
    <row r="313" spans="1:35" ht="34.950000000000003" customHeight="1" x14ac:dyDescent="0.4">
      <c r="A313" s="16" t="s">
        <v>36</v>
      </c>
      <c r="B313" s="16" t="s">
        <v>37</v>
      </c>
      <c r="C313" s="17">
        <v>46003</v>
      </c>
      <c r="D313" s="16" t="s">
        <v>855</v>
      </c>
      <c r="E313" s="16" t="s">
        <v>1324</v>
      </c>
      <c r="F313" s="16">
        <v>28890</v>
      </c>
      <c r="G313" s="18" t="s">
        <v>1325</v>
      </c>
      <c r="H313" s="16" t="s">
        <v>41</v>
      </c>
      <c r="I313" s="19" t="s">
        <v>328</v>
      </c>
      <c r="J313" s="16" t="str">
        <f>IFERROR(VLOOKUP(I313,[1]Sheet1!$A$1:$B$200,2,0),"_")</f>
        <v>BT</v>
      </c>
      <c r="K313" s="19" t="s">
        <v>328</v>
      </c>
      <c r="L313" s="16" t="str">
        <f>IFERROR(VLOOKUP(K313,[1]Sheet1!$A$1:$B$200,2,0),"-")</f>
        <v>BT</v>
      </c>
      <c r="M313" s="19" t="s">
        <v>251</v>
      </c>
      <c r="N313" s="16" t="str">
        <f>IFERROR(VLOOKUP(M313,[1]Sheet1!$G$2:$H$200,2,0),"-")</f>
        <v>SNKO</v>
      </c>
      <c r="O313" s="18" t="s">
        <v>1326</v>
      </c>
      <c r="P313" s="17">
        <v>46006</v>
      </c>
      <c r="Q313" s="20" t="s">
        <v>1327</v>
      </c>
      <c r="R313" s="20" t="s">
        <v>1328</v>
      </c>
      <c r="S313" s="21" t="str" cm="1">
        <f t="array" ref="S313">IF(
OR(AD313="",ISERROR(AD313)),
"-",
_xlfn.UNIQUE(_xlfn._xlws.FILTER([1]Sheet1!$D$2:$D$200,ISNUMBER(SEARCH(AD313,[1]Sheet1!$D$2:$D$200))))
)</f>
        <v>(주)부강에너지</v>
      </c>
      <c r="T313" s="22" t="s">
        <v>1329</v>
      </c>
      <c r="U313" s="16" t="str" cm="1">
        <f t="array" ref="U313">IF(
OR(AD313="",ISERROR(AD313)),
"-",
_xlfn.UNIQUE(_xlfn._xlws.FILTER([1]Sheet1!$D$2:$D$200,ISNUMBER(SEARCH(AD313,[1]Sheet1!$D$2:$D$200))))
)</f>
        <v>(주)부강에너지</v>
      </c>
      <c r="V313" s="23">
        <v>313300</v>
      </c>
      <c r="W313" s="23">
        <v>276300</v>
      </c>
      <c r="X313" s="23">
        <f t="shared" si="10"/>
        <v>37000</v>
      </c>
      <c r="Y313" s="25" t="s">
        <v>1330</v>
      </c>
      <c r="Z313" s="42" t="s">
        <v>51</v>
      </c>
      <c r="AA313" s="19" t="s">
        <v>144</v>
      </c>
      <c r="AB313" s="70" t="s">
        <v>1331</v>
      </c>
      <c r="AC313" s="17" t="str">
        <f t="shared" si="11"/>
        <v>Y</v>
      </c>
      <c r="AD313" s="17" t="s">
        <v>197</v>
      </c>
      <c r="AE313" s="26">
        <v>0.52777777777777779</v>
      </c>
      <c r="AF313" s="27"/>
      <c r="AG313" s="27"/>
      <c r="AI313" s="49" t="s">
        <v>57</v>
      </c>
    </row>
    <row r="314" spans="1:35" ht="34.950000000000003" customHeight="1" x14ac:dyDescent="0.4">
      <c r="A314" s="16" t="s">
        <v>36</v>
      </c>
      <c r="B314" s="16" t="s">
        <v>37</v>
      </c>
      <c r="C314" s="17">
        <v>46003</v>
      </c>
      <c r="D314" s="16" t="s">
        <v>855</v>
      </c>
      <c r="E314" s="16" t="s">
        <v>1324</v>
      </c>
      <c r="F314" s="16">
        <v>28890</v>
      </c>
      <c r="G314" s="18" t="s">
        <v>1325</v>
      </c>
      <c r="H314" s="16" t="s">
        <v>75</v>
      </c>
      <c r="I314" s="19" t="s">
        <v>328</v>
      </c>
      <c r="J314" s="16" t="str">
        <f>IFERROR(VLOOKUP(I314,[1]Sheet1!$A$1:$B$200,2,0),"_")</f>
        <v>BT</v>
      </c>
      <c r="K314" s="19" t="s">
        <v>328</v>
      </c>
      <c r="L314" s="16" t="str">
        <f>IFERROR(VLOOKUP(K314,[1]Sheet1!$A$1:$B$200,2,0),"-")</f>
        <v>BT</v>
      </c>
      <c r="M314" s="19" t="s">
        <v>251</v>
      </c>
      <c r="N314" s="16" t="str">
        <f>IFERROR(VLOOKUP(M314,[1]Sheet1!$G$2:$H$200,2,0),"-")</f>
        <v>SNKO</v>
      </c>
      <c r="O314" s="18" t="s">
        <v>1326</v>
      </c>
      <c r="P314" s="17">
        <v>46006</v>
      </c>
      <c r="Q314" s="20" t="s">
        <v>1332</v>
      </c>
      <c r="R314" s="20" t="s">
        <v>1333</v>
      </c>
      <c r="S314" s="21" t="str" cm="1">
        <f t="array" ref="S314">IF(
OR(AD314="",ISERROR(AD314)),
"-",
_xlfn.UNIQUE(_xlfn._xlws.FILTER([1]Sheet1!$D$2:$D$200,ISNUMBER(SEARCH(AD314,[1]Sheet1!$D$2:$D$200))))
)</f>
        <v>(주)부강에너지</v>
      </c>
      <c r="T314" s="22" t="s">
        <v>1334</v>
      </c>
      <c r="U314" s="16" t="str" cm="1">
        <f t="array" ref="U314">IF(
OR(AD314="",ISERROR(AD314)),
"-",
_xlfn.UNIQUE(_xlfn._xlws.FILTER([1]Sheet1!$D$2:$D$200,ISNUMBER(SEARCH(AD314,[1]Sheet1!$D$2:$D$200))))
)</f>
        <v>(주)부강에너지</v>
      </c>
      <c r="V314" s="23">
        <v>273000</v>
      </c>
      <c r="W314" s="23">
        <v>240400</v>
      </c>
      <c r="X314" s="23">
        <f t="shared" si="10"/>
        <v>32600</v>
      </c>
      <c r="Y314" s="25" t="s">
        <v>1330</v>
      </c>
      <c r="Z314" s="42" t="s">
        <v>51</v>
      </c>
      <c r="AA314" s="19" t="s">
        <v>144</v>
      </c>
      <c r="AB314" s="70" t="s">
        <v>1331</v>
      </c>
      <c r="AC314" s="17" t="str">
        <f t="shared" si="11"/>
        <v>Y</v>
      </c>
      <c r="AD314" s="17" t="s">
        <v>197</v>
      </c>
      <c r="AE314" s="26">
        <v>0.54166666666666663</v>
      </c>
      <c r="AF314" s="27"/>
      <c r="AG314" s="27"/>
      <c r="AI314" s="49" t="s">
        <v>57</v>
      </c>
    </row>
    <row r="315" spans="1:35" ht="34.950000000000003" customHeight="1" x14ac:dyDescent="0.4">
      <c r="A315" s="16" t="s">
        <v>36</v>
      </c>
      <c r="B315" s="16" t="s">
        <v>37</v>
      </c>
      <c r="C315" s="17">
        <v>46003</v>
      </c>
      <c r="D315" s="16" t="s">
        <v>855</v>
      </c>
      <c r="E315" s="16" t="s">
        <v>1324</v>
      </c>
      <c r="F315" s="16">
        <v>28890</v>
      </c>
      <c r="G315" s="18" t="s">
        <v>1325</v>
      </c>
      <c r="H315" s="16" t="s">
        <v>41</v>
      </c>
      <c r="I315" s="19" t="s">
        <v>328</v>
      </c>
      <c r="J315" s="16" t="str">
        <f>IFERROR(VLOOKUP(I315,[1]Sheet1!$A$1:$B$200,2,0),"_")</f>
        <v>BT</v>
      </c>
      <c r="K315" s="19" t="s">
        <v>328</v>
      </c>
      <c r="L315" s="16" t="str">
        <f>IFERROR(VLOOKUP(K315,[1]Sheet1!$A$1:$B$200,2,0),"-")</f>
        <v>BT</v>
      </c>
      <c r="M315" s="19" t="s">
        <v>251</v>
      </c>
      <c r="N315" s="16" t="str">
        <f>IFERROR(VLOOKUP(M315,[1]Sheet1!$G$2:$H$200,2,0),"-")</f>
        <v>SNKO</v>
      </c>
      <c r="O315" s="18" t="s">
        <v>1326</v>
      </c>
      <c r="P315" s="17">
        <v>46006</v>
      </c>
      <c r="Q315" s="22" t="s">
        <v>1335</v>
      </c>
      <c r="R315" s="20" t="s">
        <v>1336</v>
      </c>
      <c r="S315" s="21" t="str" cm="1">
        <f t="array" ref="S315">IF(
OR(AD315="",ISERROR(AD315)),
"-",
_xlfn.UNIQUE(_xlfn._xlws.FILTER([1]Sheet1!$D$2:$D$200,ISNUMBER(SEARCH(AD315,[1]Sheet1!$D$2:$D$200))))
)</f>
        <v>(주)부강에너지</v>
      </c>
      <c r="T315" s="22" t="s">
        <v>1337</v>
      </c>
      <c r="U315" s="16" t="str" cm="1">
        <f t="array" ref="U315">IF(
OR(AD315="",ISERROR(AD315)),
"-",
_xlfn.UNIQUE(_xlfn._xlws.FILTER([1]Sheet1!$D$2:$D$200,ISNUMBER(SEARCH(AD315,[1]Sheet1!$D$2:$D$200))))
)</f>
        <v>(주)부강에너지</v>
      </c>
      <c r="V315" s="23">
        <v>313300</v>
      </c>
      <c r="W315" s="23">
        <v>276300</v>
      </c>
      <c r="X315" s="23">
        <f t="shared" si="10"/>
        <v>37000</v>
      </c>
      <c r="Y315" s="25" t="s">
        <v>1338</v>
      </c>
      <c r="Z315" s="42" t="s">
        <v>51</v>
      </c>
      <c r="AA315" s="19" t="s">
        <v>144</v>
      </c>
      <c r="AB315" s="70" t="s">
        <v>1331</v>
      </c>
      <c r="AC315" s="17" t="str">
        <f t="shared" si="11"/>
        <v>Y</v>
      </c>
      <c r="AD315" s="17" t="s">
        <v>197</v>
      </c>
      <c r="AE315" s="26">
        <v>0.375</v>
      </c>
      <c r="AF315" s="27"/>
      <c r="AG315" s="27"/>
      <c r="AI315" s="49" t="s">
        <v>57</v>
      </c>
    </row>
    <row r="316" spans="1:35" ht="34.950000000000003" customHeight="1" x14ac:dyDescent="0.4">
      <c r="A316" s="16" t="s">
        <v>36</v>
      </c>
      <c r="B316" s="16" t="s">
        <v>37</v>
      </c>
      <c r="C316" s="17">
        <v>46003</v>
      </c>
      <c r="D316" s="16" t="s">
        <v>855</v>
      </c>
      <c r="E316" s="16" t="s">
        <v>1324</v>
      </c>
      <c r="F316" s="16">
        <v>28890</v>
      </c>
      <c r="G316" s="18" t="s">
        <v>1325</v>
      </c>
      <c r="H316" s="16" t="s">
        <v>75</v>
      </c>
      <c r="I316" s="19" t="s">
        <v>328</v>
      </c>
      <c r="J316" s="16" t="str">
        <f>IFERROR(VLOOKUP(I316,[1]Sheet1!$A$1:$B$200,2,0),"_")</f>
        <v>BT</v>
      </c>
      <c r="K316" s="19" t="s">
        <v>328</v>
      </c>
      <c r="L316" s="16" t="str">
        <f>IFERROR(VLOOKUP(K316,[1]Sheet1!$A$1:$B$200,2,0),"-")</f>
        <v>BT</v>
      </c>
      <c r="M316" s="19" t="s">
        <v>251</v>
      </c>
      <c r="N316" s="16" t="str">
        <f>IFERROR(VLOOKUP(M316,[1]Sheet1!$G$2:$H$200,2,0),"-")</f>
        <v>SNKO</v>
      </c>
      <c r="O316" s="18" t="s">
        <v>1326</v>
      </c>
      <c r="P316" s="17">
        <v>46006</v>
      </c>
      <c r="Q316" s="20" t="s">
        <v>1339</v>
      </c>
      <c r="R316" s="20" t="s">
        <v>1340</v>
      </c>
      <c r="S316" s="21" t="str" cm="1">
        <f t="array" ref="S316">IF(
OR(AD316="",ISERROR(AD316)),
"-",
_xlfn.UNIQUE(_xlfn._xlws.FILTER([1]Sheet1!$D$2:$D$200,ISNUMBER(SEARCH(AD316,[1]Sheet1!$D$2:$D$200))))
)</f>
        <v>(주)부강에너지</v>
      </c>
      <c r="T316" s="22" t="s">
        <v>1341</v>
      </c>
      <c r="U316" s="16" t="str" cm="1">
        <f t="array" ref="U316">IF(
OR(AD316="",ISERROR(AD316)),
"-",
_xlfn.UNIQUE(_xlfn._xlws.FILTER([1]Sheet1!$D$2:$D$200,ISNUMBER(SEARCH(AD316,[1]Sheet1!$D$2:$D$200))))
)</f>
        <v>(주)부강에너지</v>
      </c>
      <c r="V316" s="23">
        <v>273000</v>
      </c>
      <c r="W316" s="23">
        <v>240400</v>
      </c>
      <c r="X316" s="23">
        <f t="shared" si="10"/>
        <v>32600</v>
      </c>
      <c r="Y316" s="25" t="s">
        <v>1338</v>
      </c>
      <c r="Z316" s="42" t="s">
        <v>51</v>
      </c>
      <c r="AA316" s="19" t="s">
        <v>144</v>
      </c>
      <c r="AB316" s="70" t="s">
        <v>1331</v>
      </c>
      <c r="AC316" s="17" t="str">
        <f t="shared" si="11"/>
        <v>Y</v>
      </c>
      <c r="AD316" s="17" t="s">
        <v>197</v>
      </c>
      <c r="AE316" s="26">
        <v>0.39583333333333331</v>
      </c>
      <c r="AF316" s="27"/>
      <c r="AG316" s="27"/>
      <c r="AI316" s="49" t="s">
        <v>57</v>
      </c>
    </row>
    <row r="317" spans="1:35" ht="34.950000000000003" customHeight="1" x14ac:dyDescent="0.4">
      <c r="A317" s="39" t="s">
        <v>36</v>
      </c>
      <c r="B317" s="39" t="s">
        <v>99</v>
      </c>
      <c r="C317" s="40">
        <v>46003</v>
      </c>
      <c r="D317" s="39" t="s">
        <v>261</v>
      </c>
      <c r="E317" s="39" t="s">
        <v>1342</v>
      </c>
      <c r="F317" s="39">
        <v>28843</v>
      </c>
      <c r="G317" s="41" t="s">
        <v>1343</v>
      </c>
      <c r="H317" s="39" t="s">
        <v>41</v>
      </c>
      <c r="I317" s="42" t="s">
        <v>129</v>
      </c>
      <c r="J317" s="39" t="str">
        <f>IFERROR(VLOOKUP(I317,[1]Sheet1!$A$1:$B$200,2,0),"_")</f>
        <v>E1</v>
      </c>
      <c r="K317" s="42" t="s">
        <v>129</v>
      </c>
      <c r="L317" s="39" t="str">
        <f>IFERROR(VLOOKUP(K317,[1]Sheet1!$A$1:$B$200,2,0),"-")</f>
        <v>E1</v>
      </c>
      <c r="M317" s="42" t="s">
        <v>264</v>
      </c>
      <c r="N317" s="39" t="str">
        <f>IFERROR(VLOOKUP(M317,[1]Sheet1!$G$2:$H$200,2,0),"-")</f>
        <v>TYSP</v>
      </c>
      <c r="O317" s="41" t="s">
        <v>1344</v>
      </c>
      <c r="P317" s="40">
        <v>46003</v>
      </c>
      <c r="Q317" s="43" t="s">
        <v>1345</v>
      </c>
      <c r="R317" s="43" t="s">
        <v>1346</v>
      </c>
      <c r="S317" s="21" t="str" cm="1">
        <f t="array" ref="S317">IF(
OR(AD317="",ISERROR(AD317)),
"-",
_xlfn.UNIQUE(_xlfn._xlws.FILTER([1]Sheet1!$D$2:$D$200,ISNUMBER(SEARCH(AD317,[1]Sheet1!$D$2:$D$200))))
)</f>
        <v>태성종합물류</v>
      </c>
      <c r="T317" s="44" t="s">
        <v>1347</v>
      </c>
      <c r="U317" s="16" t="str" cm="1">
        <f t="array" ref="U317">IF(
OR(AD317="",ISERROR(AD317)),
"-",
_xlfn.UNIQUE(_xlfn._xlws.FILTER([1]Sheet1!$D$2:$D$200,ISNUMBER(SEARCH(AD317,[1]Sheet1!$D$2:$D$200))))
)</f>
        <v>태성종합물류</v>
      </c>
      <c r="V317" s="45">
        <v>265000</v>
      </c>
      <c r="W317" s="45">
        <v>179600</v>
      </c>
      <c r="X317" s="45">
        <f t="shared" si="10"/>
        <v>85400</v>
      </c>
      <c r="Y317" s="46" t="s">
        <v>1348</v>
      </c>
      <c r="Z317" s="42" t="s">
        <v>51</v>
      </c>
      <c r="AA317" s="42" t="s">
        <v>93</v>
      </c>
      <c r="AB317" s="71"/>
      <c r="AC317" s="40" t="str">
        <f t="shared" si="11"/>
        <v>Y</v>
      </c>
      <c r="AD317" s="40" t="s">
        <v>82</v>
      </c>
      <c r="AE317" s="47">
        <v>0.54166666666666663</v>
      </c>
      <c r="AF317" s="48"/>
      <c r="AG317" s="48"/>
      <c r="AH317" s="49"/>
      <c r="AI317" s="49" t="s">
        <v>57</v>
      </c>
    </row>
    <row r="318" spans="1:35" s="19" customFormat="1" ht="41.25" customHeight="1" x14ac:dyDescent="0.4">
      <c r="A318" s="19" t="s">
        <v>71</v>
      </c>
      <c r="B318" s="19" t="s">
        <v>37</v>
      </c>
      <c r="C318" s="72">
        <v>46004</v>
      </c>
      <c r="D318" s="73" t="s">
        <v>1349</v>
      </c>
      <c r="E318" s="19" t="s">
        <v>1350</v>
      </c>
      <c r="F318" s="19">
        <v>27183</v>
      </c>
      <c r="G318" s="19" t="s">
        <v>1351</v>
      </c>
      <c r="H318" s="19" t="s">
        <v>519</v>
      </c>
      <c r="I318" s="19" t="s">
        <v>1352</v>
      </c>
      <c r="J318" s="19" t="s">
        <v>1353</v>
      </c>
      <c r="K318" s="19" t="s">
        <v>1354</v>
      </c>
      <c r="L318" s="19" t="s">
        <v>1355</v>
      </c>
      <c r="M318" s="19" t="s">
        <v>1356</v>
      </c>
      <c r="N318" s="19" t="s">
        <v>1357</v>
      </c>
      <c r="O318" s="19" t="s">
        <v>1074</v>
      </c>
      <c r="P318" s="72">
        <v>46000</v>
      </c>
      <c r="Q318" s="19" t="s">
        <v>1358</v>
      </c>
      <c r="R318" s="63" t="s">
        <v>1359</v>
      </c>
      <c r="S318" s="21" t="str" cm="1">
        <f t="array" ref="S318">IF(
OR(AD318="",ISERROR(AD318)),
"-",
_xlfn.UNIQUE(_xlfn._xlws.FILTER([1]Sheet1!$D$2:$D$200,ISNUMBER(SEARCH(AD318,[1]Sheet1!$D$2:$D$200))))
)</f>
        <v>(주)유진로직스</v>
      </c>
      <c r="T318" s="63" t="s">
        <v>1360</v>
      </c>
      <c r="U318" s="16" t="str" cm="1">
        <f t="array" ref="U318">IF(
OR(AD318="",ISERROR(AD318)),
"-",
_xlfn.UNIQUE(_xlfn._xlws.FILTER([1]Sheet1!$D$2:$D$200,ISNUMBER(SEARCH(AD318,[1]Sheet1!$D$2:$D$200))))
)</f>
        <v>(주)유진로직스</v>
      </c>
      <c r="V318" s="19">
        <v>510000</v>
      </c>
      <c r="W318" s="19">
        <v>446000</v>
      </c>
      <c r="X318" s="19">
        <f t="shared" si="10"/>
        <v>64000</v>
      </c>
      <c r="Y318" s="63" t="s">
        <v>1361</v>
      </c>
      <c r="Z318" s="19" t="s">
        <v>115</v>
      </c>
      <c r="AA318" s="19" t="s">
        <v>115</v>
      </c>
      <c r="AB318" s="35" t="s">
        <v>1362</v>
      </c>
      <c r="AC318" s="72" t="s">
        <v>1066</v>
      </c>
      <c r="AD318" s="74" t="s">
        <v>70</v>
      </c>
      <c r="AE318" s="65" t="s">
        <v>1363</v>
      </c>
      <c r="AF318" s="65" t="s">
        <v>1364</v>
      </c>
      <c r="AG318" s="75"/>
      <c r="AI318" s="49" t="s">
        <v>57</v>
      </c>
    </row>
    <row r="319" spans="1:35" s="19" customFormat="1" ht="41.25" customHeight="1" x14ac:dyDescent="0.4">
      <c r="A319" s="19" t="s">
        <v>71</v>
      </c>
      <c r="B319" s="19" t="s">
        <v>37</v>
      </c>
      <c r="C319" s="72">
        <v>46004</v>
      </c>
      <c r="D319" s="73" t="s">
        <v>1349</v>
      </c>
      <c r="E319" s="19" t="s">
        <v>1350</v>
      </c>
      <c r="F319" s="19">
        <v>27183</v>
      </c>
      <c r="G319" s="19" t="s">
        <v>1351</v>
      </c>
      <c r="H319" s="19" t="s">
        <v>519</v>
      </c>
      <c r="I319" s="19" t="s">
        <v>1352</v>
      </c>
      <c r="J319" s="19" t="s">
        <v>1353</v>
      </c>
      <c r="K319" s="19" t="s">
        <v>1354</v>
      </c>
      <c r="L319" s="19" t="s">
        <v>1355</v>
      </c>
      <c r="M319" s="19" t="s">
        <v>1356</v>
      </c>
      <c r="N319" s="19" t="s">
        <v>1357</v>
      </c>
      <c r="O319" s="19" t="s">
        <v>1074</v>
      </c>
      <c r="P319" s="72">
        <v>46000</v>
      </c>
      <c r="Q319" s="19" t="s">
        <v>1358</v>
      </c>
      <c r="R319" s="63" t="s">
        <v>1359</v>
      </c>
      <c r="S319" s="21" t="str" cm="1">
        <f t="array" ref="S319">IF(
OR(AD319="",ISERROR(AD319)),
"-",
_xlfn.UNIQUE(_xlfn._xlws.FILTER([1]Sheet1!$D$2:$D$200,ISNUMBER(SEARCH(AD319,[1]Sheet1!$D$2:$D$200))))
)</f>
        <v>(주)유진로직스</v>
      </c>
      <c r="T319" s="63" t="s">
        <v>1360</v>
      </c>
      <c r="U319" s="16" t="str" cm="1">
        <f t="array" ref="U319">IF(
OR(AD319="",ISERROR(AD319)),
"-",
_xlfn.UNIQUE(_xlfn._xlws.FILTER([1]Sheet1!$D$2:$D$200,ISNUMBER(SEARCH(AD319,[1]Sheet1!$D$2:$D$200))))
)</f>
        <v>(주)유진로직스</v>
      </c>
      <c r="V319" s="19">
        <v>510000</v>
      </c>
      <c r="W319" s="19">
        <v>446000</v>
      </c>
      <c r="X319" s="19">
        <f t="shared" si="10"/>
        <v>64000</v>
      </c>
      <c r="Y319" s="63" t="s">
        <v>1361</v>
      </c>
      <c r="Z319" s="19" t="s">
        <v>115</v>
      </c>
      <c r="AA319" s="19" t="s">
        <v>115</v>
      </c>
      <c r="AB319" s="35" t="s">
        <v>1365</v>
      </c>
      <c r="AC319" s="72" t="s">
        <v>1066</v>
      </c>
      <c r="AD319" s="74" t="s">
        <v>70</v>
      </c>
      <c r="AE319" s="65" t="s">
        <v>1363</v>
      </c>
      <c r="AF319" s="65" t="s">
        <v>1364</v>
      </c>
      <c r="AG319" s="75"/>
      <c r="AI319" s="49" t="s">
        <v>57</v>
      </c>
    </row>
    <row r="320" spans="1:35" s="19" customFormat="1" ht="41.25" customHeight="1" x14ac:dyDescent="0.4">
      <c r="A320" s="19" t="s">
        <v>71</v>
      </c>
      <c r="B320" s="19" t="s">
        <v>37</v>
      </c>
      <c r="C320" s="72">
        <v>46004</v>
      </c>
      <c r="D320" s="73" t="s">
        <v>1349</v>
      </c>
      <c r="E320" s="19" t="s">
        <v>1350</v>
      </c>
      <c r="F320" s="19">
        <v>27183</v>
      </c>
      <c r="G320" s="19" t="s">
        <v>1351</v>
      </c>
      <c r="H320" s="19" t="s">
        <v>519</v>
      </c>
      <c r="I320" s="19" t="s">
        <v>1352</v>
      </c>
      <c r="J320" s="19" t="s">
        <v>1353</v>
      </c>
      <c r="K320" s="19" t="s">
        <v>1354</v>
      </c>
      <c r="L320" s="19" t="s">
        <v>1355</v>
      </c>
      <c r="M320" s="19" t="s">
        <v>1356</v>
      </c>
      <c r="N320" s="19" t="s">
        <v>1357</v>
      </c>
      <c r="O320" s="19" t="s">
        <v>1074</v>
      </c>
      <c r="P320" s="72">
        <v>46000</v>
      </c>
      <c r="Q320" s="19" t="s">
        <v>1366</v>
      </c>
      <c r="R320" s="63" t="s">
        <v>1359</v>
      </c>
      <c r="S320" s="21" t="str" cm="1">
        <f t="array" ref="S320">IF(
OR(AD320="",ISERROR(AD320)),
"-",
_xlfn.UNIQUE(_xlfn._xlws.FILTER([1]Sheet1!$D$2:$D$200,ISNUMBER(SEARCH(AD320,[1]Sheet1!$D$2:$D$200))))
)</f>
        <v>(주)유진로직스</v>
      </c>
      <c r="T320" s="63" t="s">
        <v>1360</v>
      </c>
      <c r="U320" s="16" t="str" cm="1">
        <f t="array" ref="U320">IF(
OR(AD320="",ISERROR(AD320)),
"-",
_xlfn.UNIQUE(_xlfn._xlws.FILTER([1]Sheet1!$D$2:$D$200,ISNUMBER(SEARCH(AD320,[1]Sheet1!$D$2:$D$200))))
)</f>
        <v>(주)유진로직스</v>
      </c>
      <c r="V320" s="19">
        <v>410000</v>
      </c>
      <c r="W320" s="19">
        <v>353000</v>
      </c>
      <c r="X320" s="19">
        <f t="shared" si="10"/>
        <v>57000</v>
      </c>
      <c r="Y320" s="63" t="s">
        <v>1361</v>
      </c>
      <c r="Z320" s="19" t="s">
        <v>115</v>
      </c>
      <c r="AA320" s="19" t="s">
        <v>115</v>
      </c>
      <c r="AB320" s="35" t="s">
        <v>1365</v>
      </c>
      <c r="AC320" s="72" t="s">
        <v>1066</v>
      </c>
      <c r="AD320" s="74" t="s">
        <v>70</v>
      </c>
      <c r="AE320" s="65" t="s">
        <v>1363</v>
      </c>
      <c r="AF320" s="65" t="s">
        <v>1364</v>
      </c>
      <c r="AG320" s="75"/>
      <c r="AI320" s="49" t="s">
        <v>57</v>
      </c>
    </row>
    <row r="321" spans="1:35" s="19" customFormat="1" ht="41.25" customHeight="1" x14ac:dyDescent="0.4">
      <c r="A321" s="19" t="s">
        <v>71</v>
      </c>
      <c r="B321" s="19" t="s">
        <v>37</v>
      </c>
      <c r="C321" s="72">
        <v>46004</v>
      </c>
      <c r="D321" s="73" t="s">
        <v>1349</v>
      </c>
      <c r="E321" s="19" t="s">
        <v>1350</v>
      </c>
      <c r="F321" s="19">
        <v>27183</v>
      </c>
      <c r="G321" s="19" t="s">
        <v>1351</v>
      </c>
      <c r="H321" s="19" t="s">
        <v>519</v>
      </c>
      <c r="I321" s="19" t="s">
        <v>1352</v>
      </c>
      <c r="J321" s="19" t="s">
        <v>1353</v>
      </c>
      <c r="K321" s="19" t="s">
        <v>1354</v>
      </c>
      <c r="L321" s="19" t="s">
        <v>1355</v>
      </c>
      <c r="M321" s="19" t="s">
        <v>1356</v>
      </c>
      <c r="N321" s="19" t="s">
        <v>1357</v>
      </c>
      <c r="O321" s="19" t="s">
        <v>1074</v>
      </c>
      <c r="P321" s="72">
        <v>46000</v>
      </c>
      <c r="Q321" s="19" t="s">
        <v>1367</v>
      </c>
      <c r="R321" s="63" t="s">
        <v>1359</v>
      </c>
      <c r="S321" s="21" t="str" cm="1">
        <f t="array" ref="S321">IF(
OR(AD321="",ISERROR(AD321)),
"-",
_xlfn.UNIQUE(_xlfn._xlws.FILTER([1]Sheet1!$D$2:$D$200,ISNUMBER(SEARCH(AD321,[1]Sheet1!$D$2:$D$200))))
)</f>
        <v>(주)유진로직스</v>
      </c>
      <c r="T321" s="63" t="s">
        <v>1360</v>
      </c>
      <c r="U321" s="16" t="str" cm="1">
        <f t="array" ref="U321">IF(
OR(AD321="",ISERROR(AD321)),
"-",
_xlfn.UNIQUE(_xlfn._xlws.FILTER([1]Sheet1!$D$2:$D$200,ISNUMBER(SEARCH(AD321,[1]Sheet1!$D$2:$D$200))))
)</f>
        <v>(주)유진로직스</v>
      </c>
      <c r="V321" s="19">
        <v>410000</v>
      </c>
      <c r="W321" s="19">
        <v>360000</v>
      </c>
      <c r="X321" s="19">
        <f t="shared" si="10"/>
        <v>50000</v>
      </c>
      <c r="Y321" s="63" t="s">
        <v>1361</v>
      </c>
      <c r="Z321" s="19" t="s">
        <v>115</v>
      </c>
      <c r="AA321" s="19" t="s">
        <v>115</v>
      </c>
      <c r="AB321" s="35" t="s">
        <v>1365</v>
      </c>
      <c r="AC321" s="72" t="s">
        <v>1066</v>
      </c>
      <c r="AD321" s="74" t="s">
        <v>70</v>
      </c>
      <c r="AE321" s="65" t="s">
        <v>1363</v>
      </c>
      <c r="AF321" s="65" t="s">
        <v>1364</v>
      </c>
      <c r="AG321" s="75"/>
      <c r="AI321" s="49" t="s">
        <v>57</v>
      </c>
    </row>
    <row r="322" spans="1:35" ht="34.950000000000003" customHeight="1" x14ac:dyDescent="0.4">
      <c r="A322" s="76" t="s">
        <v>36</v>
      </c>
      <c r="B322" s="76" t="s">
        <v>37</v>
      </c>
      <c r="C322" s="77">
        <v>46004</v>
      </c>
      <c r="D322" s="76" t="s">
        <v>188</v>
      </c>
      <c r="E322" s="76" t="s">
        <v>189</v>
      </c>
      <c r="F322" s="76">
        <v>727</v>
      </c>
      <c r="G322" s="31" t="s">
        <v>998</v>
      </c>
      <c r="H322" s="76" t="s">
        <v>41</v>
      </c>
      <c r="I322" s="78" t="s">
        <v>272</v>
      </c>
      <c r="J322" s="76" t="str">
        <f>IFERROR(VLOOKUP(I322,[1]Sheet1!$A$1:$B$200,2,0),"_")</f>
        <v>Z9</v>
      </c>
      <c r="K322" s="78" t="s">
        <v>42</v>
      </c>
      <c r="L322" s="76" t="str">
        <f>IFERROR(VLOOKUP(K322,[1]Sheet1!$A$1:$B$200,2,0),"-")</f>
        <v>P</v>
      </c>
      <c r="M322" s="78" t="s">
        <v>191</v>
      </c>
      <c r="N322" s="76" t="str">
        <f>IFERROR(VLOOKUP(M322,[1]Sheet1!$G$2:$H$200,2,0),"-")</f>
        <v>HASL</v>
      </c>
      <c r="O322" s="31" t="s">
        <v>1213</v>
      </c>
      <c r="P322" s="77">
        <v>46007</v>
      </c>
      <c r="Q322" s="79" t="s">
        <v>1368</v>
      </c>
      <c r="R322" s="79" t="s">
        <v>1369</v>
      </c>
      <c r="S322" s="21" t="str" cm="1">
        <f t="array" ref="S322">IF(
OR(AD322="",ISERROR(AD322)),
"-",
_xlfn.UNIQUE(_xlfn._xlws.FILTER([1]Sheet1!$D$2:$D$200,ISNUMBER(SEARCH(AD322,[1]Sheet1!$D$2:$D$200))))
)</f>
        <v>(주)부강에너지</v>
      </c>
      <c r="T322" s="80" t="s">
        <v>1370</v>
      </c>
      <c r="U322" s="16" t="str" cm="1">
        <f t="array" ref="U322">IF(
OR(AD322="",ISERROR(AD322)),
"-",
_xlfn.UNIQUE(_xlfn._xlws.FILTER([1]Sheet1!$D$2:$D$200,ISNUMBER(SEARCH(AD322,[1]Sheet1!$D$2:$D$200))))
)</f>
        <v>(주)부강에너지</v>
      </c>
      <c r="V322" s="81">
        <v>250000</v>
      </c>
      <c r="W322" s="81">
        <v>220000</v>
      </c>
      <c r="X322" s="81">
        <f t="shared" si="10"/>
        <v>30000</v>
      </c>
      <c r="Y322" s="82" t="s">
        <v>1217</v>
      </c>
      <c r="Z322" s="83" t="s">
        <v>51</v>
      </c>
      <c r="AA322" s="78" t="s">
        <v>81</v>
      </c>
      <c r="AB322" s="31" t="s">
        <v>846</v>
      </c>
      <c r="AC322" s="77" t="str">
        <f t="shared" ref="AC322:AC387" si="12">IF(AI322="ㅇ", "Y", IF(Z322="강다영", "", "Y"))</f>
        <v>Y</v>
      </c>
      <c r="AD322" s="77" t="s">
        <v>197</v>
      </c>
      <c r="AE322" s="84">
        <v>0.33333333333333331</v>
      </c>
      <c r="AF322" s="85"/>
      <c r="AG322" s="85"/>
      <c r="AH322" s="86"/>
      <c r="AI322" s="49" t="s">
        <v>57</v>
      </c>
    </row>
    <row r="323" spans="1:35" ht="34.950000000000003" customHeight="1" x14ac:dyDescent="0.4">
      <c r="A323" s="16" t="s">
        <v>36</v>
      </c>
      <c r="B323" s="16" t="s">
        <v>37</v>
      </c>
      <c r="C323" s="17">
        <v>46004</v>
      </c>
      <c r="D323" s="16" t="s">
        <v>188</v>
      </c>
      <c r="E323" s="16" t="s">
        <v>189</v>
      </c>
      <c r="F323" s="16">
        <v>727</v>
      </c>
      <c r="G323" s="18" t="s">
        <v>998</v>
      </c>
      <c r="H323" s="16" t="s">
        <v>41</v>
      </c>
      <c r="I323" s="19" t="s">
        <v>272</v>
      </c>
      <c r="J323" s="16" t="str">
        <f>IFERROR(VLOOKUP(I323,[1]Sheet1!$A$1:$B$200,2,0),"_")</f>
        <v>Z9</v>
      </c>
      <c r="K323" s="19" t="s">
        <v>42</v>
      </c>
      <c r="L323" s="16" t="str">
        <f>IFERROR(VLOOKUP(K323,[1]Sheet1!$A$1:$B$200,2,0),"-")</f>
        <v>P</v>
      </c>
      <c r="M323" s="19" t="s">
        <v>191</v>
      </c>
      <c r="N323" s="16" t="str">
        <f>IFERROR(VLOOKUP(M323,[1]Sheet1!$G$2:$H$200,2,0),"-")</f>
        <v>HASL</v>
      </c>
      <c r="O323" s="18" t="s">
        <v>1213</v>
      </c>
      <c r="P323" s="17">
        <v>46007</v>
      </c>
      <c r="Q323" s="20" t="s">
        <v>1371</v>
      </c>
      <c r="R323" s="20" t="s">
        <v>1371</v>
      </c>
      <c r="S323" s="21" t="str" cm="1">
        <f t="array" ref="S323">IF(
OR(AD323="",ISERROR(AD323)),
"-",
_xlfn.UNIQUE(_xlfn._xlws.FILTER([1]Sheet1!$D$2:$D$200,ISNUMBER(SEARCH(AD323,[1]Sheet1!$D$2:$D$200))))
)</f>
        <v>(주)부강에너지</v>
      </c>
      <c r="T323" s="22" t="s">
        <v>1372</v>
      </c>
      <c r="U323" s="16" t="str" cm="1">
        <f t="array" ref="U323">IF(
OR(AD323="",ISERROR(AD323)),
"-",
_xlfn.UNIQUE(_xlfn._xlws.FILTER([1]Sheet1!$D$2:$D$200,ISNUMBER(SEARCH(AD323,[1]Sheet1!$D$2:$D$200))))
)</f>
        <v>(주)부강에너지</v>
      </c>
      <c r="V323" s="23">
        <v>250000</v>
      </c>
      <c r="W323" s="23">
        <v>220000</v>
      </c>
      <c r="X323" s="23">
        <f t="shared" si="10"/>
        <v>30000</v>
      </c>
      <c r="Y323" s="25" t="s">
        <v>1217</v>
      </c>
      <c r="Z323" s="42" t="s">
        <v>51</v>
      </c>
      <c r="AA323" s="19" t="s">
        <v>81</v>
      </c>
      <c r="AB323" s="18" t="s">
        <v>846</v>
      </c>
      <c r="AC323" s="17" t="str">
        <f t="shared" si="12"/>
        <v>Y</v>
      </c>
      <c r="AD323" s="17" t="s">
        <v>197</v>
      </c>
      <c r="AE323" s="26">
        <v>0.41666666666666669</v>
      </c>
      <c r="AF323" s="27"/>
      <c r="AG323" s="27"/>
      <c r="AI323" s="49" t="s">
        <v>57</v>
      </c>
    </row>
    <row r="324" spans="1:35" ht="34.950000000000003" customHeight="1" x14ac:dyDescent="0.4">
      <c r="A324" s="16" t="s">
        <v>36</v>
      </c>
      <c r="B324" s="16" t="s">
        <v>37</v>
      </c>
      <c r="C324" s="17">
        <v>46004</v>
      </c>
      <c r="D324" s="16" t="s">
        <v>188</v>
      </c>
      <c r="E324" s="16" t="s">
        <v>189</v>
      </c>
      <c r="F324" s="16">
        <v>727</v>
      </c>
      <c r="G324" s="18" t="s">
        <v>998</v>
      </c>
      <c r="H324" s="16" t="s">
        <v>41</v>
      </c>
      <c r="I324" s="19" t="s">
        <v>272</v>
      </c>
      <c r="J324" s="16" t="str">
        <f>IFERROR(VLOOKUP(I324,[1]Sheet1!$A$1:$B$200,2,0),"_")</f>
        <v>Z9</v>
      </c>
      <c r="K324" s="19" t="s">
        <v>42</v>
      </c>
      <c r="L324" s="16" t="str">
        <f>IFERROR(VLOOKUP(K324,[1]Sheet1!$A$1:$B$200,2,0),"-")</f>
        <v>P</v>
      </c>
      <c r="M324" s="19" t="s">
        <v>191</v>
      </c>
      <c r="N324" s="16" t="str">
        <f>IFERROR(VLOOKUP(M324,[1]Sheet1!$G$2:$H$200,2,0),"-")</f>
        <v>HASL</v>
      </c>
      <c r="O324" s="18" t="s">
        <v>1373</v>
      </c>
      <c r="P324" s="17">
        <v>46007</v>
      </c>
      <c r="Q324" s="20" t="s">
        <v>1374</v>
      </c>
      <c r="R324" s="20" t="s">
        <v>1375</v>
      </c>
      <c r="S324" s="21" t="str" cm="1">
        <f t="array" ref="S324">IF(
OR(AD324="",ISERROR(AD324)),
"-",
_xlfn.UNIQUE(_xlfn._xlws.FILTER([1]Sheet1!$D$2:$D$200,ISNUMBER(SEARCH(AD324,[1]Sheet1!$D$2:$D$200))))
)</f>
        <v>(주)부강에너지</v>
      </c>
      <c r="T324" s="22" t="s">
        <v>1376</v>
      </c>
      <c r="U324" s="16" t="str" cm="1">
        <f t="array" ref="U324">IF(
OR(AD324="",ISERROR(AD324)),
"-",
_xlfn.UNIQUE(_xlfn._xlws.FILTER([1]Sheet1!$D$2:$D$200,ISNUMBER(SEARCH(AD324,[1]Sheet1!$D$2:$D$200))))
)</f>
        <v>(주)부강에너지</v>
      </c>
      <c r="V324" s="23">
        <v>250000</v>
      </c>
      <c r="W324" s="23">
        <v>220000</v>
      </c>
      <c r="X324" s="23">
        <f t="shared" si="10"/>
        <v>30000</v>
      </c>
      <c r="Y324" s="25" t="s">
        <v>1377</v>
      </c>
      <c r="Z324" s="42" t="s">
        <v>51</v>
      </c>
      <c r="AA324" s="19" t="s">
        <v>81</v>
      </c>
      <c r="AB324" s="18" t="s">
        <v>846</v>
      </c>
      <c r="AC324" s="17" t="str">
        <f t="shared" si="12"/>
        <v>Y</v>
      </c>
      <c r="AD324" s="17" t="s">
        <v>197</v>
      </c>
      <c r="AE324" s="26">
        <v>0.52083333333333337</v>
      </c>
      <c r="AF324" s="27"/>
      <c r="AG324" s="27"/>
      <c r="AI324" s="49" t="s">
        <v>57</v>
      </c>
    </row>
    <row r="325" spans="1:35" ht="34.950000000000003" customHeight="1" x14ac:dyDescent="0.4">
      <c r="A325" s="16" t="s">
        <v>36</v>
      </c>
      <c r="B325" s="16" t="s">
        <v>37</v>
      </c>
      <c r="C325" s="17">
        <v>46004</v>
      </c>
      <c r="D325" s="16" t="s">
        <v>188</v>
      </c>
      <c r="E325" s="16" t="s">
        <v>189</v>
      </c>
      <c r="F325" s="16">
        <v>727</v>
      </c>
      <c r="G325" s="18" t="s">
        <v>998</v>
      </c>
      <c r="H325" s="16" t="s">
        <v>41</v>
      </c>
      <c r="I325" s="19" t="s">
        <v>272</v>
      </c>
      <c r="J325" s="16" t="str">
        <f>IFERROR(VLOOKUP(I325,[1]Sheet1!$A$1:$B$200,2,0),"_")</f>
        <v>Z9</v>
      </c>
      <c r="K325" s="19" t="s">
        <v>42</v>
      </c>
      <c r="L325" s="16" t="str">
        <f>IFERROR(VLOOKUP(K325,[1]Sheet1!$A$1:$B$200,2,0),"-")</f>
        <v>P</v>
      </c>
      <c r="M325" s="19" t="s">
        <v>191</v>
      </c>
      <c r="N325" s="16" t="str">
        <f>IFERROR(VLOOKUP(M325,[1]Sheet1!$G$2:$H$200,2,0),"-")</f>
        <v>HASL</v>
      </c>
      <c r="O325" s="18" t="s">
        <v>1373</v>
      </c>
      <c r="P325" s="17">
        <v>46007</v>
      </c>
      <c r="Q325" s="20" t="s">
        <v>1378</v>
      </c>
      <c r="R325" s="20" t="s">
        <v>1379</v>
      </c>
      <c r="S325" s="21" t="str" cm="1">
        <f t="array" ref="S325">IF(
OR(AD325="",ISERROR(AD325)),
"-",
_xlfn.UNIQUE(_xlfn._xlws.FILTER([1]Sheet1!$D$2:$D$200,ISNUMBER(SEARCH(AD325,[1]Sheet1!$D$2:$D$200))))
)</f>
        <v>(주)부강에너지</v>
      </c>
      <c r="T325" s="22" t="s">
        <v>1380</v>
      </c>
      <c r="U325" s="16" t="str" cm="1">
        <f t="array" ref="U325">IF(
OR(AD325="",ISERROR(AD325)),
"-",
_xlfn.UNIQUE(_xlfn._xlws.FILTER([1]Sheet1!$D$2:$D$200,ISNUMBER(SEARCH(AD325,[1]Sheet1!$D$2:$D$200))))
)</f>
        <v>(주)부강에너지</v>
      </c>
      <c r="V325" s="23">
        <v>250000</v>
      </c>
      <c r="W325" s="23">
        <v>220000</v>
      </c>
      <c r="X325" s="23">
        <f t="shared" si="10"/>
        <v>30000</v>
      </c>
      <c r="Y325" s="25" t="s">
        <v>1377</v>
      </c>
      <c r="Z325" s="42" t="s">
        <v>51</v>
      </c>
      <c r="AA325" s="19" t="s">
        <v>81</v>
      </c>
      <c r="AB325" s="18" t="s">
        <v>846</v>
      </c>
      <c r="AC325" s="17" t="str">
        <f t="shared" si="12"/>
        <v>Y</v>
      </c>
      <c r="AD325" s="17" t="s">
        <v>197</v>
      </c>
      <c r="AE325" s="26">
        <v>0.60416666666666663</v>
      </c>
      <c r="AF325" s="27"/>
      <c r="AG325" s="27"/>
      <c r="AI325" s="49" t="s">
        <v>57</v>
      </c>
    </row>
    <row r="326" spans="1:35" ht="34.950000000000003" customHeight="1" x14ac:dyDescent="0.4">
      <c r="A326" s="16" t="s">
        <v>36</v>
      </c>
      <c r="B326" s="16" t="s">
        <v>37</v>
      </c>
      <c r="C326" s="17">
        <v>46004</v>
      </c>
      <c r="D326" s="16" t="s">
        <v>188</v>
      </c>
      <c r="E326" s="16" t="s">
        <v>189</v>
      </c>
      <c r="F326" s="16">
        <v>16725</v>
      </c>
      <c r="G326" s="18" t="s">
        <v>1381</v>
      </c>
      <c r="H326" s="16" t="s">
        <v>41</v>
      </c>
      <c r="I326" s="19" t="s">
        <v>272</v>
      </c>
      <c r="J326" s="16" t="str">
        <f>IFERROR(VLOOKUP(I326,[1]Sheet1!$A$1:$B$200,2,0),"_")</f>
        <v>Z9</v>
      </c>
      <c r="K326" s="19" t="s">
        <v>42</v>
      </c>
      <c r="L326" s="16" t="str">
        <f>IFERROR(VLOOKUP(K326,[1]Sheet1!$A$1:$B$200,2,0),"-")</f>
        <v>P</v>
      </c>
      <c r="M326" s="19" t="s">
        <v>191</v>
      </c>
      <c r="N326" s="16" t="str">
        <f>IFERROR(VLOOKUP(M326,[1]Sheet1!$G$2:$H$200,2,0),"-")</f>
        <v>HASL</v>
      </c>
      <c r="O326" s="18" t="s">
        <v>1373</v>
      </c>
      <c r="P326" s="17">
        <v>46007</v>
      </c>
      <c r="Q326" s="20" t="s">
        <v>1382</v>
      </c>
      <c r="R326" s="20" t="s">
        <v>1383</v>
      </c>
      <c r="S326" s="21" t="str" cm="1">
        <f t="array" ref="S326">IF(
OR(AD326="",ISERROR(AD326)),
"-",
_xlfn.UNIQUE(_xlfn._xlws.FILTER([1]Sheet1!$D$2:$D$200,ISNUMBER(SEARCH(AD326,[1]Sheet1!$D$2:$D$200))))
)</f>
        <v>(주)부강에너지</v>
      </c>
      <c r="T326" s="22" t="s">
        <v>1384</v>
      </c>
      <c r="U326" s="16" t="str" cm="1">
        <f t="array" ref="U326">IF(
OR(AD326="",ISERROR(AD326)),
"-",
_xlfn.UNIQUE(_xlfn._xlws.FILTER([1]Sheet1!$D$2:$D$200,ISNUMBER(SEARCH(AD326,[1]Sheet1!$D$2:$D$200))))
)</f>
        <v>(주)부강에너지</v>
      </c>
      <c r="V326" s="23">
        <v>250000</v>
      </c>
      <c r="W326" s="23">
        <v>220000</v>
      </c>
      <c r="X326" s="23">
        <f t="shared" si="10"/>
        <v>30000</v>
      </c>
      <c r="Y326" s="25" t="s">
        <v>1377</v>
      </c>
      <c r="Z326" s="42" t="s">
        <v>51</v>
      </c>
      <c r="AA326" s="19" t="s">
        <v>81</v>
      </c>
      <c r="AB326" s="18" t="s">
        <v>1385</v>
      </c>
      <c r="AC326" s="17" t="str">
        <f t="shared" si="12"/>
        <v>Y</v>
      </c>
      <c r="AD326" s="17" t="s">
        <v>197</v>
      </c>
      <c r="AE326" s="26">
        <v>0.34722222222222227</v>
      </c>
      <c r="AF326" s="27"/>
      <c r="AG326" s="27"/>
      <c r="AI326" s="49" t="s">
        <v>57</v>
      </c>
    </row>
    <row r="327" spans="1:35" ht="34.950000000000003" customHeight="1" x14ac:dyDescent="0.4">
      <c r="A327" s="16" t="s">
        <v>36</v>
      </c>
      <c r="B327" s="16" t="s">
        <v>37</v>
      </c>
      <c r="C327" s="17">
        <v>46004</v>
      </c>
      <c r="D327" s="16" t="s">
        <v>188</v>
      </c>
      <c r="E327" s="16" t="s">
        <v>189</v>
      </c>
      <c r="F327" s="16">
        <v>16725</v>
      </c>
      <c r="G327" s="18" t="s">
        <v>1381</v>
      </c>
      <c r="H327" s="16" t="s">
        <v>41</v>
      </c>
      <c r="I327" s="19" t="s">
        <v>272</v>
      </c>
      <c r="J327" s="16" t="str">
        <f>IFERROR(VLOOKUP(I327,[1]Sheet1!$A$1:$B$200,2,0),"_")</f>
        <v>Z9</v>
      </c>
      <c r="K327" s="19" t="s">
        <v>42</v>
      </c>
      <c r="L327" s="16" t="str">
        <f>IFERROR(VLOOKUP(K327,[1]Sheet1!$A$1:$B$200,2,0),"-")</f>
        <v>P</v>
      </c>
      <c r="M327" s="19" t="s">
        <v>191</v>
      </c>
      <c r="N327" s="16" t="str">
        <f>IFERROR(VLOOKUP(M327,[1]Sheet1!$G$2:$H$200,2,0),"-")</f>
        <v>HASL</v>
      </c>
      <c r="O327" s="18" t="s">
        <v>1373</v>
      </c>
      <c r="P327" s="17">
        <v>46007</v>
      </c>
      <c r="Q327" s="20" t="s">
        <v>1386</v>
      </c>
      <c r="R327" s="20" t="s">
        <v>1387</v>
      </c>
      <c r="S327" s="21" t="str" cm="1">
        <f t="array" ref="S327">IF(
OR(AD327="",ISERROR(AD327)),
"-",
_xlfn.UNIQUE(_xlfn._xlws.FILTER([1]Sheet1!$D$2:$D$200,ISNUMBER(SEARCH(AD327,[1]Sheet1!$D$2:$D$200))))
)</f>
        <v>(주)부강에너지</v>
      </c>
      <c r="T327" s="22" t="s">
        <v>1388</v>
      </c>
      <c r="U327" s="16" t="str" cm="1">
        <f t="array" ref="U327">IF(
OR(AD327="",ISERROR(AD327)),
"-",
_xlfn.UNIQUE(_xlfn._xlws.FILTER([1]Sheet1!$D$2:$D$200,ISNUMBER(SEARCH(AD327,[1]Sheet1!$D$2:$D$200))))
)</f>
        <v>(주)부강에너지</v>
      </c>
      <c r="V327" s="23">
        <v>250000</v>
      </c>
      <c r="W327" s="23">
        <v>220000</v>
      </c>
      <c r="X327" s="23">
        <f t="shared" si="10"/>
        <v>30000</v>
      </c>
      <c r="Y327" s="25" t="s">
        <v>1377</v>
      </c>
      <c r="Z327" s="42" t="s">
        <v>51</v>
      </c>
      <c r="AA327" s="19" t="s">
        <v>81</v>
      </c>
      <c r="AB327" s="18" t="s">
        <v>1385</v>
      </c>
      <c r="AC327" s="17" t="str">
        <f t="shared" si="12"/>
        <v>Y</v>
      </c>
      <c r="AD327" s="17" t="s">
        <v>197</v>
      </c>
      <c r="AE327" s="26">
        <v>0.34722222222222227</v>
      </c>
      <c r="AF327" s="27"/>
      <c r="AG327" s="27"/>
      <c r="AI327" s="49" t="s">
        <v>57</v>
      </c>
    </row>
    <row r="328" spans="1:35" ht="34.950000000000003" customHeight="1" x14ac:dyDescent="0.4">
      <c r="A328" s="16" t="s">
        <v>36</v>
      </c>
      <c r="B328" s="16" t="s">
        <v>37</v>
      </c>
      <c r="C328" s="17">
        <v>46004</v>
      </c>
      <c r="D328" s="16" t="s">
        <v>188</v>
      </c>
      <c r="E328" s="16" t="s">
        <v>189</v>
      </c>
      <c r="F328" s="16">
        <v>16725</v>
      </c>
      <c r="G328" s="18" t="s">
        <v>1381</v>
      </c>
      <c r="H328" s="16" t="s">
        <v>41</v>
      </c>
      <c r="I328" s="19" t="s">
        <v>272</v>
      </c>
      <c r="J328" s="16" t="str">
        <f>IFERROR(VLOOKUP(I328,[1]Sheet1!$A$1:$B$200,2,0),"_")</f>
        <v>Z9</v>
      </c>
      <c r="K328" s="19" t="s">
        <v>42</v>
      </c>
      <c r="L328" s="16" t="str">
        <f>IFERROR(VLOOKUP(K328,[1]Sheet1!$A$1:$B$200,2,0),"-")</f>
        <v>P</v>
      </c>
      <c r="M328" s="19" t="s">
        <v>191</v>
      </c>
      <c r="N328" s="16" t="str">
        <f>IFERROR(VLOOKUP(M328,[1]Sheet1!$G$2:$H$200,2,0),"-")</f>
        <v>HASL</v>
      </c>
      <c r="O328" s="18" t="s">
        <v>1373</v>
      </c>
      <c r="P328" s="17">
        <v>46007</v>
      </c>
      <c r="Q328" s="20" t="s">
        <v>1389</v>
      </c>
      <c r="R328" s="20" t="s">
        <v>1390</v>
      </c>
      <c r="S328" s="21" t="str" cm="1">
        <f t="array" ref="S328">IF(
OR(AD328="",ISERROR(AD328)),
"-",
_xlfn.UNIQUE(_xlfn._xlws.FILTER([1]Sheet1!$D$2:$D$200,ISNUMBER(SEARCH(AD328,[1]Sheet1!$D$2:$D$200))))
)</f>
        <v>(주)부강에너지</v>
      </c>
      <c r="T328" s="22" t="s">
        <v>1391</v>
      </c>
      <c r="U328" s="16" t="str" cm="1">
        <f t="array" ref="U328">IF(
OR(AD328="",ISERROR(AD328)),
"-",
_xlfn.UNIQUE(_xlfn._xlws.FILTER([1]Sheet1!$D$2:$D$200,ISNUMBER(SEARCH(AD328,[1]Sheet1!$D$2:$D$200))))
)</f>
        <v>(주)부강에너지</v>
      </c>
      <c r="V328" s="23">
        <v>250000</v>
      </c>
      <c r="W328" s="23">
        <v>220000</v>
      </c>
      <c r="X328" s="23">
        <f t="shared" si="10"/>
        <v>30000</v>
      </c>
      <c r="Y328" s="25" t="s">
        <v>1377</v>
      </c>
      <c r="Z328" s="42" t="s">
        <v>51</v>
      </c>
      <c r="AA328" s="19" t="s">
        <v>81</v>
      </c>
      <c r="AB328" s="18" t="s">
        <v>1385</v>
      </c>
      <c r="AC328" s="17" t="str">
        <f t="shared" si="12"/>
        <v>Y</v>
      </c>
      <c r="AD328" s="17" t="s">
        <v>197</v>
      </c>
      <c r="AE328" s="26">
        <v>0.41666666666666669</v>
      </c>
      <c r="AF328" s="27"/>
      <c r="AG328" s="27"/>
      <c r="AI328" s="49" t="s">
        <v>57</v>
      </c>
    </row>
    <row r="329" spans="1:35" ht="34.950000000000003" customHeight="1" x14ac:dyDescent="0.4">
      <c r="A329" s="16" t="s">
        <v>36</v>
      </c>
      <c r="B329" s="16" t="s">
        <v>37</v>
      </c>
      <c r="C329" s="17">
        <v>46004</v>
      </c>
      <c r="D329" s="16" t="s">
        <v>188</v>
      </c>
      <c r="E329" s="16" t="s">
        <v>189</v>
      </c>
      <c r="F329" s="16">
        <v>16725</v>
      </c>
      <c r="G329" s="18" t="s">
        <v>1381</v>
      </c>
      <c r="H329" s="16" t="s">
        <v>41</v>
      </c>
      <c r="I329" s="19" t="s">
        <v>272</v>
      </c>
      <c r="J329" s="16" t="str">
        <f>IFERROR(VLOOKUP(I329,[1]Sheet1!$A$1:$B$200,2,0),"_")</f>
        <v>Z9</v>
      </c>
      <c r="K329" s="19" t="s">
        <v>42</v>
      </c>
      <c r="L329" s="16" t="str">
        <f>IFERROR(VLOOKUP(K329,[1]Sheet1!$A$1:$B$200,2,0),"-")</f>
        <v>P</v>
      </c>
      <c r="M329" s="19" t="s">
        <v>191</v>
      </c>
      <c r="N329" s="16" t="str">
        <f>IFERROR(VLOOKUP(M329,[1]Sheet1!$G$2:$H$200,2,0),"-")</f>
        <v>HASL</v>
      </c>
      <c r="O329" s="18" t="s">
        <v>1373</v>
      </c>
      <c r="P329" s="17">
        <v>46007</v>
      </c>
      <c r="Q329" s="20" t="s">
        <v>1392</v>
      </c>
      <c r="R329" s="20" t="s">
        <v>1393</v>
      </c>
      <c r="S329" s="21" t="str" cm="1">
        <f t="array" ref="S329">IF(
OR(AD329="",ISERROR(AD329)),
"-",
_xlfn.UNIQUE(_xlfn._xlws.FILTER([1]Sheet1!$D$2:$D$200,ISNUMBER(SEARCH(AD329,[1]Sheet1!$D$2:$D$200))))
)</f>
        <v>(주)부강에너지</v>
      </c>
      <c r="T329" s="22" t="s">
        <v>1394</v>
      </c>
      <c r="U329" s="16" t="str" cm="1">
        <f t="array" ref="U329">IF(
OR(AD329="",ISERROR(AD329)),
"-",
_xlfn.UNIQUE(_xlfn._xlws.FILTER([1]Sheet1!$D$2:$D$200,ISNUMBER(SEARCH(AD329,[1]Sheet1!$D$2:$D$200))))
)</f>
        <v>(주)부강에너지</v>
      </c>
      <c r="V329" s="23">
        <v>250000</v>
      </c>
      <c r="W329" s="23">
        <v>220000</v>
      </c>
      <c r="X329" s="23">
        <f t="shared" si="10"/>
        <v>30000</v>
      </c>
      <c r="Y329" s="25" t="s">
        <v>1377</v>
      </c>
      <c r="Z329" s="42" t="s">
        <v>51</v>
      </c>
      <c r="AA329" s="19" t="s">
        <v>81</v>
      </c>
      <c r="AB329" s="18" t="s">
        <v>1385</v>
      </c>
      <c r="AC329" s="17" t="str">
        <f t="shared" si="12"/>
        <v>Y</v>
      </c>
      <c r="AD329" s="17" t="s">
        <v>197</v>
      </c>
      <c r="AE329" s="26">
        <v>0.54166666666666663</v>
      </c>
      <c r="AF329" s="27"/>
      <c r="AG329" s="27"/>
      <c r="AI329" s="49" t="s">
        <v>57</v>
      </c>
    </row>
    <row r="330" spans="1:35" ht="34.950000000000003" customHeight="1" x14ac:dyDescent="0.4">
      <c r="A330" s="16" t="s">
        <v>36</v>
      </c>
      <c r="B330" s="16" t="s">
        <v>37</v>
      </c>
      <c r="C330" s="17">
        <v>46004</v>
      </c>
      <c r="D330" s="16" t="s">
        <v>188</v>
      </c>
      <c r="E330" s="16" t="s">
        <v>189</v>
      </c>
      <c r="F330" s="16">
        <v>16725</v>
      </c>
      <c r="G330" s="18" t="s">
        <v>1381</v>
      </c>
      <c r="H330" s="16" t="s">
        <v>41</v>
      </c>
      <c r="I330" s="19" t="s">
        <v>272</v>
      </c>
      <c r="J330" s="16" t="str">
        <f>IFERROR(VLOOKUP(I330,[1]Sheet1!$A$1:$B$200,2,0),"_")</f>
        <v>Z9</v>
      </c>
      <c r="K330" s="19" t="s">
        <v>42</v>
      </c>
      <c r="L330" s="16" t="str">
        <f>IFERROR(VLOOKUP(K330,[1]Sheet1!$A$1:$B$200,2,0),"-")</f>
        <v>P</v>
      </c>
      <c r="M330" s="19" t="s">
        <v>191</v>
      </c>
      <c r="N330" s="16" t="str">
        <f>IFERROR(VLOOKUP(M330,[1]Sheet1!$G$2:$H$200,2,0),"-")</f>
        <v>HASL</v>
      </c>
      <c r="O330" s="18" t="s">
        <v>1373</v>
      </c>
      <c r="P330" s="17">
        <v>46007</v>
      </c>
      <c r="Q330" s="20" t="s">
        <v>1395</v>
      </c>
      <c r="R330" s="20" t="s">
        <v>1396</v>
      </c>
      <c r="S330" s="21" t="str" cm="1">
        <f t="array" ref="S330">IF(
OR(AD330="",ISERROR(AD330)),
"-",
_xlfn.UNIQUE(_xlfn._xlws.FILTER([1]Sheet1!$D$2:$D$200,ISNUMBER(SEARCH(AD330,[1]Sheet1!$D$2:$D$200))))
)</f>
        <v>(주)부강에너지</v>
      </c>
      <c r="T330" s="22" t="s">
        <v>1397</v>
      </c>
      <c r="U330" s="16" t="str" cm="1">
        <f t="array" ref="U330">IF(
OR(AD330="",ISERROR(AD330)),
"-",
_xlfn.UNIQUE(_xlfn._xlws.FILTER([1]Sheet1!$D$2:$D$200,ISNUMBER(SEARCH(AD330,[1]Sheet1!$D$2:$D$200))))
)</f>
        <v>(주)부강에너지</v>
      </c>
      <c r="V330" s="23">
        <v>250000</v>
      </c>
      <c r="W330" s="23">
        <v>220000</v>
      </c>
      <c r="X330" s="23">
        <f t="shared" si="10"/>
        <v>30000</v>
      </c>
      <c r="Y330" s="25" t="s">
        <v>1377</v>
      </c>
      <c r="Z330" s="42" t="s">
        <v>51</v>
      </c>
      <c r="AA330" s="19" t="s">
        <v>81</v>
      </c>
      <c r="AB330" s="18" t="s">
        <v>1385</v>
      </c>
      <c r="AC330" s="17" t="str">
        <f t="shared" si="12"/>
        <v>Y</v>
      </c>
      <c r="AD330" s="17" t="s">
        <v>197</v>
      </c>
      <c r="AE330" s="26">
        <v>0.58333333333333337</v>
      </c>
      <c r="AF330" s="27"/>
      <c r="AG330" s="27"/>
      <c r="AI330" s="49" t="s">
        <v>57</v>
      </c>
    </row>
    <row r="331" spans="1:35" ht="34.950000000000003" customHeight="1" x14ac:dyDescent="0.4">
      <c r="A331" s="16" t="s">
        <v>71</v>
      </c>
      <c r="B331" s="16" t="s">
        <v>37</v>
      </c>
      <c r="C331" s="17">
        <v>46004</v>
      </c>
      <c r="D331" s="16" t="s">
        <v>188</v>
      </c>
      <c r="E331" s="16" t="s">
        <v>295</v>
      </c>
      <c r="F331" s="16">
        <v>28848</v>
      </c>
      <c r="G331" s="18" t="s">
        <v>1398</v>
      </c>
      <c r="H331" s="16" t="s">
        <v>41</v>
      </c>
      <c r="I331" s="19" t="s">
        <v>272</v>
      </c>
      <c r="J331" s="16" t="str">
        <f>IFERROR(VLOOKUP(I331,[1]Sheet1!$A$1:$B$200,2,0),"_")</f>
        <v>Z9</v>
      </c>
      <c r="K331" s="19" t="s">
        <v>272</v>
      </c>
      <c r="L331" s="16" t="str">
        <f>IFERROR(VLOOKUP(K331,[1]Sheet1!$A$1:$B$200,2,0),"-")</f>
        <v>Z9</v>
      </c>
      <c r="M331" s="19" t="s">
        <v>311</v>
      </c>
      <c r="N331" s="16" t="str">
        <f>IFERROR(VLOOKUP(M331,[1]Sheet1!$G$2:$H$200,2,0),"-")</f>
        <v>COSU</v>
      </c>
      <c r="O331" s="18" t="s">
        <v>55</v>
      </c>
      <c r="P331" s="17" t="s">
        <v>55</v>
      </c>
      <c r="Q331" s="20" t="s">
        <v>1399</v>
      </c>
      <c r="R331" s="20"/>
      <c r="S331" s="21" t="str" cm="1">
        <f t="array" ref="S331">IF(
OR(AD331="",ISERROR(AD331)),
"-",
_xlfn.UNIQUE(_xlfn._xlws.FILTER([1]Sheet1!$D$2:$D$200,ISNUMBER(SEARCH(AD331,[1]Sheet1!$D$2:$D$200))))
)</f>
        <v>백승운수</v>
      </c>
      <c r="T331" s="22" t="s">
        <v>1400</v>
      </c>
      <c r="U331" s="16" t="str" cm="1">
        <f t="array" ref="U331">IF(
OR(AD331="",ISERROR(AD331)),
"-",
_xlfn.UNIQUE(_xlfn._xlws.FILTER([1]Sheet1!$D$2:$D$200,ISNUMBER(SEARCH(AD331,[1]Sheet1!$D$2:$D$200))))
)</f>
        <v>백승운수</v>
      </c>
      <c r="V331" s="23">
        <v>330000</v>
      </c>
      <c r="W331" s="23">
        <v>296000</v>
      </c>
      <c r="X331" s="23">
        <f t="shared" si="10"/>
        <v>34000</v>
      </c>
      <c r="Y331" s="25" t="s">
        <v>1401</v>
      </c>
      <c r="Z331" s="42" t="s">
        <v>51</v>
      </c>
      <c r="AA331" s="19" t="s">
        <v>81</v>
      </c>
      <c r="AC331" s="17" t="str">
        <f t="shared" si="12"/>
        <v>Y</v>
      </c>
      <c r="AD331" s="17" t="s">
        <v>95</v>
      </c>
      <c r="AE331" s="26">
        <v>0.66666666666666663</v>
      </c>
      <c r="AF331" s="27"/>
      <c r="AG331" s="27"/>
      <c r="AI331" s="49" t="s">
        <v>57</v>
      </c>
    </row>
    <row r="332" spans="1:35" ht="34.950000000000003" customHeight="1" x14ac:dyDescent="0.4">
      <c r="A332" s="16" t="s">
        <v>71</v>
      </c>
      <c r="B332" s="16" t="s">
        <v>37</v>
      </c>
      <c r="C332" s="17">
        <v>46004</v>
      </c>
      <c r="D332" s="16" t="s">
        <v>188</v>
      </c>
      <c r="E332" s="16" t="s">
        <v>295</v>
      </c>
      <c r="F332" s="16">
        <v>28848</v>
      </c>
      <c r="G332" s="18" t="s">
        <v>1398</v>
      </c>
      <c r="H332" s="16" t="s">
        <v>41</v>
      </c>
      <c r="I332" s="19" t="s">
        <v>272</v>
      </c>
      <c r="J332" s="16" t="str">
        <f>IFERROR(VLOOKUP(I332,[1]Sheet1!$A$1:$B$200,2,0),"_")</f>
        <v>Z9</v>
      </c>
      <c r="K332" s="19" t="s">
        <v>272</v>
      </c>
      <c r="L332" s="16" t="str">
        <f>IFERROR(VLOOKUP(K332,[1]Sheet1!$A$1:$B$200,2,0),"-")</f>
        <v>Z9</v>
      </c>
      <c r="M332" s="19" t="s">
        <v>311</v>
      </c>
      <c r="N332" s="16" t="str">
        <f>IFERROR(VLOOKUP(M332,[1]Sheet1!$G$2:$H$200,2,0),"-")</f>
        <v>COSU</v>
      </c>
      <c r="O332" s="18" t="s">
        <v>55</v>
      </c>
      <c r="P332" s="17" t="s">
        <v>55</v>
      </c>
      <c r="Q332" s="20" t="s">
        <v>1399</v>
      </c>
      <c r="R332" s="20"/>
      <c r="S332" s="21" t="str" cm="1">
        <f t="array" ref="S332">IF(
OR(AD332="",ISERROR(AD332)),
"-",
_xlfn.UNIQUE(_xlfn._xlws.FILTER([1]Sheet1!$D$2:$D$200,ISNUMBER(SEARCH(AD332,[1]Sheet1!$D$2:$D$200))))
)</f>
        <v>백승운수</v>
      </c>
      <c r="T332" s="22" t="s">
        <v>1400</v>
      </c>
      <c r="U332" s="16" t="str" cm="1">
        <f t="array" ref="U332">IF(
OR(AD332="",ISERROR(AD332)),
"-",
_xlfn.UNIQUE(_xlfn._xlws.FILTER([1]Sheet1!$D$2:$D$200,ISNUMBER(SEARCH(AD332,[1]Sheet1!$D$2:$D$200))))
)</f>
        <v>백승운수</v>
      </c>
      <c r="V332" s="23">
        <v>110000</v>
      </c>
      <c r="W332" s="23">
        <v>60000</v>
      </c>
      <c r="X332" s="23">
        <f t="shared" si="10"/>
        <v>50000</v>
      </c>
      <c r="Y332" s="25" t="s">
        <v>1402</v>
      </c>
      <c r="Z332" s="42" t="s">
        <v>51</v>
      </c>
      <c r="AA332" s="19" t="s">
        <v>81</v>
      </c>
      <c r="AB332" s="18" t="s">
        <v>1403</v>
      </c>
      <c r="AC332" s="17" t="str">
        <f t="shared" si="12"/>
        <v>Y</v>
      </c>
      <c r="AD332" s="17" t="s">
        <v>95</v>
      </c>
      <c r="AE332" s="26">
        <v>0.66666666666666663</v>
      </c>
      <c r="AF332" s="27"/>
      <c r="AG332" s="27"/>
      <c r="AI332" s="49" t="s">
        <v>57</v>
      </c>
    </row>
    <row r="333" spans="1:35" ht="34.950000000000003" customHeight="1" x14ac:dyDescent="0.4">
      <c r="A333" s="16" t="s">
        <v>36</v>
      </c>
      <c r="B333" s="16" t="s">
        <v>99</v>
      </c>
      <c r="C333" s="17">
        <v>46006</v>
      </c>
      <c r="D333" s="16" t="s">
        <v>464</v>
      </c>
      <c r="E333" s="16" t="s">
        <v>1404</v>
      </c>
      <c r="F333" s="16">
        <v>8778</v>
      </c>
      <c r="G333" s="18" t="s">
        <v>1405</v>
      </c>
      <c r="H333" s="16" t="s">
        <v>75</v>
      </c>
      <c r="I333" s="19" t="s">
        <v>76</v>
      </c>
      <c r="J333" s="16" t="str">
        <f>IFERROR(VLOOKUP(I333,[1]Sheet1!$A$1:$B$200,2,0),"_")</f>
        <v>NJ</v>
      </c>
      <c r="K333" s="19" t="s">
        <v>76</v>
      </c>
      <c r="L333" s="16" t="str">
        <f>IFERROR(VLOOKUP(K333,[1]Sheet1!$A$1:$B$200,2,0),"-")</f>
        <v>NJ</v>
      </c>
      <c r="M333" s="19" t="s">
        <v>211</v>
      </c>
      <c r="N333" s="16" t="str">
        <f>IFERROR(VLOOKUP(M333,[1]Sheet1!$G$2:$H$200,2,0),"-")</f>
        <v>SITC</v>
      </c>
      <c r="O333" s="18" t="s">
        <v>1406</v>
      </c>
      <c r="P333" s="17">
        <v>46007</v>
      </c>
      <c r="Q333" s="20" t="s">
        <v>1407</v>
      </c>
      <c r="R333" s="20" t="s">
        <v>1408</v>
      </c>
      <c r="S333" s="21" t="str" cm="1">
        <f t="array" ref="S333">IF(
OR(AD333="",ISERROR(AD333)),
"-",
_xlfn.UNIQUE(_xlfn._xlws.FILTER([1]Sheet1!$D$2:$D$200,ISNUMBER(SEARCH(AD333,[1]Sheet1!$D$2:$D$200))))
)</f>
        <v>로지아이솔루션</v>
      </c>
      <c r="T333" s="22" t="s">
        <v>1409</v>
      </c>
      <c r="U333" s="16" t="str" cm="1">
        <f t="array" ref="U333">IF(
OR(AD333="",ISERROR(AD333)),
"-",
_xlfn.UNIQUE(_xlfn._xlws.FILTER([1]Sheet1!$D$2:$D$200,ISNUMBER(SEARCH(AD333,[1]Sheet1!$D$2:$D$200))))
)</f>
        <v>로지아이솔루션</v>
      </c>
      <c r="V333" s="23">
        <v>315000</v>
      </c>
      <c r="W333" s="23">
        <v>301200</v>
      </c>
      <c r="X333" s="23">
        <f t="shared" si="10"/>
        <v>13800</v>
      </c>
      <c r="Y333" s="25" t="s">
        <v>1410</v>
      </c>
      <c r="Z333" s="42" t="s">
        <v>51</v>
      </c>
      <c r="AA333" s="19" t="s">
        <v>472</v>
      </c>
      <c r="AB333" s="18" t="s">
        <v>1411</v>
      </c>
      <c r="AC333" s="17" t="str">
        <f t="shared" si="12"/>
        <v>Y</v>
      </c>
      <c r="AD333" s="17" t="s">
        <v>206</v>
      </c>
      <c r="AE333" s="26">
        <v>0.65277777777777779</v>
      </c>
      <c r="AF333" s="27"/>
      <c r="AG333" s="27"/>
      <c r="AI333" s="49" t="s">
        <v>57</v>
      </c>
    </row>
    <row r="334" spans="1:35" ht="34.950000000000003" customHeight="1" x14ac:dyDescent="0.4">
      <c r="A334" s="16" t="s">
        <v>71</v>
      </c>
      <c r="B334" s="16" t="s">
        <v>37</v>
      </c>
      <c r="C334" s="17">
        <v>46006</v>
      </c>
      <c r="D334" s="16" t="s">
        <v>216</v>
      </c>
      <c r="E334" s="16" t="s">
        <v>459</v>
      </c>
      <c r="F334" s="16">
        <v>26699</v>
      </c>
      <c r="G334" s="18" t="s">
        <v>1412</v>
      </c>
      <c r="H334" s="16" t="s">
        <v>711</v>
      </c>
      <c r="I334" s="19" t="s">
        <v>1413</v>
      </c>
      <c r="J334" s="16" t="str">
        <f>IFERROR(VLOOKUP(I334,[1]Sheet1!$A$1:$B$200,2,0),"_")</f>
        <v>IN</v>
      </c>
      <c r="K334" s="19" t="s">
        <v>1413</v>
      </c>
      <c r="L334" s="16" t="str">
        <f>IFERROR(VLOOKUP(K334,[1]Sheet1!$A$1:$B$200,2,0),"-")</f>
        <v>IN</v>
      </c>
      <c r="M334" s="19" t="s">
        <v>221</v>
      </c>
      <c r="N334" s="16" t="str">
        <f>IFERROR(VLOOKUP(M334,[1]Sheet1!$G$2:$H$200,2,0),"-")</f>
        <v>DOOW</v>
      </c>
      <c r="O334" s="18" t="s">
        <v>55</v>
      </c>
      <c r="P334" s="17" t="s">
        <v>55</v>
      </c>
      <c r="Q334" s="20" t="s">
        <v>1414</v>
      </c>
      <c r="R334" s="20"/>
      <c r="S334" s="21" t="str" cm="1">
        <f t="array" ref="S334">IF(
OR(AD334="",ISERROR(AD334)),
"-",
_xlfn.UNIQUE(_xlfn._xlws.FILTER([1]Sheet1!$D$2:$D$200,ISNUMBER(SEARCH(AD334,[1]Sheet1!$D$2:$D$200))))
)</f>
        <v>에스지로지스틱</v>
      </c>
      <c r="T334" s="22" t="s">
        <v>1415</v>
      </c>
      <c r="U334" s="16" t="str" cm="1">
        <f t="array" ref="U334">IF(
OR(AD334="",ISERROR(AD334)),
"-",
_xlfn.UNIQUE(_xlfn._xlws.FILTER([1]Sheet1!$D$2:$D$200,ISNUMBER(SEARCH(AD334,[1]Sheet1!$D$2:$D$200))))
)</f>
        <v>에스지로지스틱</v>
      </c>
      <c r="V334" s="23">
        <v>350000</v>
      </c>
      <c r="W334" s="23">
        <v>337000</v>
      </c>
      <c r="X334" s="23">
        <f t="shared" si="10"/>
        <v>13000</v>
      </c>
      <c r="Y334" s="25" t="s">
        <v>1416</v>
      </c>
      <c r="Z334" s="42" t="s">
        <v>51</v>
      </c>
      <c r="AA334" s="19" t="s">
        <v>93</v>
      </c>
      <c r="AC334" s="17" t="str">
        <f t="shared" si="12"/>
        <v>Y</v>
      </c>
      <c r="AD334" s="17" t="s">
        <v>184</v>
      </c>
      <c r="AE334" s="26">
        <v>0.375</v>
      </c>
      <c r="AF334" s="27"/>
      <c r="AG334" s="27"/>
      <c r="AI334" s="49" t="s">
        <v>57</v>
      </c>
    </row>
    <row r="335" spans="1:35" ht="34.950000000000003" customHeight="1" x14ac:dyDescent="0.4">
      <c r="A335" s="16" t="s">
        <v>71</v>
      </c>
      <c r="B335" s="16" t="s">
        <v>99</v>
      </c>
      <c r="C335" s="17">
        <v>46006</v>
      </c>
      <c r="D335" s="16" t="s">
        <v>126</v>
      </c>
      <c r="E335" s="16" t="s">
        <v>199</v>
      </c>
      <c r="F335" s="16">
        <v>22141</v>
      </c>
      <c r="G335" s="18" t="s">
        <v>1417</v>
      </c>
      <c r="H335" s="16" t="s">
        <v>711</v>
      </c>
      <c r="I335" s="19" t="s">
        <v>76</v>
      </c>
      <c r="J335" s="16" t="str">
        <f>IFERROR(VLOOKUP(I335,[1]Sheet1!$A$1:$B$200,2,0),"_")</f>
        <v>NJ</v>
      </c>
      <c r="K335" s="19" t="s">
        <v>76</v>
      </c>
      <c r="L335" s="16" t="str">
        <f>IFERROR(VLOOKUP(K335,[1]Sheet1!$A$1:$B$200,2,0),"-")</f>
        <v>NJ</v>
      </c>
      <c r="M335" s="19" t="s">
        <v>211</v>
      </c>
      <c r="N335" s="16" t="str">
        <f>IFERROR(VLOOKUP(M335,[1]Sheet1!$G$2:$H$200,2,0),"-")</f>
        <v>SITC</v>
      </c>
      <c r="O335" s="18" t="s">
        <v>55</v>
      </c>
      <c r="P335" s="17" t="s">
        <v>55</v>
      </c>
      <c r="Q335" s="20" t="s">
        <v>1418</v>
      </c>
      <c r="R335" s="20"/>
      <c r="S335" s="21" t="str" cm="1">
        <f t="array" ref="S335">IF(
OR(AD335="",ISERROR(AD335)),
"-",
_xlfn.UNIQUE(_xlfn._xlws.FILTER([1]Sheet1!$D$2:$D$200,ISNUMBER(SEARCH(AD335,[1]Sheet1!$D$2:$D$200))))
)</f>
        <v>로지아이솔루션</v>
      </c>
      <c r="T335" s="22" t="s">
        <v>1419</v>
      </c>
      <c r="U335" s="16" t="str" cm="1">
        <f t="array" ref="U335">IF(
OR(AD335="",ISERROR(AD335)),
"-",
_xlfn.UNIQUE(_xlfn._xlws.FILTER([1]Sheet1!$D$2:$D$200,ISNUMBER(SEARCH(AD335,[1]Sheet1!$D$2:$D$200))))
)</f>
        <v>로지아이솔루션</v>
      </c>
      <c r="V335" s="23">
        <v>270000</v>
      </c>
      <c r="W335" s="23">
        <v>259850</v>
      </c>
      <c r="X335" s="23">
        <f t="shared" si="10"/>
        <v>10150</v>
      </c>
      <c r="Y335" s="25" t="s">
        <v>1420</v>
      </c>
      <c r="Z335" s="42" t="s">
        <v>51</v>
      </c>
      <c r="AA335" s="19" t="s">
        <v>81</v>
      </c>
      <c r="AB335" s="18" t="s">
        <v>205</v>
      </c>
      <c r="AC335" s="17" t="str">
        <f t="shared" si="12"/>
        <v>Y</v>
      </c>
      <c r="AD335" s="17" t="s">
        <v>206</v>
      </c>
      <c r="AE335" s="26">
        <v>0.35416666666666669</v>
      </c>
      <c r="AF335" s="27"/>
      <c r="AG335" s="27"/>
      <c r="AI335" s="49" t="s">
        <v>57</v>
      </c>
    </row>
    <row r="336" spans="1:35" ht="34.950000000000003" customHeight="1" x14ac:dyDescent="0.4">
      <c r="A336" s="16" t="s">
        <v>71</v>
      </c>
      <c r="B336" s="16" t="s">
        <v>99</v>
      </c>
      <c r="C336" s="17">
        <v>46006</v>
      </c>
      <c r="D336" s="16" t="s">
        <v>126</v>
      </c>
      <c r="E336" s="16" t="s">
        <v>199</v>
      </c>
      <c r="F336" s="16">
        <v>22141</v>
      </c>
      <c r="G336" s="18" t="s">
        <v>1417</v>
      </c>
      <c r="H336" s="16" t="s">
        <v>711</v>
      </c>
      <c r="I336" s="19" t="s">
        <v>76</v>
      </c>
      <c r="J336" s="16" t="str">
        <f>IFERROR(VLOOKUP(I336,[1]Sheet1!$A$1:$B$200,2,0),"_")</f>
        <v>NJ</v>
      </c>
      <c r="K336" s="19" t="s">
        <v>76</v>
      </c>
      <c r="L336" s="16" t="str">
        <f>IFERROR(VLOOKUP(K336,[1]Sheet1!$A$1:$B$200,2,0),"-")</f>
        <v>NJ</v>
      </c>
      <c r="M336" s="19" t="s">
        <v>211</v>
      </c>
      <c r="N336" s="16" t="str">
        <f>IFERROR(VLOOKUP(M336,[1]Sheet1!$G$2:$H$200,2,0),"-")</f>
        <v>SITC</v>
      </c>
      <c r="O336" s="18" t="s">
        <v>55</v>
      </c>
      <c r="P336" s="17" t="s">
        <v>55</v>
      </c>
      <c r="Q336" s="20" t="s">
        <v>1421</v>
      </c>
      <c r="R336" s="20"/>
      <c r="S336" s="21" t="str" cm="1">
        <f t="array" ref="S336">IF(
OR(AD336="",ISERROR(AD336)),
"-",
_xlfn.UNIQUE(_xlfn._xlws.FILTER([1]Sheet1!$D$2:$D$200,ISNUMBER(SEARCH(AD336,[1]Sheet1!$D$2:$D$200))))
)</f>
        <v>로지아이솔루션</v>
      </c>
      <c r="T336" s="22" t="s">
        <v>1422</v>
      </c>
      <c r="U336" s="16" t="str" cm="1">
        <f t="array" ref="U336">IF(
OR(AD336="",ISERROR(AD336)),
"-",
_xlfn.UNIQUE(_xlfn._xlws.FILTER([1]Sheet1!$D$2:$D$200,ISNUMBER(SEARCH(AD336,[1]Sheet1!$D$2:$D$200))))
)</f>
        <v>로지아이솔루션</v>
      </c>
      <c r="V336" s="23">
        <v>270000</v>
      </c>
      <c r="W336" s="23">
        <v>259850</v>
      </c>
      <c r="X336" s="23">
        <f t="shared" si="10"/>
        <v>10150</v>
      </c>
      <c r="Y336" s="25" t="s">
        <v>1420</v>
      </c>
      <c r="Z336" s="42" t="s">
        <v>51</v>
      </c>
      <c r="AA336" s="19" t="s">
        <v>81</v>
      </c>
      <c r="AB336" s="18" t="s">
        <v>205</v>
      </c>
      <c r="AC336" s="17" t="str">
        <f t="shared" si="12"/>
        <v>Y</v>
      </c>
      <c r="AD336" s="17" t="s">
        <v>206</v>
      </c>
      <c r="AE336" s="26">
        <v>0.5625</v>
      </c>
      <c r="AF336" s="27"/>
      <c r="AG336" s="27"/>
      <c r="AI336" s="49" t="s">
        <v>57</v>
      </c>
    </row>
    <row r="337" spans="1:35" ht="34.950000000000003" customHeight="1" x14ac:dyDescent="0.4">
      <c r="A337" s="16" t="s">
        <v>36</v>
      </c>
      <c r="B337" s="16" t="s">
        <v>37</v>
      </c>
      <c r="C337" s="17">
        <v>46006</v>
      </c>
      <c r="D337" s="16" t="s">
        <v>308</v>
      </c>
      <c r="E337" s="16" t="s">
        <v>941</v>
      </c>
      <c r="F337" s="16">
        <v>12365</v>
      </c>
      <c r="G337" s="18" t="s">
        <v>171</v>
      </c>
      <c r="H337" s="16" t="s">
        <v>41</v>
      </c>
      <c r="I337" s="19" t="s">
        <v>172</v>
      </c>
      <c r="J337" s="16" t="str">
        <f>IFERROR(VLOOKUP(I337,[1]Sheet1!$A$1:$B$200,2,0),"_")</f>
        <v>KW</v>
      </c>
      <c r="K337" s="19" t="s">
        <v>172</v>
      </c>
      <c r="L337" s="16" t="str">
        <f>IFERROR(VLOOKUP(K337,[1]Sheet1!$A$1:$B$200,2,0),"-")</f>
        <v>KW</v>
      </c>
      <c r="M337" s="19" t="s">
        <v>530</v>
      </c>
      <c r="N337" s="16" t="str">
        <f>IFERROR(VLOOKUP(M337,[1]Sheet1!$G$2:$H$200,2,0),"-")</f>
        <v>YMLU</v>
      </c>
      <c r="O337" s="18" t="s">
        <v>1423</v>
      </c>
      <c r="P337" s="17">
        <v>46009</v>
      </c>
      <c r="Q337" s="20" t="s">
        <v>1424</v>
      </c>
      <c r="R337" s="20" t="s">
        <v>1425</v>
      </c>
      <c r="S337" s="21" t="str" cm="1">
        <f t="array" ref="S337">IF(
OR(AD337="",ISERROR(AD337)),
"-",
_xlfn.UNIQUE(_xlfn._xlws.FILTER([1]Sheet1!$D$2:$D$200,ISNUMBER(SEARCH(AD337,[1]Sheet1!$D$2:$D$200))))
)</f>
        <v>(유)오식도물류</v>
      </c>
      <c r="T337" s="22" t="s">
        <v>1426</v>
      </c>
      <c r="U337" s="16" t="str" cm="1">
        <f t="array" ref="U337">IF(
OR(AD337="",ISERROR(AD337)),
"-",
_xlfn.UNIQUE(_xlfn._xlws.FILTER([1]Sheet1!$D$2:$D$200,ISNUMBER(SEARCH(AD337,[1]Sheet1!$D$2:$D$200))))
)</f>
        <v>(유)오식도물류</v>
      </c>
      <c r="V337" s="23">
        <v>480000</v>
      </c>
      <c r="W337" s="23">
        <v>404600</v>
      </c>
      <c r="X337" s="23">
        <f t="shared" si="10"/>
        <v>75400</v>
      </c>
      <c r="Y337" s="25" t="s">
        <v>1427</v>
      </c>
      <c r="Z337" s="42" t="s">
        <v>51</v>
      </c>
      <c r="AA337" s="19" t="s">
        <v>93</v>
      </c>
      <c r="AB337" s="18" t="s">
        <v>1280</v>
      </c>
      <c r="AC337" s="17" t="str">
        <f t="shared" si="12"/>
        <v>Y</v>
      </c>
      <c r="AD337" s="17" t="s">
        <v>179</v>
      </c>
      <c r="AE337" s="26">
        <v>0.70833333333333337</v>
      </c>
      <c r="AF337" s="27"/>
      <c r="AG337" s="27"/>
      <c r="AI337" s="49" t="s">
        <v>57</v>
      </c>
    </row>
    <row r="338" spans="1:35" ht="34.950000000000003" customHeight="1" x14ac:dyDescent="0.4">
      <c r="A338" s="16" t="s">
        <v>71</v>
      </c>
      <c r="B338" s="16" t="s">
        <v>37</v>
      </c>
      <c r="C338" s="17">
        <v>46006</v>
      </c>
      <c r="D338" s="16" t="s">
        <v>308</v>
      </c>
      <c r="E338" s="36" t="s">
        <v>941</v>
      </c>
      <c r="F338" s="16">
        <v>12365</v>
      </c>
      <c r="G338" s="18" t="s">
        <v>171</v>
      </c>
      <c r="H338" s="16" t="s">
        <v>41</v>
      </c>
      <c r="I338" s="19" t="s">
        <v>172</v>
      </c>
      <c r="J338" s="16" t="str">
        <f>IFERROR(VLOOKUP(I338,[1]Sheet1!$A$1:$B$200,2,0),"_")</f>
        <v>KW</v>
      </c>
      <c r="K338" s="19" t="s">
        <v>172</v>
      </c>
      <c r="L338" s="16" t="str">
        <f>IFERROR(VLOOKUP(K338,[1]Sheet1!$A$1:$B$200,2,0),"-")</f>
        <v>KW</v>
      </c>
      <c r="M338" s="19" t="s">
        <v>180</v>
      </c>
      <c r="N338" s="16" t="str">
        <f>IFERROR(VLOOKUP(M338,[1]Sheet1!$G$2:$H$200,2,0),"-")</f>
        <v>TSL</v>
      </c>
      <c r="O338" s="18" t="s">
        <v>1428</v>
      </c>
      <c r="P338" s="17">
        <v>46010</v>
      </c>
      <c r="Q338" s="20" t="s">
        <v>1429</v>
      </c>
      <c r="R338" s="20" t="s">
        <v>1430</v>
      </c>
      <c r="S338" s="21" t="str" cm="1">
        <f t="array" ref="S338">IF(
OR(AD338="",ISERROR(AD338)),
"-",
_xlfn.UNIQUE(_xlfn._xlws.FILTER([1]Sheet1!$D$2:$D$200,ISNUMBER(SEARCH(AD338,[1]Sheet1!$D$2:$D$200))))
)</f>
        <v>(유)오식도물류</v>
      </c>
      <c r="T338" s="22" t="s">
        <v>176</v>
      </c>
      <c r="U338" s="16" t="str" cm="1">
        <f t="array" ref="U338">IF(
OR(AD338="",ISERROR(AD338)),
"-",
_xlfn.UNIQUE(_xlfn._xlws.FILTER([1]Sheet1!$D$2:$D$200,ISNUMBER(SEARCH(AD338,[1]Sheet1!$D$2:$D$200))))
)</f>
        <v>(유)오식도물류</v>
      </c>
      <c r="V338" s="23">
        <v>480000</v>
      </c>
      <c r="W338" s="23">
        <v>404600</v>
      </c>
      <c r="X338" s="23">
        <f t="shared" si="10"/>
        <v>75400</v>
      </c>
      <c r="Y338" s="25" t="s">
        <v>1431</v>
      </c>
      <c r="Z338" s="42" t="s">
        <v>51</v>
      </c>
      <c r="AA338" s="19" t="s">
        <v>93</v>
      </c>
      <c r="AB338" s="18" t="s">
        <v>1432</v>
      </c>
      <c r="AC338" s="17" t="str">
        <f t="shared" si="12"/>
        <v>Y</v>
      </c>
      <c r="AD338" s="17" t="s">
        <v>179</v>
      </c>
      <c r="AE338" s="26">
        <v>0.66666666666666663</v>
      </c>
      <c r="AF338" s="27"/>
      <c r="AG338" s="27"/>
      <c r="AI338" s="49" t="s">
        <v>57</v>
      </c>
    </row>
    <row r="339" spans="1:35" ht="34.950000000000003" customHeight="1" x14ac:dyDescent="0.4">
      <c r="A339" s="16" t="s">
        <v>36</v>
      </c>
      <c r="B339" s="16" t="s">
        <v>37</v>
      </c>
      <c r="C339" s="17">
        <v>46006</v>
      </c>
      <c r="D339" s="16" t="s">
        <v>611</v>
      </c>
      <c r="E339" s="16" t="s">
        <v>611</v>
      </c>
      <c r="F339" s="16">
        <v>7510</v>
      </c>
      <c r="G339" s="18" t="s">
        <v>1433</v>
      </c>
      <c r="H339" s="16" t="s">
        <v>687</v>
      </c>
      <c r="I339" s="19" t="s">
        <v>137</v>
      </c>
      <c r="J339" s="16" t="str">
        <f>IFERROR(VLOOKUP(I339,[1]Sheet1!$A$1:$B$200,2,0),"_")</f>
        <v>BE</v>
      </c>
      <c r="K339" s="19" t="s">
        <v>751</v>
      </c>
      <c r="L339" s="16" t="str">
        <f>IFERROR(VLOOKUP(K339,[1]Sheet1!$A$1:$B$200,2,0),"-")</f>
        <v>PN</v>
      </c>
      <c r="M339" s="19" t="s">
        <v>77</v>
      </c>
      <c r="N339" s="16" t="str">
        <f>IFERROR(VLOOKUP(M339,[1]Sheet1!$G$2:$H$200,2,0),"-")</f>
        <v>KMTC</v>
      </c>
      <c r="O339" s="18" t="s">
        <v>1434</v>
      </c>
      <c r="P339" s="17">
        <v>46009</v>
      </c>
      <c r="Q339" s="20" t="s">
        <v>1435</v>
      </c>
      <c r="R339" s="20" t="s">
        <v>1436</v>
      </c>
      <c r="S339" s="21" t="str" cm="1">
        <f t="array" ref="S339">IF(
OR(AD339="",ISERROR(AD339)),
"-",
_xlfn.UNIQUE(_xlfn._xlws.FILTER([1]Sheet1!$D$2:$D$200,ISNUMBER(SEARCH(AD339,[1]Sheet1!$D$2:$D$200))))
)</f>
        <v>양양운수(주)</v>
      </c>
      <c r="T339" s="22" t="s">
        <v>1437</v>
      </c>
      <c r="U339" s="16" t="str" cm="1">
        <f t="array" ref="U339">IF(
OR(AD339="",ISERROR(AD339)),
"-",
_xlfn.UNIQUE(_xlfn._xlws.FILTER([1]Sheet1!$D$2:$D$200,ISNUMBER(SEARCH(AD339,[1]Sheet1!$D$2:$D$200))))
)</f>
        <v>양양운수(주)</v>
      </c>
      <c r="V339" s="23">
        <v>860000</v>
      </c>
      <c r="W339" s="23">
        <v>722500</v>
      </c>
      <c r="X339" s="23">
        <f t="shared" si="10"/>
        <v>137500</v>
      </c>
      <c r="Y339" s="25" t="s">
        <v>1438</v>
      </c>
      <c r="Z339" s="42" t="s">
        <v>51</v>
      </c>
      <c r="AA339" s="19" t="s">
        <v>81</v>
      </c>
      <c r="AB339" s="18" t="s">
        <v>1439</v>
      </c>
      <c r="AC339" s="17" t="str">
        <f t="shared" si="12"/>
        <v>Y</v>
      </c>
      <c r="AD339" s="17" t="s">
        <v>619</v>
      </c>
      <c r="AE339" s="26">
        <v>0.375</v>
      </c>
      <c r="AF339" s="27"/>
      <c r="AG339" s="27"/>
      <c r="AI339" s="49" t="s">
        <v>57</v>
      </c>
    </row>
    <row r="340" spans="1:35" ht="34.950000000000003" customHeight="1" x14ac:dyDescent="0.4">
      <c r="A340" s="16" t="s">
        <v>36</v>
      </c>
      <c r="B340" s="16" t="s">
        <v>37</v>
      </c>
      <c r="C340" s="17">
        <v>46006</v>
      </c>
      <c r="D340" s="16" t="s">
        <v>611</v>
      </c>
      <c r="E340" s="16" t="s">
        <v>611</v>
      </c>
      <c r="F340" s="16">
        <v>7510</v>
      </c>
      <c r="G340" s="18" t="s">
        <v>1433</v>
      </c>
      <c r="H340" s="16" t="s">
        <v>687</v>
      </c>
      <c r="I340" s="19" t="s">
        <v>137</v>
      </c>
      <c r="J340" s="16" t="str">
        <f>IFERROR(VLOOKUP(I340,[1]Sheet1!$A$1:$B$200,2,0),"_")</f>
        <v>BE</v>
      </c>
      <c r="K340" s="19" t="s">
        <v>751</v>
      </c>
      <c r="L340" s="16" t="str">
        <f>IFERROR(VLOOKUP(K340,[1]Sheet1!$A$1:$B$200,2,0),"-")</f>
        <v>PN</v>
      </c>
      <c r="M340" s="19" t="s">
        <v>77</v>
      </c>
      <c r="N340" s="16" t="str">
        <f>IFERROR(VLOOKUP(M340,[1]Sheet1!$G$2:$H$200,2,0),"-")</f>
        <v>KMTC</v>
      </c>
      <c r="O340" s="18" t="s">
        <v>1434</v>
      </c>
      <c r="P340" s="17">
        <v>46009</v>
      </c>
      <c r="Q340" s="20" t="s">
        <v>1435</v>
      </c>
      <c r="R340" s="20" t="s">
        <v>1436</v>
      </c>
      <c r="S340" s="21" t="str" cm="1">
        <f t="array" ref="S340">IF(
OR(AD340="",ISERROR(AD340)),
"-",
_xlfn.UNIQUE(_xlfn._xlws.FILTER([1]Sheet1!$D$2:$D$200,ISNUMBER(SEARCH(AD340,[1]Sheet1!$D$2:$D$200))))
)</f>
        <v>양양운수(주)</v>
      </c>
      <c r="T340" s="22" t="s">
        <v>1437</v>
      </c>
      <c r="U340" s="16" t="str" cm="1">
        <f t="array" ref="U340">IF(
OR(AD340="",ISERROR(AD340)),
"-",
_xlfn.UNIQUE(_xlfn._xlws.FILTER([1]Sheet1!$D$2:$D$200,ISNUMBER(SEARCH(AD340,[1]Sheet1!$D$2:$D$200))))
)</f>
        <v>양양운수(주)</v>
      </c>
      <c r="V340" s="23">
        <v>240000</v>
      </c>
      <c r="W340" s="23">
        <v>80000</v>
      </c>
      <c r="X340" s="23">
        <f t="shared" si="10"/>
        <v>160000</v>
      </c>
      <c r="Y340" s="25" t="s">
        <v>1440</v>
      </c>
      <c r="Z340" s="42" t="s">
        <v>51</v>
      </c>
      <c r="AA340" s="19" t="s">
        <v>81</v>
      </c>
      <c r="AB340" s="18" t="s">
        <v>1439</v>
      </c>
      <c r="AC340" s="17" t="str">
        <f t="shared" si="12"/>
        <v>Y</v>
      </c>
      <c r="AD340" s="17" t="s">
        <v>619</v>
      </c>
      <c r="AE340" s="26">
        <v>0.375</v>
      </c>
      <c r="AF340" s="27"/>
      <c r="AG340" s="27"/>
      <c r="AI340" s="49" t="s">
        <v>57</v>
      </c>
    </row>
    <row r="341" spans="1:35" ht="34.950000000000003" customHeight="1" x14ac:dyDescent="0.4">
      <c r="A341" s="16" t="s">
        <v>36</v>
      </c>
      <c r="B341" s="16" t="s">
        <v>37</v>
      </c>
      <c r="C341" s="17">
        <v>46006</v>
      </c>
      <c r="D341" s="16" t="s">
        <v>611</v>
      </c>
      <c r="E341" s="16" t="s">
        <v>611</v>
      </c>
      <c r="F341" s="16">
        <v>7510</v>
      </c>
      <c r="G341" s="18" t="s">
        <v>1433</v>
      </c>
      <c r="H341" s="16" t="s">
        <v>687</v>
      </c>
      <c r="I341" s="19" t="s">
        <v>137</v>
      </c>
      <c r="J341" s="16" t="str">
        <f>IFERROR(VLOOKUP(I341,[1]Sheet1!$A$1:$B$200,2,0),"_")</f>
        <v>BE</v>
      </c>
      <c r="K341" s="19" t="s">
        <v>751</v>
      </c>
      <c r="L341" s="16" t="str">
        <f>IFERROR(VLOOKUP(K341,[1]Sheet1!$A$1:$B$200,2,0),"-")</f>
        <v>PN</v>
      </c>
      <c r="M341" s="19" t="s">
        <v>77</v>
      </c>
      <c r="N341" s="16" t="str">
        <f>IFERROR(VLOOKUP(M341,[1]Sheet1!$G$2:$H$200,2,0),"-")</f>
        <v>KMTC</v>
      </c>
      <c r="O341" s="18" t="s">
        <v>1434</v>
      </c>
      <c r="P341" s="17">
        <v>46009</v>
      </c>
      <c r="Q341" s="20" t="s">
        <v>1435</v>
      </c>
      <c r="R341" s="20" t="s">
        <v>1436</v>
      </c>
      <c r="S341" s="21" t="str" cm="1">
        <f t="array" ref="S341">IF(
OR(AD341="",ISERROR(AD341)),
"-",
_xlfn.UNIQUE(_xlfn._xlws.FILTER([1]Sheet1!$D$2:$D$200,ISNUMBER(SEARCH(AD341,[1]Sheet1!$D$2:$D$200))))
)</f>
        <v>양양운수(주)</v>
      </c>
      <c r="T341" s="22" t="s">
        <v>1437</v>
      </c>
      <c r="U341" s="16" t="str" cm="1">
        <f t="array" ref="U341">IF(
OR(AD341="",ISERROR(AD341)),
"-",
_xlfn.UNIQUE(_xlfn._xlws.FILTER([1]Sheet1!$D$2:$D$200,ISNUMBER(SEARCH(AD341,[1]Sheet1!$D$2:$D$200))))
)</f>
        <v>양양운수(주)</v>
      </c>
      <c r="V341" s="23">
        <v>300000</v>
      </c>
      <c r="W341" s="23">
        <v>240000</v>
      </c>
      <c r="X341" s="23">
        <f t="shared" si="10"/>
        <v>60000</v>
      </c>
      <c r="Y341" s="25" t="s">
        <v>1441</v>
      </c>
      <c r="Z341" s="42" t="s">
        <v>51</v>
      </c>
      <c r="AA341" s="19" t="s">
        <v>81</v>
      </c>
      <c r="AB341" s="18" t="s">
        <v>1439</v>
      </c>
      <c r="AC341" s="17" t="str">
        <f t="shared" si="12"/>
        <v>Y</v>
      </c>
      <c r="AD341" s="17" t="s">
        <v>619</v>
      </c>
      <c r="AE341" s="26">
        <v>0.375</v>
      </c>
      <c r="AF341" s="27"/>
      <c r="AG341" s="27"/>
      <c r="AI341" s="49" t="s">
        <v>57</v>
      </c>
    </row>
    <row r="342" spans="1:35" ht="34.950000000000003" customHeight="1" x14ac:dyDescent="0.4">
      <c r="A342" s="16" t="s">
        <v>71</v>
      </c>
      <c r="B342" s="16" t="s">
        <v>99</v>
      </c>
      <c r="C342" s="17">
        <v>46006</v>
      </c>
      <c r="D342" s="16" t="s">
        <v>308</v>
      </c>
      <c r="E342" s="16" t="s">
        <v>149</v>
      </c>
      <c r="F342" s="16">
        <v>28090</v>
      </c>
      <c r="G342" s="18" t="s">
        <v>1442</v>
      </c>
      <c r="H342" s="16" t="s">
        <v>711</v>
      </c>
      <c r="I342" s="19" t="s">
        <v>76</v>
      </c>
      <c r="J342" s="16" t="str">
        <f>IFERROR(VLOOKUP(I342,[1]Sheet1!$A$1:$B$200,2,0),"_")</f>
        <v>NJ</v>
      </c>
      <c r="K342" s="19" t="s">
        <v>76</v>
      </c>
      <c r="L342" s="16" t="str">
        <f>IFERROR(VLOOKUP(K342,[1]Sheet1!$A$1:$B$200,2,0),"-")</f>
        <v>NJ</v>
      </c>
      <c r="M342" s="19" t="s">
        <v>151</v>
      </c>
      <c r="N342" s="16" t="str">
        <f>IFERROR(VLOOKUP(M342,[1]Sheet1!$G$2:$H$200,2,0),"-")</f>
        <v>NSSL</v>
      </c>
      <c r="O342" s="18" t="s">
        <v>55</v>
      </c>
      <c r="P342" s="17" t="s">
        <v>55</v>
      </c>
      <c r="Q342" s="20" t="s">
        <v>1443</v>
      </c>
      <c r="R342" s="20"/>
      <c r="S342" s="21" t="str" cm="1">
        <f t="array" ref="S342">IF(
OR(AD342="",ISERROR(AD342)),
"-",
_xlfn.UNIQUE(_xlfn._xlws.FILTER([1]Sheet1!$D$2:$D$200,ISNUMBER(SEARCH(AD342,[1]Sheet1!$D$2:$D$200))))
)</f>
        <v>태성종합물류</v>
      </c>
      <c r="T342" s="22" t="s">
        <v>720</v>
      </c>
      <c r="U342" s="16" t="str" cm="1">
        <f t="array" ref="U342">IF(
OR(AD342="",ISERROR(AD342)),
"-",
_xlfn.UNIQUE(_xlfn._xlws.FILTER([1]Sheet1!$D$2:$D$200,ISNUMBER(SEARCH(AD342,[1]Sheet1!$D$2:$D$200))))
)</f>
        <v>태성종합물류</v>
      </c>
      <c r="V342" s="23">
        <v>415000</v>
      </c>
      <c r="W342" s="23">
        <v>388200</v>
      </c>
      <c r="X342" s="23">
        <f t="shared" si="10"/>
        <v>26800</v>
      </c>
      <c r="Y342" s="87" t="s">
        <v>1444</v>
      </c>
      <c r="Z342" s="42" t="s">
        <v>51</v>
      </c>
      <c r="AA342" s="19" t="s">
        <v>93</v>
      </c>
      <c r="AB342" s="18" t="s">
        <v>1445</v>
      </c>
      <c r="AC342" s="17" t="str">
        <f t="shared" si="12"/>
        <v>Y</v>
      </c>
      <c r="AD342" s="17" t="s">
        <v>82</v>
      </c>
      <c r="AE342" s="26">
        <v>0.29166666666666669</v>
      </c>
      <c r="AF342" s="27"/>
      <c r="AG342" s="27"/>
      <c r="AI342" s="49" t="s">
        <v>57</v>
      </c>
    </row>
    <row r="343" spans="1:35" ht="34.950000000000003" customHeight="1" x14ac:dyDescent="0.4">
      <c r="A343" s="16" t="s">
        <v>71</v>
      </c>
      <c r="B343" s="16" t="s">
        <v>99</v>
      </c>
      <c r="C343" s="17">
        <v>46006</v>
      </c>
      <c r="D343" s="16" t="s">
        <v>308</v>
      </c>
      <c r="E343" s="16" t="s">
        <v>149</v>
      </c>
      <c r="F343" s="16">
        <v>28090</v>
      </c>
      <c r="G343" s="18" t="s">
        <v>1442</v>
      </c>
      <c r="H343" s="16" t="s">
        <v>711</v>
      </c>
      <c r="I343" s="19" t="s">
        <v>76</v>
      </c>
      <c r="J343" s="16" t="str">
        <f>IFERROR(VLOOKUP(I343,[1]Sheet1!$A$1:$B$200,2,0),"_")</f>
        <v>NJ</v>
      </c>
      <c r="K343" s="19" t="s">
        <v>76</v>
      </c>
      <c r="L343" s="16" t="str">
        <f>IFERROR(VLOOKUP(K343,[1]Sheet1!$A$1:$B$200,2,0),"-")</f>
        <v>NJ</v>
      </c>
      <c r="M343" s="19" t="s">
        <v>151</v>
      </c>
      <c r="N343" s="16" t="str">
        <f>IFERROR(VLOOKUP(M343,[1]Sheet1!$G$2:$H$200,2,0),"-")</f>
        <v>NSSL</v>
      </c>
      <c r="O343" s="18" t="s">
        <v>55</v>
      </c>
      <c r="P343" s="17" t="s">
        <v>55</v>
      </c>
      <c r="Q343" s="20" t="s">
        <v>1446</v>
      </c>
      <c r="R343" s="20"/>
      <c r="S343" s="21" t="str" cm="1">
        <f t="array" ref="S343">IF(
OR(AD343="",ISERROR(AD343)),
"-",
_xlfn.UNIQUE(_xlfn._xlws.FILTER([1]Sheet1!$D$2:$D$200,ISNUMBER(SEARCH(AD343,[1]Sheet1!$D$2:$D$200))))
)</f>
        <v>태성종합물류</v>
      </c>
      <c r="T343" s="22" t="s">
        <v>1447</v>
      </c>
      <c r="U343" s="16" t="str" cm="1">
        <f t="array" ref="U343">IF(
OR(AD343="",ISERROR(AD343)),
"-",
_xlfn.UNIQUE(_xlfn._xlws.FILTER([1]Sheet1!$D$2:$D$200,ISNUMBER(SEARCH(AD343,[1]Sheet1!$D$2:$D$200))))
)</f>
        <v>태성종합물류</v>
      </c>
      <c r="V343" s="23">
        <v>415000</v>
      </c>
      <c r="W343" s="23">
        <v>388200</v>
      </c>
      <c r="X343" s="23">
        <f t="shared" si="10"/>
        <v>26800</v>
      </c>
      <c r="Y343" s="25" t="s">
        <v>1448</v>
      </c>
      <c r="Z343" s="42" t="s">
        <v>51</v>
      </c>
      <c r="AA343" s="19" t="s">
        <v>93</v>
      </c>
      <c r="AB343" s="18" t="s">
        <v>1445</v>
      </c>
      <c r="AC343" s="17" t="str">
        <f t="shared" si="12"/>
        <v>Y</v>
      </c>
      <c r="AD343" s="17" t="s">
        <v>82</v>
      </c>
      <c r="AE343" s="26">
        <v>0.58333333333333337</v>
      </c>
      <c r="AF343" s="27"/>
      <c r="AG343" s="27"/>
      <c r="AI343" s="49" t="s">
        <v>57</v>
      </c>
    </row>
    <row r="344" spans="1:35" ht="37.200000000000003" customHeight="1" x14ac:dyDescent="0.4">
      <c r="A344" s="16" t="s">
        <v>36</v>
      </c>
      <c r="B344" s="16" t="s">
        <v>37</v>
      </c>
      <c r="C344" s="17">
        <v>46006</v>
      </c>
      <c r="D344" s="16" t="s">
        <v>248</v>
      </c>
      <c r="E344" s="16" t="s">
        <v>728</v>
      </c>
      <c r="F344" s="18">
        <v>27897</v>
      </c>
      <c r="G344" s="18" t="s">
        <v>1449</v>
      </c>
      <c r="H344" s="16" t="s">
        <v>75</v>
      </c>
      <c r="I344" s="19" t="s">
        <v>137</v>
      </c>
      <c r="J344" s="16" t="str">
        <f>IFERROR(VLOOKUP(I344,[1]Sheet1!$A$1:$B$200,2,0),"_")</f>
        <v>BE</v>
      </c>
      <c r="K344" s="19" t="s">
        <v>86</v>
      </c>
      <c r="L344" s="16" t="str">
        <f>IFERROR(VLOOKUP(K344,[1]Sheet1!$A$1:$B$200,2,0),"-")</f>
        <v>HP</v>
      </c>
      <c r="M344" s="19" t="s">
        <v>87</v>
      </c>
      <c r="N344" s="16" t="str">
        <f>IFERROR(VLOOKUP(M344,[1]Sheet1!$G$2:$H$200,2,0),"-")</f>
        <v>HDMU</v>
      </c>
      <c r="O344" s="18" t="s">
        <v>1450</v>
      </c>
      <c r="P344" s="17">
        <v>46013</v>
      </c>
      <c r="Q344" s="20" t="s">
        <v>1451</v>
      </c>
      <c r="R344" s="20" t="s">
        <v>1452</v>
      </c>
      <c r="S344" s="21" t="str" cm="1">
        <f t="array" ref="S344">IF(
OR(AD344="",ISERROR(AD344)),
"-",
_xlfn.UNIQUE(_xlfn._xlws.FILTER([1]Sheet1!$D$2:$D$200,ISNUMBER(SEARCH(AD344,[1]Sheet1!$D$2:$D$200))))
)</f>
        <v>양양운수(주)</v>
      </c>
      <c r="T344" s="22" t="s">
        <v>1453</v>
      </c>
      <c r="U344" s="16" t="str" cm="1">
        <f t="array" ref="U344">IF(
OR(AD344="",ISERROR(AD344)),
"-",
_xlfn.UNIQUE(_xlfn._xlws.FILTER([1]Sheet1!$D$2:$D$200,ISNUMBER(SEARCH(AD344,[1]Sheet1!$D$2:$D$200))))
)</f>
        <v>양양운수(주)</v>
      </c>
      <c r="V344" s="23">
        <v>623000</v>
      </c>
      <c r="W344" s="23">
        <v>596800</v>
      </c>
      <c r="X344" s="23">
        <f t="shared" si="10"/>
        <v>26200</v>
      </c>
      <c r="Y344" s="25" t="s">
        <v>1454</v>
      </c>
      <c r="Z344" s="42" t="s">
        <v>51</v>
      </c>
      <c r="AA344" s="19" t="s">
        <v>144</v>
      </c>
      <c r="AB344" s="18" t="s">
        <v>1455</v>
      </c>
      <c r="AC344" s="17" t="str">
        <f t="shared" si="12"/>
        <v>Y</v>
      </c>
      <c r="AD344" s="17" t="s">
        <v>619</v>
      </c>
      <c r="AE344" s="26">
        <v>0.375</v>
      </c>
      <c r="AF344" s="27"/>
      <c r="AG344" s="27"/>
      <c r="AI344" s="49" t="s">
        <v>57</v>
      </c>
    </row>
    <row r="345" spans="1:35" ht="37.200000000000003" customHeight="1" x14ac:dyDescent="0.4">
      <c r="A345" s="16" t="s">
        <v>36</v>
      </c>
      <c r="B345" s="16" t="s">
        <v>37</v>
      </c>
      <c r="C345" s="17">
        <v>46006</v>
      </c>
      <c r="D345" s="16" t="s">
        <v>248</v>
      </c>
      <c r="E345" s="16" t="s">
        <v>728</v>
      </c>
      <c r="F345" s="18">
        <v>27897</v>
      </c>
      <c r="G345" s="18" t="s">
        <v>1449</v>
      </c>
      <c r="H345" s="16" t="s">
        <v>75</v>
      </c>
      <c r="I345" s="19" t="s">
        <v>137</v>
      </c>
      <c r="J345" s="16" t="str">
        <f>IFERROR(VLOOKUP(I345,[1]Sheet1!$A$1:$B$200,2,0),"_")</f>
        <v>BE</v>
      </c>
      <c r="K345" s="19" t="s">
        <v>86</v>
      </c>
      <c r="L345" s="16" t="str">
        <f>IFERROR(VLOOKUP(K345,[1]Sheet1!$A$1:$B$200,2,0),"-")</f>
        <v>HP</v>
      </c>
      <c r="M345" s="19" t="s">
        <v>87</v>
      </c>
      <c r="N345" s="16" t="str">
        <f>IFERROR(VLOOKUP(M345,[1]Sheet1!$G$2:$H$200,2,0),"-")</f>
        <v>HDMU</v>
      </c>
      <c r="O345" s="18" t="s">
        <v>1450</v>
      </c>
      <c r="P345" s="17">
        <v>46013</v>
      </c>
      <c r="Q345" s="20" t="s">
        <v>1451</v>
      </c>
      <c r="R345" s="20" t="s">
        <v>1452</v>
      </c>
      <c r="S345" s="21" t="str" cm="1">
        <f t="array" ref="S345">IF(
OR(AD345="",ISERROR(AD345)),
"-",
_xlfn.UNIQUE(_xlfn._xlws.FILTER([1]Sheet1!$D$2:$D$200,ISNUMBER(SEARCH(AD345,[1]Sheet1!$D$2:$D$200))))
)</f>
        <v>양양운수(주)</v>
      </c>
      <c r="T345" s="22" t="s">
        <v>1453</v>
      </c>
      <c r="U345" s="16" t="str" cm="1">
        <f t="array" ref="U345">IF(
OR(AD345="",ISERROR(AD345)),
"-",
_xlfn.UNIQUE(_xlfn._xlws.FILTER([1]Sheet1!$D$2:$D$200,ISNUMBER(SEARCH(AD345,[1]Sheet1!$D$2:$D$200))))
)</f>
        <v>양양운수(주)</v>
      </c>
      <c r="V345" s="23">
        <v>10000</v>
      </c>
      <c r="W345" s="23">
        <v>10000</v>
      </c>
      <c r="X345" s="23">
        <f t="shared" si="10"/>
        <v>0</v>
      </c>
      <c r="Y345" s="25" t="s">
        <v>1456</v>
      </c>
      <c r="Z345" s="42" t="s">
        <v>51</v>
      </c>
      <c r="AA345" s="19" t="s">
        <v>144</v>
      </c>
      <c r="AB345" s="18" t="s">
        <v>1455</v>
      </c>
      <c r="AC345" s="17" t="str">
        <f t="shared" si="12"/>
        <v>Y</v>
      </c>
      <c r="AD345" s="17" t="s">
        <v>619</v>
      </c>
      <c r="AE345" s="26">
        <v>0.375</v>
      </c>
      <c r="AF345" s="27"/>
      <c r="AG345" s="27"/>
      <c r="AI345" s="49" t="s">
        <v>57</v>
      </c>
    </row>
    <row r="346" spans="1:35" ht="37.200000000000003" customHeight="1" x14ac:dyDescent="0.4">
      <c r="A346" s="16" t="s">
        <v>36</v>
      </c>
      <c r="B346" s="16" t="s">
        <v>37</v>
      </c>
      <c r="C346" s="17">
        <v>46006</v>
      </c>
      <c r="D346" s="16" t="s">
        <v>248</v>
      </c>
      <c r="E346" s="16" t="s">
        <v>728</v>
      </c>
      <c r="F346" s="18">
        <v>27897</v>
      </c>
      <c r="G346" s="18" t="s">
        <v>1449</v>
      </c>
      <c r="H346" s="16" t="s">
        <v>75</v>
      </c>
      <c r="I346" s="19" t="s">
        <v>137</v>
      </c>
      <c r="J346" s="16" t="str">
        <f>IFERROR(VLOOKUP(I346,[1]Sheet1!$A$1:$B$200,2,0),"_")</f>
        <v>BE</v>
      </c>
      <c r="K346" s="19" t="s">
        <v>86</v>
      </c>
      <c r="L346" s="16" t="str">
        <f>IFERROR(VLOOKUP(K346,[1]Sheet1!$A$1:$B$200,2,0),"-")</f>
        <v>HP</v>
      </c>
      <c r="M346" s="19" t="s">
        <v>87</v>
      </c>
      <c r="N346" s="16" t="str">
        <f>IFERROR(VLOOKUP(M346,[1]Sheet1!$G$2:$H$200,2,0),"-")</f>
        <v>HDMU</v>
      </c>
      <c r="O346" s="18" t="s">
        <v>1450</v>
      </c>
      <c r="P346" s="17">
        <v>46013</v>
      </c>
      <c r="Q346" s="20" t="s">
        <v>1457</v>
      </c>
      <c r="R346" s="20" t="s">
        <v>1458</v>
      </c>
      <c r="S346" s="21" t="str" cm="1">
        <f t="array" ref="S346">IF(
OR(AD346="",ISERROR(AD346)),
"-",
_xlfn.UNIQUE(_xlfn._xlws.FILTER([1]Sheet1!$D$2:$D$200,ISNUMBER(SEARCH(AD346,[1]Sheet1!$D$2:$D$200))))
)</f>
        <v>양양운수(주)</v>
      </c>
      <c r="T346" s="22" t="s">
        <v>1459</v>
      </c>
      <c r="U346" s="16" t="str" cm="1">
        <f t="array" ref="U346">IF(
OR(AD346="",ISERROR(AD346)),
"-",
_xlfn.UNIQUE(_xlfn._xlws.FILTER([1]Sheet1!$D$2:$D$200,ISNUMBER(SEARCH(AD346,[1]Sheet1!$D$2:$D$200))))
)</f>
        <v>양양운수(주)</v>
      </c>
      <c r="V346" s="23">
        <v>623000</v>
      </c>
      <c r="W346" s="23">
        <v>596800</v>
      </c>
      <c r="X346" s="23">
        <f t="shared" si="10"/>
        <v>26200</v>
      </c>
      <c r="Y346" s="25" t="s">
        <v>1454</v>
      </c>
      <c r="Z346" s="42" t="s">
        <v>51</v>
      </c>
      <c r="AA346" s="19" t="s">
        <v>144</v>
      </c>
      <c r="AB346" s="18" t="s">
        <v>1460</v>
      </c>
      <c r="AC346" s="17" t="str">
        <f t="shared" si="12"/>
        <v>Y</v>
      </c>
      <c r="AD346" s="17" t="s">
        <v>619</v>
      </c>
      <c r="AE346" s="26">
        <v>0.41666666666666669</v>
      </c>
      <c r="AF346" s="27"/>
      <c r="AG346" s="27"/>
      <c r="AI346" s="49" t="s">
        <v>57</v>
      </c>
    </row>
    <row r="347" spans="1:35" ht="37.200000000000003" customHeight="1" x14ac:dyDescent="0.4">
      <c r="A347" s="16" t="s">
        <v>36</v>
      </c>
      <c r="B347" s="16" t="s">
        <v>37</v>
      </c>
      <c r="C347" s="17">
        <v>46006</v>
      </c>
      <c r="D347" s="16" t="s">
        <v>248</v>
      </c>
      <c r="E347" s="16" t="s">
        <v>728</v>
      </c>
      <c r="F347" s="18">
        <v>27897</v>
      </c>
      <c r="G347" s="18" t="s">
        <v>1449</v>
      </c>
      <c r="H347" s="16" t="s">
        <v>75</v>
      </c>
      <c r="I347" s="19" t="s">
        <v>137</v>
      </c>
      <c r="J347" s="16" t="str">
        <f>IFERROR(VLOOKUP(I347,[1]Sheet1!$A$1:$B$200,2,0),"_")</f>
        <v>BE</v>
      </c>
      <c r="K347" s="19" t="s">
        <v>86</v>
      </c>
      <c r="L347" s="16" t="str">
        <f>IFERROR(VLOOKUP(K347,[1]Sheet1!$A$1:$B$200,2,0),"-")</f>
        <v>HP</v>
      </c>
      <c r="M347" s="19" t="s">
        <v>87</v>
      </c>
      <c r="N347" s="16" t="str">
        <f>IFERROR(VLOOKUP(M347,[1]Sheet1!$G$2:$H$200,2,0),"-")</f>
        <v>HDMU</v>
      </c>
      <c r="O347" s="18" t="s">
        <v>1450</v>
      </c>
      <c r="P347" s="17">
        <v>46013</v>
      </c>
      <c r="Q347" s="20" t="s">
        <v>1457</v>
      </c>
      <c r="R347" s="20" t="s">
        <v>1458</v>
      </c>
      <c r="S347" s="21" t="str" cm="1">
        <f t="array" ref="S347">IF(
OR(AD347="",ISERROR(AD347)),
"-",
_xlfn.UNIQUE(_xlfn._xlws.FILTER([1]Sheet1!$D$2:$D$200,ISNUMBER(SEARCH(AD347,[1]Sheet1!$D$2:$D$200))))
)</f>
        <v>양양운수(주)</v>
      </c>
      <c r="T347" s="22" t="s">
        <v>1459</v>
      </c>
      <c r="U347" s="16" t="str" cm="1">
        <f t="array" ref="U347">IF(
OR(AD347="",ISERROR(AD347)),
"-",
_xlfn.UNIQUE(_xlfn._xlws.FILTER([1]Sheet1!$D$2:$D$200,ISNUMBER(SEARCH(AD347,[1]Sheet1!$D$2:$D$200))))
)</f>
        <v>양양운수(주)</v>
      </c>
      <c r="V347" s="23">
        <v>10000</v>
      </c>
      <c r="W347" s="23">
        <v>10000</v>
      </c>
      <c r="X347" s="23">
        <f t="shared" si="10"/>
        <v>0</v>
      </c>
      <c r="Y347" s="25" t="s">
        <v>1456</v>
      </c>
      <c r="Z347" s="42" t="s">
        <v>51</v>
      </c>
      <c r="AA347" s="19" t="s">
        <v>144</v>
      </c>
      <c r="AB347" s="18" t="s">
        <v>1460</v>
      </c>
      <c r="AC347" s="17" t="str">
        <f t="shared" si="12"/>
        <v>Y</v>
      </c>
      <c r="AD347" s="17" t="s">
        <v>619</v>
      </c>
      <c r="AE347" s="26">
        <v>0.41666666666666669</v>
      </c>
      <c r="AF347" s="27"/>
      <c r="AG347" s="27"/>
      <c r="AI347" s="49" t="s">
        <v>57</v>
      </c>
    </row>
    <row r="348" spans="1:35" ht="34.950000000000003" customHeight="1" x14ac:dyDescent="0.4">
      <c r="A348" s="16" t="s">
        <v>36</v>
      </c>
      <c r="B348" s="16" t="s">
        <v>37</v>
      </c>
      <c r="C348" s="17">
        <v>46006</v>
      </c>
      <c r="D348" s="16" t="s">
        <v>229</v>
      </c>
      <c r="E348" s="16" t="s">
        <v>229</v>
      </c>
      <c r="F348" s="16">
        <v>3641</v>
      </c>
      <c r="G348" s="18" t="s">
        <v>1461</v>
      </c>
      <c r="H348" s="16" t="s">
        <v>41</v>
      </c>
      <c r="I348" s="19" t="s">
        <v>137</v>
      </c>
      <c r="J348" s="16" t="str">
        <f>IFERROR(VLOOKUP(I348,[1]Sheet1!$A$1:$B$200,2,0),"_")</f>
        <v>BE</v>
      </c>
      <c r="K348" s="19" t="s">
        <v>42</v>
      </c>
      <c r="L348" s="16" t="str">
        <f>IFERROR(VLOOKUP(K348,[1]Sheet1!$A$1:$B$200,2,0),"-")</f>
        <v>P</v>
      </c>
      <c r="M348" s="19" t="s">
        <v>191</v>
      </c>
      <c r="N348" s="16" t="str">
        <f>IFERROR(VLOOKUP(M348,[1]Sheet1!$G$2:$H$200,2,0),"-")</f>
        <v>HASL</v>
      </c>
      <c r="O348" s="18" t="s">
        <v>1093</v>
      </c>
      <c r="P348" s="17">
        <v>46008</v>
      </c>
      <c r="Q348" s="20" t="s">
        <v>1462</v>
      </c>
      <c r="R348" s="20" t="s">
        <v>1463</v>
      </c>
      <c r="S348" s="21" t="str" cm="1">
        <f t="array" ref="S348">IF(
OR(AD348="",ISERROR(AD348)),
"-",
_xlfn.UNIQUE(_xlfn._xlws.FILTER([1]Sheet1!$D$2:$D$200,ISNUMBER(SEARCH(AD348,[1]Sheet1!$D$2:$D$200))))
)</f>
        <v>양양운수(주)</v>
      </c>
      <c r="T348" s="22" t="s">
        <v>235</v>
      </c>
      <c r="U348" s="16" t="str" cm="1">
        <f t="array" ref="U348">IF(
OR(AD348="",ISERROR(AD348)),
"-",
_xlfn.UNIQUE(_xlfn._xlws.FILTER([1]Sheet1!$D$2:$D$200,ISNUMBER(SEARCH(AD348,[1]Sheet1!$D$2:$D$200))))
)</f>
        <v>양양운수(주)</v>
      </c>
      <c r="V348" s="23">
        <v>860000</v>
      </c>
      <c r="W348" s="23">
        <v>774300</v>
      </c>
      <c r="X348" s="23">
        <f t="shared" si="10"/>
        <v>85700</v>
      </c>
      <c r="Y348" s="25" t="s">
        <v>1464</v>
      </c>
      <c r="Z348" s="42" t="s">
        <v>51</v>
      </c>
      <c r="AA348" s="19" t="s">
        <v>81</v>
      </c>
      <c r="AB348" s="18" t="s">
        <v>1465</v>
      </c>
      <c r="AC348" s="17" t="str">
        <f t="shared" si="12"/>
        <v>Y</v>
      </c>
      <c r="AD348" s="17" t="s">
        <v>619</v>
      </c>
      <c r="AE348" s="26">
        <v>0.375</v>
      </c>
      <c r="AF348" s="27"/>
      <c r="AG348" s="27"/>
      <c r="AI348" s="49" t="s">
        <v>57</v>
      </c>
    </row>
    <row r="349" spans="1:35" s="91" customFormat="1" ht="34.950000000000003" customHeight="1" x14ac:dyDescent="0.4">
      <c r="A349" s="19" t="s">
        <v>71</v>
      </c>
      <c r="B349" s="19" t="s">
        <v>37</v>
      </c>
      <c r="C349" s="17">
        <v>46006</v>
      </c>
      <c r="D349" s="19" t="s">
        <v>216</v>
      </c>
      <c r="E349" s="19" t="s">
        <v>459</v>
      </c>
      <c r="F349" s="19">
        <v>26699</v>
      </c>
      <c r="G349" s="35" t="s">
        <v>1412</v>
      </c>
      <c r="H349" s="19" t="s">
        <v>41</v>
      </c>
      <c r="I349" s="19" t="s">
        <v>1413</v>
      </c>
      <c r="J349" s="19" t="str">
        <f>IFERROR(VLOOKUP(I349,[1]Sheet1!$A$1:$B$200,2,0),"_")</f>
        <v>IN</v>
      </c>
      <c r="K349" s="19" t="s">
        <v>1413</v>
      </c>
      <c r="L349" s="19" t="str">
        <f>IFERROR(VLOOKUP(K349,[1]Sheet1!$A$1:$B$200,2,0),"-")</f>
        <v>IN</v>
      </c>
      <c r="M349" s="19" t="s">
        <v>221</v>
      </c>
      <c r="N349" s="19" t="str">
        <f>IFERROR(VLOOKUP(M349,[1]Sheet1!$G$2:$H$200,2,0),"-")</f>
        <v>DOOW</v>
      </c>
      <c r="O349" s="35" t="s">
        <v>55</v>
      </c>
      <c r="P349" s="72" t="s">
        <v>55</v>
      </c>
      <c r="Q349" s="63" t="s">
        <v>1414</v>
      </c>
      <c r="R349" s="63"/>
      <c r="S349" s="21" t="str" cm="1">
        <f t="array" ref="S349">IF(
OR(AD349="",ISERROR(AD349)),
"-",
_xlfn.UNIQUE(_xlfn._xlws.FILTER([1]Sheet1!$D$2:$D$200,ISNUMBER(SEARCH(AD349,[1]Sheet1!$D$2:$D$200))))
)</f>
        <v>에스지로지스틱</v>
      </c>
      <c r="T349" s="22" t="s">
        <v>1415</v>
      </c>
      <c r="U349" s="16" t="str" cm="1">
        <f t="array" ref="U349">IF(
OR(AD349="",ISERROR(AD349)),
"-",
_xlfn.UNIQUE(_xlfn._xlws.FILTER([1]Sheet1!$D$2:$D$200,ISNUMBER(SEARCH(AD349,[1]Sheet1!$D$2:$D$200))))
)</f>
        <v>에스지로지스틱</v>
      </c>
      <c r="V349" s="24">
        <v>350000</v>
      </c>
      <c r="W349" s="24">
        <v>337000</v>
      </c>
      <c r="X349" s="24">
        <f t="shared" si="10"/>
        <v>13000</v>
      </c>
      <c r="Y349" s="88" t="s">
        <v>1416</v>
      </c>
      <c r="Z349" s="42" t="s">
        <v>51</v>
      </c>
      <c r="AA349" s="19" t="s">
        <v>93</v>
      </c>
      <c r="AB349" s="35"/>
      <c r="AC349" s="72" t="str">
        <f t="shared" si="12"/>
        <v>Y</v>
      </c>
      <c r="AD349" s="72" t="s">
        <v>184</v>
      </c>
      <c r="AE349" s="89">
        <v>0.375</v>
      </c>
      <c r="AF349" s="90"/>
      <c r="AG349" s="90"/>
      <c r="AH349" s="19"/>
      <c r="AI349" s="49" t="s">
        <v>57</v>
      </c>
    </row>
    <row r="350" spans="1:35" ht="34.950000000000003" customHeight="1" x14ac:dyDescent="0.4">
      <c r="A350" s="16" t="s">
        <v>71</v>
      </c>
      <c r="B350" s="16" t="s">
        <v>37</v>
      </c>
      <c r="C350" s="17">
        <v>46006</v>
      </c>
      <c r="D350" s="16" t="s">
        <v>261</v>
      </c>
      <c r="E350" s="16" t="s">
        <v>1466</v>
      </c>
      <c r="F350" s="16">
        <v>28850</v>
      </c>
      <c r="G350" s="18" t="s">
        <v>1467</v>
      </c>
      <c r="H350" s="16" t="s">
        <v>1468</v>
      </c>
      <c r="I350" s="19" t="s">
        <v>381</v>
      </c>
      <c r="J350" s="16" t="str">
        <f>IFERROR(VLOOKUP(I350,[1]Sheet1!$A$1:$B$200,2,0),"_")</f>
        <v>PT</v>
      </c>
      <c r="K350" s="19" t="s">
        <v>381</v>
      </c>
      <c r="L350" s="16" t="str">
        <f>IFERROR(VLOOKUP(K350,[1]Sheet1!$A$1:$B$200,2,0),"-")</f>
        <v>PT</v>
      </c>
      <c r="M350" s="19" t="s">
        <v>211</v>
      </c>
      <c r="N350" s="16" t="str">
        <f>IFERROR(VLOOKUP(M350,[1]Sheet1!$G$2:$H$200,2,0),"-")</f>
        <v>SITC</v>
      </c>
      <c r="O350" s="18" t="s">
        <v>55</v>
      </c>
      <c r="P350" s="17" t="s">
        <v>55</v>
      </c>
      <c r="Q350" s="20" t="s">
        <v>1469</v>
      </c>
      <c r="R350" s="20"/>
      <c r="S350" s="21" t="str" cm="1">
        <f t="array" ref="S350">IF(
OR(AD350="",ISERROR(AD350)),
"-",
_xlfn.UNIQUE(_xlfn._xlws.FILTER([1]Sheet1!$D$2:$D$200,ISNUMBER(SEARCH(AD350,[1]Sheet1!$D$2:$D$200))))
)</f>
        <v>동화로지스틱스</v>
      </c>
      <c r="T350" s="22" t="s">
        <v>1470</v>
      </c>
      <c r="U350" s="16" t="str" cm="1">
        <f t="array" ref="U350">IF(
OR(AD350="",ISERROR(AD350)),
"-",
_xlfn.UNIQUE(_xlfn._xlws.FILTER([1]Sheet1!$D$2:$D$200,ISNUMBER(SEARCH(AD350,[1]Sheet1!$D$2:$D$200))))
)</f>
        <v>동화로지스틱스</v>
      </c>
      <c r="V350" s="23">
        <v>1650000</v>
      </c>
      <c r="W350" s="23">
        <v>1500000</v>
      </c>
      <c r="X350" s="23">
        <f t="shared" si="10"/>
        <v>150000</v>
      </c>
      <c r="Y350" s="25" t="s">
        <v>1471</v>
      </c>
      <c r="Z350" s="42" t="s">
        <v>51</v>
      </c>
      <c r="AA350" s="19" t="s">
        <v>93</v>
      </c>
      <c r="AB350" s="18" t="s">
        <v>1472</v>
      </c>
      <c r="AC350" s="17" t="str">
        <f t="shared" si="12"/>
        <v>Y</v>
      </c>
      <c r="AD350" s="17" t="s">
        <v>1473</v>
      </c>
      <c r="AE350" s="26" t="s">
        <v>1474</v>
      </c>
      <c r="AF350" s="26" t="s">
        <v>1474</v>
      </c>
      <c r="AG350" s="27" t="s">
        <v>1475</v>
      </c>
      <c r="AI350" s="49" t="s">
        <v>57</v>
      </c>
    </row>
    <row r="351" spans="1:35" ht="34.950000000000003" customHeight="1" x14ac:dyDescent="0.4">
      <c r="A351" s="16" t="s">
        <v>71</v>
      </c>
      <c r="B351" s="16" t="s">
        <v>37</v>
      </c>
      <c r="C351" s="17">
        <v>46006</v>
      </c>
      <c r="D351" s="16" t="s">
        <v>261</v>
      </c>
      <c r="E351" s="16" t="s">
        <v>1466</v>
      </c>
      <c r="F351" s="16">
        <v>28850</v>
      </c>
      <c r="G351" s="18" t="s">
        <v>1467</v>
      </c>
      <c r="H351" s="16" t="s">
        <v>1468</v>
      </c>
      <c r="I351" s="19" t="s">
        <v>381</v>
      </c>
      <c r="J351" s="16" t="str">
        <f>IFERROR(VLOOKUP(I351,[1]Sheet1!$A$1:$B$200,2,0),"_")</f>
        <v>PT</v>
      </c>
      <c r="K351" s="19" t="s">
        <v>381</v>
      </c>
      <c r="L351" s="16" t="str">
        <f>IFERROR(VLOOKUP(K351,[1]Sheet1!$A$1:$B$200,2,0),"-")</f>
        <v>PT</v>
      </c>
      <c r="M351" s="19" t="s">
        <v>211</v>
      </c>
      <c r="N351" s="16" t="str">
        <f>IFERROR(VLOOKUP(M351,[1]Sheet1!$G$2:$H$200,2,0),"-")</f>
        <v>SITC</v>
      </c>
      <c r="O351" s="18" t="s">
        <v>55</v>
      </c>
      <c r="P351" s="17" t="s">
        <v>55</v>
      </c>
      <c r="Q351" s="20" t="s">
        <v>1476</v>
      </c>
      <c r="R351" s="20"/>
      <c r="S351" s="21" t="str" cm="1">
        <f t="array" ref="S351">IF(
OR(AD351="",ISERROR(AD351)),
"-",
_xlfn.UNIQUE(_xlfn._xlws.FILTER([1]Sheet1!$D$2:$D$200,ISNUMBER(SEARCH(AD351,[1]Sheet1!$D$2:$D$200))))
)</f>
        <v>동화로지스틱스</v>
      </c>
      <c r="T351" s="22" t="s">
        <v>1477</v>
      </c>
      <c r="U351" s="16" t="str" cm="1">
        <f t="array" ref="U351">IF(
OR(AD351="",ISERROR(AD351)),
"-",
_xlfn.UNIQUE(_xlfn._xlws.FILTER([1]Sheet1!$D$2:$D$200,ISNUMBER(SEARCH(AD351,[1]Sheet1!$D$2:$D$200))))
)</f>
        <v>동화로지스틱스</v>
      </c>
      <c r="V351" s="23">
        <v>1650000</v>
      </c>
      <c r="W351" s="23">
        <v>1500000</v>
      </c>
      <c r="X351" s="23">
        <f t="shared" si="10"/>
        <v>150000</v>
      </c>
      <c r="Y351" s="25" t="s">
        <v>1471</v>
      </c>
      <c r="Z351" s="42" t="s">
        <v>51</v>
      </c>
      <c r="AA351" s="19" t="s">
        <v>93</v>
      </c>
      <c r="AB351" s="18" t="s">
        <v>1472</v>
      </c>
      <c r="AC351" s="17" t="str">
        <f t="shared" si="12"/>
        <v>Y</v>
      </c>
      <c r="AD351" s="17" t="s">
        <v>1473</v>
      </c>
      <c r="AE351" s="26" t="s">
        <v>1474</v>
      </c>
      <c r="AF351" s="26" t="s">
        <v>1474</v>
      </c>
      <c r="AG351" s="27" t="s">
        <v>1475</v>
      </c>
      <c r="AI351" s="49" t="s">
        <v>57</v>
      </c>
    </row>
    <row r="352" spans="1:35" ht="34.950000000000003" customHeight="1" x14ac:dyDescent="0.4">
      <c r="A352" s="16" t="s">
        <v>71</v>
      </c>
      <c r="B352" s="16" t="s">
        <v>37</v>
      </c>
      <c r="C352" s="17">
        <v>46006</v>
      </c>
      <c r="D352" s="16" t="s">
        <v>516</v>
      </c>
      <c r="E352" s="16" t="s">
        <v>517</v>
      </c>
      <c r="F352" s="16">
        <v>26621</v>
      </c>
      <c r="G352" s="18" t="s">
        <v>1478</v>
      </c>
      <c r="H352" s="16" t="s">
        <v>519</v>
      </c>
      <c r="I352" s="19" t="s">
        <v>730</v>
      </c>
      <c r="J352" s="16" t="str">
        <f>IFERROR(VLOOKUP(I352,[1]Sheet1!$A$1:$B$200,2,0),"_")</f>
        <v>TG</v>
      </c>
      <c r="K352" s="19" t="s">
        <v>817</v>
      </c>
      <c r="L352" s="16" t="str">
        <f>IFERROR(VLOOKUP(K352,[1]Sheet1!$A$1:$B$200,2,0),"-")</f>
        <v>PP</v>
      </c>
      <c r="M352" s="19" t="s">
        <v>1479</v>
      </c>
      <c r="N352" s="16" t="str">
        <f>IFERROR(VLOOKUP(M352,[1]Sheet1!$G$2:$H$200,2,0),"-")</f>
        <v>MAEU</v>
      </c>
      <c r="O352" s="18" t="s">
        <v>55</v>
      </c>
      <c r="P352" s="17" t="s">
        <v>55</v>
      </c>
      <c r="Q352" s="20" t="s">
        <v>1480</v>
      </c>
      <c r="R352" s="20"/>
      <c r="S352" s="21" t="str" cm="1">
        <f t="array" ref="S352">IF(
OR(AD352="",ISERROR(AD352)),
"-",
_xlfn.UNIQUE(_xlfn._xlws.FILTER([1]Sheet1!$D$2:$D$200,ISNUMBER(SEARCH(AD352,[1]Sheet1!$D$2:$D$200))))
)</f>
        <v>(주)유진로직스</v>
      </c>
      <c r="T352" s="22" t="s">
        <v>1481</v>
      </c>
      <c r="U352" s="16" t="str" cm="1">
        <f t="array" ref="U352">IF(
OR(AD352="",ISERROR(AD352)),
"-",
_xlfn.UNIQUE(_xlfn._xlws.FILTER([1]Sheet1!$D$2:$D$200,ISNUMBER(SEARCH(AD352,[1]Sheet1!$D$2:$D$200))))
)</f>
        <v>(주)유진로직스</v>
      </c>
      <c r="V352" s="23">
        <v>250000</v>
      </c>
      <c r="W352" s="23">
        <v>220000</v>
      </c>
      <c r="X352" s="23">
        <f t="shared" ref="X352:X387" si="13">V352-W352</f>
        <v>30000</v>
      </c>
      <c r="Y352" s="25" t="s">
        <v>1482</v>
      </c>
      <c r="Z352" s="42" t="s">
        <v>51</v>
      </c>
      <c r="AA352" s="19" t="s">
        <v>52</v>
      </c>
      <c r="AC352" s="17" t="str">
        <f t="shared" si="12"/>
        <v>Y</v>
      </c>
      <c r="AD352" s="17" t="s">
        <v>70</v>
      </c>
      <c r="AF352" s="27"/>
      <c r="AG352" s="27"/>
      <c r="AI352" s="49" t="s">
        <v>57</v>
      </c>
    </row>
    <row r="353" spans="1:35" ht="34.950000000000003" customHeight="1" x14ac:dyDescent="0.4">
      <c r="A353" s="16" t="s">
        <v>71</v>
      </c>
      <c r="B353" s="16" t="s">
        <v>37</v>
      </c>
      <c r="C353" s="17">
        <v>46006</v>
      </c>
      <c r="D353" s="16" t="s">
        <v>516</v>
      </c>
      <c r="E353" s="16" t="s">
        <v>517</v>
      </c>
      <c r="F353" s="16">
        <v>26621</v>
      </c>
      <c r="G353" s="18" t="s">
        <v>1478</v>
      </c>
      <c r="H353" s="16" t="s">
        <v>519</v>
      </c>
      <c r="I353" s="19" t="s">
        <v>730</v>
      </c>
      <c r="J353" s="16" t="str">
        <f>IFERROR(VLOOKUP(I353,[1]Sheet1!$A$1:$B$200,2,0),"_")</f>
        <v>TG</v>
      </c>
      <c r="K353" s="19" t="s">
        <v>817</v>
      </c>
      <c r="L353" s="16" t="str">
        <f>IFERROR(VLOOKUP(K353,[1]Sheet1!$A$1:$B$200,2,0),"-")</f>
        <v>PP</v>
      </c>
      <c r="M353" s="19" t="s">
        <v>1479</v>
      </c>
      <c r="N353" s="16" t="str">
        <f>IFERROR(VLOOKUP(M353,[1]Sheet1!$G$2:$H$200,2,0),"-")</f>
        <v>MAEU</v>
      </c>
      <c r="O353" s="18" t="s">
        <v>55</v>
      </c>
      <c r="P353" s="17" t="s">
        <v>55</v>
      </c>
      <c r="Q353" s="20" t="s">
        <v>1480</v>
      </c>
      <c r="R353" s="20"/>
      <c r="S353" s="21" t="str" cm="1">
        <f t="array" ref="S353">IF(
OR(AD353="",ISERROR(AD353)),
"-",
_xlfn.UNIQUE(_xlfn._xlws.FILTER([1]Sheet1!$D$2:$D$200,ISNUMBER(SEARCH(AD353,[1]Sheet1!$D$2:$D$200))))
)</f>
        <v>(주)유진로직스</v>
      </c>
      <c r="T353" s="22" t="s">
        <v>1483</v>
      </c>
      <c r="U353" s="16" t="str" cm="1">
        <f t="array" ref="U353">IF(
OR(AD353="",ISERROR(AD353)),
"-",
_xlfn.UNIQUE(_xlfn._xlws.FILTER([1]Sheet1!$D$2:$D$200,ISNUMBER(SEARCH(AD353,[1]Sheet1!$D$2:$D$200))))
)</f>
        <v>(주)유진로직스</v>
      </c>
      <c r="V353" s="23">
        <v>250000</v>
      </c>
      <c r="W353" s="23">
        <v>220000</v>
      </c>
      <c r="X353" s="23">
        <f t="shared" si="13"/>
        <v>30000</v>
      </c>
      <c r="Y353" s="25" t="s">
        <v>1484</v>
      </c>
      <c r="Z353" s="42" t="s">
        <v>51</v>
      </c>
      <c r="AA353" s="19" t="s">
        <v>52</v>
      </c>
      <c r="AC353" s="17" t="str">
        <f t="shared" si="12"/>
        <v>Y</v>
      </c>
      <c r="AD353" s="17" t="s">
        <v>70</v>
      </c>
      <c r="AF353" s="27"/>
      <c r="AG353" s="27"/>
      <c r="AI353" s="49" t="s">
        <v>57</v>
      </c>
    </row>
    <row r="354" spans="1:35" ht="34.950000000000003" customHeight="1" x14ac:dyDescent="0.4">
      <c r="A354" s="16" t="s">
        <v>36</v>
      </c>
      <c r="B354" s="16" t="s">
        <v>37</v>
      </c>
      <c r="C354" s="17">
        <v>46006</v>
      </c>
      <c r="D354" s="16" t="s">
        <v>248</v>
      </c>
      <c r="E354" s="16" t="s">
        <v>315</v>
      </c>
      <c r="F354" s="16">
        <v>24022</v>
      </c>
      <c r="G354" s="18" t="s">
        <v>1485</v>
      </c>
      <c r="H354" s="16" t="s">
        <v>41</v>
      </c>
      <c r="I354" s="19" t="s">
        <v>529</v>
      </c>
      <c r="J354" s="16" t="str">
        <f>IFERROR(VLOOKUP(I354,[1]Sheet1!$A$1:$B$200,2,0),"_")</f>
        <v>BC</v>
      </c>
      <c r="K354" s="19" t="s">
        <v>529</v>
      </c>
      <c r="L354" s="16" t="str">
        <f>IFERROR(VLOOKUP(K354,[1]Sheet1!$A$1:$B$200,2,0),"-")</f>
        <v>BC</v>
      </c>
      <c r="M354" s="19" t="s">
        <v>966</v>
      </c>
      <c r="N354" s="16" t="str">
        <f>IFERROR(VLOOKUP(M354,[1]Sheet1!$G$2:$H$200,2,0),"-")</f>
        <v>ZIMU</v>
      </c>
      <c r="O354" s="18" t="s">
        <v>1486</v>
      </c>
      <c r="P354" s="17">
        <v>46011</v>
      </c>
      <c r="Q354" s="20" t="s">
        <v>1487</v>
      </c>
      <c r="R354" s="20" t="s">
        <v>1488</v>
      </c>
      <c r="S354" s="21" t="str" cm="1">
        <f t="array" ref="S354">IF(
OR(AD354="",ISERROR(AD354)),
"-",
_xlfn.UNIQUE(_xlfn._xlws.FILTER([1]Sheet1!$D$2:$D$200,ISNUMBER(SEARCH(AD354,[1]Sheet1!$D$2:$D$200))))
)</f>
        <v>에이치엔엘트랜스</v>
      </c>
      <c r="T354" s="22" t="s">
        <v>322</v>
      </c>
      <c r="U354" s="16" t="str" cm="1">
        <f t="array" ref="U354">IF(
OR(AD354="",ISERROR(AD354)),
"-",
_xlfn.UNIQUE(_xlfn._xlws.FILTER([1]Sheet1!$D$2:$D$200,ISNUMBER(SEARCH(AD354,[1]Sheet1!$D$2:$D$200))))
)</f>
        <v>에이치엔엘트랜스</v>
      </c>
      <c r="V354" s="23">
        <v>418000</v>
      </c>
      <c r="W354" s="23">
        <v>385000</v>
      </c>
      <c r="X354" s="23">
        <f t="shared" si="13"/>
        <v>33000</v>
      </c>
      <c r="Y354" s="25" t="s">
        <v>1489</v>
      </c>
      <c r="Z354" s="42" t="s">
        <v>51</v>
      </c>
      <c r="AA354" s="19" t="s">
        <v>144</v>
      </c>
      <c r="AB354" s="18" t="s">
        <v>1490</v>
      </c>
      <c r="AC354" s="17" t="str">
        <f t="shared" si="12"/>
        <v>Y</v>
      </c>
      <c r="AD354" s="17" t="s">
        <v>324</v>
      </c>
      <c r="AE354" s="26">
        <v>0.79166666666666663</v>
      </c>
      <c r="AF354" s="27"/>
      <c r="AG354" s="27"/>
      <c r="AI354" s="49" t="s">
        <v>57</v>
      </c>
    </row>
    <row r="355" spans="1:35" ht="34.950000000000003" customHeight="1" x14ac:dyDescent="0.4">
      <c r="A355" s="16" t="s">
        <v>36</v>
      </c>
      <c r="B355" s="16" t="s">
        <v>37</v>
      </c>
      <c r="C355" s="17">
        <v>46006</v>
      </c>
      <c r="D355" s="16" t="s">
        <v>261</v>
      </c>
      <c r="E355" s="16" t="s">
        <v>1491</v>
      </c>
      <c r="F355" s="16">
        <v>28376</v>
      </c>
      <c r="G355" s="18" t="s">
        <v>1492</v>
      </c>
      <c r="H355" s="16" t="s">
        <v>41</v>
      </c>
      <c r="I355" s="19" t="s">
        <v>172</v>
      </c>
      <c r="J355" s="16" t="str">
        <f>IFERROR(VLOOKUP(I355,[1]Sheet1!$A$1:$B$200,2,0),"_")</f>
        <v>KW</v>
      </c>
      <c r="K355" s="19" t="s">
        <v>172</v>
      </c>
      <c r="L355" s="16" t="str">
        <f>IFERROR(VLOOKUP(K355,[1]Sheet1!$A$1:$B$200,2,0),"-")</f>
        <v>KW</v>
      </c>
      <c r="M355" s="19" t="s">
        <v>191</v>
      </c>
      <c r="N355" s="16" t="str">
        <f>IFERROR(VLOOKUP(M355,[1]Sheet1!$G$2:$H$200,2,0),"-")</f>
        <v>HASL</v>
      </c>
      <c r="O355" s="18" t="s">
        <v>1493</v>
      </c>
      <c r="P355" s="17">
        <v>46011</v>
      </c>
      <c r="Q355" s="20" t="s">
        <v>1494</v>
      </c>
      <c r="R355" s="20" t="s">
        <v>1495</v>
      </c>
      <c r="S355" s="21" t="str" cm="1">
        <f t="array" ref="S355">IF(
OR(AD355="",ISERROR(AD355)),
"-",
_xlfn.UNIQUE(_xlfn._xlws.FILTER([1]Sheet1!$D$2:$D$200,ISNUMBER(SEARCH(AD355,[1]Sheet1!$D$2:$D$200))))
)</f>
        <v>(유)오식도물류</v>
      </c>
      <c r="T355" s="22" t="s">
        <v>1496</v>
      </c>
      <c r="U355" s="16" t="str" cm="1">
        <f t="array" ref="U355">IF(
OR(AD355="",ISERROR(AD355)),
"-",
_xlfn.UNIQUE(_xlfn._xlws.FILTER([1]Sheet1!$D$2:$D$200,ISNUMBER(SEARCH(AD355,[1]Sheet1!$D$2:$D$200))))
)</f>
        <v>(유)오식도물류</v>
      </c>
      <c r="V355" s="23">
        <v>327000</v>
      </c>
      <c r="W355" s="23">
        <v>299300</v>
      </c>
      <c r="X355" s="23">
        <f t="shared" si="13"/>
        <v>27700</v>
      </c>
      <c r="Y355" s="25" t="s">
        <v>1497</v>
      </c>
      <c r="Z355" s="42" t="s">
        <v>51</v>
      </c>
      <c r="AA355" s="19" t="s">
        <v>93</v>
      </c>
      <c r="AB355" s="18" t="s">
        <v>1498</v>
      </c>
      <c r="AC355" s="17" t="str">
        <f t="shared" si="12"/>
        <v>Y</v>
      </c>
      <c r="AD355" s="17" t="s">
        <v>179</v>
      </c>
      <c r="AE355" s="26">
        <v>0.375</v>
      </c>
      <c r="AF355" s="27"/>
      <c r="AG355" s="27"/>
      <c r="AI355" s="49" t="s">
        <v>57</v>
      </c>
    </row>
    <row r="356" spans="1:35" ht="34.950000000000003" customHeight="1" x14ac:dyDescent="0.4">
      <c r="A356" s="16" t="s">
        <v>36</v>
      </c>
      <c r="B356" s="16" t="s">
        <v>37</v>
      </c>
      <c r="C356" s="17">
        <v>46006</v>
      </c>
      <c r="D356" s="16" t="s">
        <v>188</v>
      </c>
      <c r="E356" s="36" t="s">
        <v>189</v>
      </c>
      <c r="F356" s="16">
        <v>16959</v>
      </c>
      <c r="G356" s="18" t="s">
        <v>1499</v>
      </c>
      <c r="H356" s="16" t="s">
        <v>41</v>
      </c>
      <c r="I356" s="19" t="s">
        <v>42</v>
      </c>
      <c r="J356" s="16" t="str">
        <f>IFERROR(VLOOKUP(I356,[1]Sheet1!$A$1:$B$200,2,0),"_")</f>
        <v>P</v>
      </c>
      <c r="K356" s="19" t="s">
        <v>42</v>
      </c>
      <c r="L356" s="16" t="str">
        <f>IFERROR(VLOOKUP(K356,[1]Sheet1!$A$1:$B$200,2,0),"-")</f>
        <v>P</v>
      </c>
      <c r="M356" s="19" t="s">
        <v>191</v>
      </c>
      <c r="N356" s="16" t="str">
        <f>IFERROR(VLOOKUP(M356,[1]Sheet1!$G$2:$H$200,2,0),"-")</f>
        <v>HASL</v>
      </c>
      <c r="O356" s="18" t="s">
        <v>1213</v>
      </c>
      <c r="P356" s="17">
        <v>46007</v>
      </c>
      <c r="Q356" s="20" t="s">
        <v>1500</v>
      </c>
      <c r="R356" s="20" t="s">
        <v>1501</v>
      </c>
      <c r="S356" s="21" t="str" cm="1">
        <f t="array" ref="S356">IF(
OR(AD356="",ISERROR(AD356)),
"-",
_xlfn.UNIQUE(_xlfn._xlws.FILTER([1]Sheet1!$D$2:$D$200,ISNUMBER(SEARCH(AD356,[1]Sheet1!$D$2:$D$200))))
)</f>
        <v>(주)부강에너지</v>
      </c>
      <c r="T356" s="22" t="s">
        <v>878</v>
      </c>
      <c r="U356" s="16" t="str" cm="1">
        <f t="array" ref="U356">IF(
OR(AD356="",ISERROR(AD356)),
"-",
_xlfn.UNIQUE(_xlfn._xlws.FILTER([1]Sheet1!$D$2:$D$200,ISNUMBER(SEARCH(AD356,[1]Sheet1!$D$2:$D$200))))
)</f>
        <v>(주)부강에너지</v>
      </c>
      <c r="V356" s="23">
        <v>250000</v>
      </c>
      <c r="W356" s="23">
        <v>220000</v>
      </c>
      <c r="X356" s="23">
        <f t="shared" si="13"/>
        <v>30000</v>
      </c>
      <c r="Y356" s="25" t="s">
        <v>1217</v>
      </c>
      <c r="Z356" s="42" t="s">
        <v>51</v>
      </c>
      <c r="AA356" s="19" t="s">
        <v>81</v>
      </c>
      <c r="AB356" s="18" t="s">
        <v>1502</v>
      </c>
      <c r="AC356" s="17" t="str">
        <f t="shared" si="12"/>
        <v>Y</v>
      </c>
      <c r="AD356" s="17" t="s">
        <v>197</v>
      </c>
      <c r="AE356" s="26">
        <v>0.33333333333333331</v>
      </c>
      <c r="AF356" s="27"/>
      <c r="AG356" s="27"/>
      <c r="AI356" s="49" t="s">
        <v>57</v>
      </c>
    </row>
    <row r="357" spans="1:35" ht="34.950000000000003" customHeight="1" x14ac:dyDescent="0.4">
      <c r="A357" s="16" t="s">
        <v>36</v>
      </c>
      <c r="B357" s="16" t="s">
        <v>37</v>
      </c>
      <c r="C357" s="17">
        <v>46006</v>
      </c>
      <c r="D357" s="16" t="s">
        <v>188</v>
      </c>
      <c r="E357" s="36" t="s">
        <v>189</v>
      </c>
      <c r="F357" s="16">
        <v>16959</v>
      </c>
      <c r="G357" s="18" t="s">
        <v>1499</v>
      </c>
      <c r="H357" s="16" t="s">
        <v>41</v>
      </c>
      <c r="I357" s="19" t="s">
        <v>42</v>
      </c>
      <c r="J357" s="16" t="str">
        <f>IFERROR(VLOOKUP(I357,[1]Sheet1!$A$1:$B$200,2,0),"_")</f>
        <v>P</v>
      </c>
      <c r="K357" s="19" t="s">
        <v>42</v>
      </c>
      <c r="L357" s="16" t="str">
        <f>IFERROR(VLOOKUP(K357,[1]Sheet1!$A$1:$B$200,2,0),"-")</f>
        <v>P</v>
      </c>
      <c r="M357" s="19" t="s">
        <v>191</v>
      </c>
      <c r="N357" s="16" t="str">
        <f>IFERROR(VLOOKUP(M357,[1]Sheet1!$G$2:$H$200,2,0),"-")</f>
        <v>HASL</v>
      </c>
      <c r="O357" s="18" t="s">
        <v>1213</v>
      </c>
      <c r="P357" s="17">
        <v>46007</v>
      </c>
      <c r="Q357" s="20" t="s">
        <v>1500</v>
      </c>
      <c r="R357" s="20" t="s">
        <v>1501</v>
      </c>
      <c r="S357" s="21" t="str" cm="1">
        <f t="array" ref="S357">IF(
OR(AD357="",ISERROR(AD357)),
"-",
_xlfn.UNIQUE(_xlfn._xlws.FILTER([1]Sheet1!$D$2:$D$200,ISNUMBER(SEARCH(AD357,[1]Sheet1!$D$2:$D$200))))
)</f>
        <v>(주)부강에너지</v>
      </c>
      <c r="T357" s="22" t="s">
        <v>878</v>
      </c>
      <c r="U357" s="16" t="str" cm="1">
        <f t="array" ref="U357">IF(
OR(AD357="",ISERROR(AD357)),
"-",
_xlfn.UNIQUE(_xlfn._xlws.FILTER([1]Sheet1!$D$2:$D$200,ISNUMBER(SEARCH(AD357,[1]Sheet1!$D$2:$D$200))))
)</f>
        <v>(주)부강에너지</v>
      </c>
      <c r="V357" s="23">
        <v>30000</v>
      </c>
      <c r="W357" s="23">
        <v>30000</v>
      </c>
      <c r="X357" s="23">
        <f t="shared" si="13"/>
        <v>0</v>
      </c>
      <c r="Y357" s="25" t="s">
        <v>1217</v>
      </c>
      <c r="Z357" s="42" t="s">
        <v>51</v>
      </c>
      <c r="AA357" s="19" t="s">
        <v>81</v>
      </c>
      <c r="AB357" s="18" t="s">
        <v>1502</v>
      </c>
      <c r="AC357" s="17" t="str">
        <f t="shared" si="12"/>
        <v>Y</v>
      </c>
      <c r="AD357" s="17" t="s">
        <v>197</v>
      </c>
      <c r="AE357" s="26">
        <v>0.33333333333333331</v>
      </c>
      <c r="AF357" s="27"/>
      <c r="AG357" s="27"/>
      <c r="AI357" s="49" t="s">
        <v>57</v>
      </c>
    </row>
    <row r="358" spans="1:35" ht="34.950000000000003" customHeight="1" x14ac:dyDescent="0.4">
      <c r="A358" s="16" t="s">
        <v>36</v>
      </c>
      <c r="B358" s="16" t="s">
        <v>37</v>
      </c>
      <c r="C358" s="17">
        <v>46006</v>
      </c>
      <c r="D358" s="16" t="s">
        <v>188</v>
      </c>
      <c r="E358" s="36" t="s">
        <v>189</v>
      </c>
      <c r="F358" s="16">
        <v>727</v>
      </c>
      <c r="G358" s="18" t="s">
        <v>998</v>
      </c>
      <c r="H358" s="16" t="s">
        <v>41</v>
      </c>
      <c r="I358" s="19" t="s">
        <v>42</v>
      </c>
      <c r="J358" s="16" t="str">
        <f>IFERROR(VLOOKUP(I358,[1]Sheet1!$A$1:$B$200,2,0),"_")</f>
        <v>P</v>
      </c>
      <c r="K358" s="19" t="s">
        <v>42</v>
      </c>
      <c r="L358" s="16" t="str">
        <f>IFERROR(VLOOKUP(K358,[1]Sheet1!$A$1:$B$200,2,0),"-")</f>
        <v>P</v>
      </c>
      <c r="M358" s="19" t="s">
        <v>191</v>
      </c>
      <c r="N358" s="16" t="str">
        <f>IFERROR(VLOOKUP(M358,[1]Sheet1!$G$2:$H$200,2,0),"-")</f>
        <v>HASL</v>
      </c>
      <c r="O358" s="18" t="s">
        <v>1213</v>
      </c>
      <c r="P358" s="17">
        <v>46007</v>
      </c>
      <c r="Q358" s="20" t="s">
        <v>1503</v>
      </c>
      <c r="R358" s="20" t="s">
        <v>1504</v>
      </c>
      <c r="S358" s="21" t="str" cm="1">
        <f t="array" ref="S358">IF(
OR(AD358="",ISERROR(AD358)),
"-",
_xlfn.UNIQUE(_xlfn._xlws.FILTER([1]Sheet1!$D$2:$D$200,ISNUMBER(SEARCH(AD358,[1]Sheet1!$D$2:$D$200))))
)</f>
        <v>(주)부강에너지</v>
      </c>
      <c r="T358" s="22" t="s">
        <v>1505</v>
      </c>
      <c r="U358" s="16" t="str" cm="1">
        <f t="array" ref="U358">IF(
OR(AD358="",ISERROR(AD358)),
"-",
_xlfn.UNIQUE(_xlfn._xlws.FILTER([1]Sheet1!$D$2:$D$200,ISNUMBER(SEARCH(AD358,[1]Sheet1!$D$2:$D$200))))
)</f>
        <v>(주)부강에너지</v>
      </c>
      <c r="V358" s="23">
        <v>250000</v>
      </c>
      <c r="W358" s="23">
        <v>220000</v>
      </c>
      <c r="X358" s="23">
        <f t="shared" si="13"/>
        <v>30000</v>
      </c>
      <c r="Y358" s="25" t="s">
        <v>1217</v>
      </c>
      <c r="Z358" s="42" t="s">
        <v>51</v>
      </c>
      <c r="AA358" s="19" t="s">
        <v>81</v>
      </c>
      <c r="AB358" s="18" t="s">
        <v>846</v>
      </c>
      <c r="AC358" s="17" t="str">
        <f t="shared" si="12"/>
        <v>Y</v>
      </c>
      <c r="AD358" s="17" t="s">
        <v>197</v>
      </c>
      <c r="AE358" s="26">
        <v>0.4375</v>
      </c>
      <c r="AF358" s="27"/>
      <c r="AG358" s="27"/>
      <c r="AI358" s="49" t="s">
        <v>57</v>
      </c>
    </row>
    <row r="359" spans="1:35" ht="34.950000000000003" customHeight="1" x14ac:dyDescent="0.4">
      <c r="A359" s="16" t="s">
        <v>36</v>
      </c>
      <c r="B359" s="16" t="s">
        <v>37</v>
      </c>
      <c r="C359" s="17">
        <v>46006</v>
      </c>
      <c r="D359" s="16" t="s">
        <v>188</v>
      </c>
      <c r="E359" s="36" t="s">
        <v>189</v>
      </c>
      <c r="F359" s="16">
        <v>727</v>
      </c>
      <c r="G359" s="18" t="s">
        <v>998</v>
      </c>
      <c r="H359" s="16" t="s">
        <v>41</v>
      </c>
      <c r="I359" s="19" t="s">
        <v>42</v>
      </c>
      <c r="J359" s="16" t="str">
        <f>IFERROR(VLOOKUP(I359,[1]Sheet1!$A$1:$B$200,2,0),"_")</f>
        <v>P</v>
      </c>
      <c r="K359" s="19" t="s">
        <v>42</v>
      </c>
      <c r="L359" s="16" t="str">
        <f>IFERROR(VLOOKUP(K359,[1]Sheet1!$A$1:$B$200,2,0),"-")</f>
        <v>P</v>
      </c>
      <c r="M359" s="19" t="s">
        <v>191</v>
      </c>
      <c r="N359" s="16" t="str">
        <f>IFERROR(VLOOKUP(M359,[1]Sheet1!$G$2:$H$200,2,0),"-")</f>
        <v>HASL</v>
      </c>
      <c r="O359" s="18" t="s">
        <v>1213</v>
      </c>
      <c r="P359" s="17">
        <v>46007</v>
      </c>
      <c r="Q359" s="20" t="s">
        <v>1506</v>
      </c>
      <c r="R359" s="20" t="s">
        <v>1507</v>
      </c>
      <c r="S359" s="21" t="str" cm="1">
        <f t="array" ref="S359">IF(
OR(AD359="",ISERROR(AD359)),
"-",
_xlfn.UNIQUE(_xlfn._xlws.FILTER([1]Sheet1!$D$2:$D$200,ISNUMBER(SEARCH(AD359,[1]Sheet1!$D$2:$D$200))))
)</f>
        <v>(주)부강에너지</v>
      </c>
      <c r="T359" s="22" t="s">
        <v>426</v>
      </c>
      <c r="U359" s="16" t="str" cm="1">
        <f t="array" ref="U359">IF(
OR(AD359="",ISERROR(AD359)),
"-",
_xlfn.UNIQUE(_xlfn._xlws.FILTER([1]Sheet1!$D$2:$D$200,ISNUMBER(SEARCH(AD359,[1]Sheet1!$D$2:$D$200))))
)</f>
        <v>(주)부강에너지</v>
      </c>
      <c r="V359" s="23">
        <v>250000</v>
      </c>
      <c r="W359" s="23">
        <v>220000</v>
      </c>
      <c r="X359" s="23">
        <f t="shared" si="13"/>
        <v>30000</v>
      </c>
      <c r="Y359" s="25" t="s">
        <v>1217</v>
      </c>
      <c r="Z359" s="42" t="s">
        <v>51</v>
      </c>
      <c r="AA359" s="19" t="s">
        <v>81</v>
      </c>
      <c r="AB359" s="18" t="s">
        <v>1508</v>
      </c>
      <c r="AC359" s="17" t="str">
        <f t="shared" si="12"/>
        <v>Y</v>
      </c>
      <c r="AD359" s="17" t="s">
        <v>197</v>
      </c>
      <c r="AE359" s="26">
        <v>0.54166666666666663</v>
      </c>
      <c r="AF359" s="27"/>
      <c r="AG359" s="27"/>
      <c r="AI359" s="49" t="s">
        <v>57</v>
      </c>
    </row>
    <row r="360" spans="1:35" ht="34.950000000000003" customHeight="1" x14ac:dyDescent="0.4">
      <c r="A360" s="16" t="s">
        <v>36</v>
      </c>
      <c r="B360" s="16" t="s">
        <v>37</v>
      </c>
      <c r="C360" s="17">
        <v>46006</v>
      </c>
      <c r="D360" s="16" t="s">
        <v>188</v>
      </c>
      <c r="E360" s="36" t="s">
        <v>189</v>
      </c>
      <c r="F360" s="16">
        <v>16725</v>
      </c>
      <c r="G360" s="18" t="s">
        <v>1509</v>
      </c>
      <c r="H360" s="16" t="s">
        <v>41</v>
      </c>
      <c r="I360" s="19" t="s">
        <v>42</v>
      </c>
      <c r="J360" s="16" t="str">
        <f>IFERROR(VLOOKUP(I360,[1]Sheet1!$A$1:$B$200,2,0),"_")</f>
        <v>P</v>
      </c>
      <c r="K360" s="19" t="s">
        <v>42</v>
      </c>
      <c r="L360" s="16" t="str">
        <f>IFERROR(VLOOKUP(K360,[1]Sheet1!$A$1:$B$200,2,0),"-")</f>
        <v>P</v>
      </c>
      <c r="M360" s="19" t="s">
        <v>191</v>
      </c>
      <c r="N360" s="16" t="str">
        <f>IFERROR(VLOOKUP(M360,[1]Sheet1!$G$2:$H$200,2,0),"-")</f>
        <v>HASL</v>
      </c>
      <c r="O360" s="18" t="s">
        <v>1213</v>
      </c>
      <c r="P360" s="17">
        <v>46007</v>
      </c>
      <c r="Q360" s="20" t="s">
        <v>1510</v>
      </c>
      <c r="R360" s="20" t="s">
        <v>1511</v>
      </c>
      <c r="S360" s="21" t="str" cm="1">
        <f t="array" ref="S360">IF(
OR(AD360="",ISERROR(AD360)),
"-",
_xlfn.UNIQUE(_xlfn._xlws.FILTER([1]Sheet1!$D$2:$D$200,ISNUMBER(SEARCH(AD360,[1]Sheet1!$D$2:$D$200))))
)</f>
        <v>(주)부강에너지</v>
      </c>
      <c r="T360" s="22" t="s">
        <v>426</v>
      </c>
      <c r="U360" s="16" t="str" cm="1">
        <f t="array" ref="U360">IF(
OR(AD360="",ISERROR(AD360)),
"-",
_xlfn.UNIQUE(_xlfn._xlws.FILTER([1]Sheet1!$D$2:$D$200,ISNUMBER(SEARCH(AD360,[1]Sheet1!$D$2:$D$200))))
)</f>
        <v>(주)부강에너지</v>
      </c>
      <c r="V360" s="23">
        <v>250000</v>
      </c>
      <c r="W360" s="23">
        <v>220000</v>
      </c>
      <c r="X360" s="23">
        <f t="shared" si="13"/>
        <v>30000</v>
      </c>
      <c r="Y360" s="25" t="s">
        <v>1217</v>
      </c>
      <c r="Z360" s="42" t="s">
        <v>51</v>
      </c>
      <c r="AA360" s="19" t="s">
        <v>81</v>
      </c>
      <c r="AB360" s="18" t="s">
        <v>1385</v>
      </c>
      <c r="AC360" s="17" t="str">
        <f t="shared" si="12"/>
        <v>Y</v>
      </c>
      <c r="AD360" s="17" t="s">
        <v>197</v>
      </c>
      <c r="AE360" s="26">
        <v>0.34722222222222227</v>
      </c>
      <c r="AF360" s="27"/>
      <c r="AG360" s="27"/>
      <c r="AI360" s="49" t="s">
        <v>57</v>
      </c>
    </row>
    <row r="361" spans="1:35" ht="34.950000000000003" customHeight="1" x14ac:dyDescent="0.4">
      <c r="A361" s="16" t="s">
        <v>71</v>
      </c>
      <c r="B361" s="16" t="s">
        <v>37</v>
      </c>
      <c r="C361" s="17">
        <v>46006</v>
      </c>
      <c r="D361" s="16" t="s">
        <v>575</v>
      </c>
      <c r="E361" s="16" t="s">
        <v>815</v>
      </c>
      <c r="F361" s="16">
        <v>26392</v>
      </c>
      <c r="G361" s="18" t="s">
        <v>1512</v>
      </c>
      <c r="H361" s="16" t="s">
        <v>519</v>
      </c>
      <c r="I361" s="19" t="s">
        <v>730</v>
      </c>
      <c r="J361" s="16" t="str">
        <f>IFERROR(VLOOKUP(I361,[1]Sheet1!$A$1:$B$200,2,0),"_")</f>
        <v>TG</v>
      </c>
      <c r="K361" s="19" t="s">
        <v>819</v>
      </c>
      <c r="L361" s="16" t="str">
        <f>IFERROR(VLOOKUP(K361,[1]Sheet1!$A$1:$B$200,2,0),"-")</f>
        <v>AS</v>
      </c>
      <c r="M361" s="19" t="s">
        <v>159</v>
      </c>
      <c r="N361" s="16" t="str">
        <f>IFERROR(VLOOKUP(M361,[1]Sheet1!$G$2:$H$200,2,0),"-")</f>
        <v>MAEU</v>
      </c>
      <c r="O361" s="18" t="s">
        <v>55</v>
      </c>
      <c r="P361" s="17" t="s">
        <v>55</v>
      </c>
      <c r="Q361" s="20" t="s">
        <v>1513</v>
      </c>
      <c r="R361" s="20" t="s">
        <v>1514</v>
      </c>
      <c r="S361" s="21" t="str" cm="1">
        <f t="array" ref="S361">IF(
OR(AD361="",ISERROR(AD361)),
"-",
_xlfn.UNIQUE(_xlfn._xlws.FILTER([1]Sheet1!$D$2:$D$200,ISNUMBER(SEARCH(AD361,[1]Sheet1!$D$2:$D$200))))
)</f>
        <v>(주)유진로직스</v>
      </c>
      <c r="T361" s="22" t="s">
        <v>1515</v>
      </c>
      <c r="U361" s="16" t="str" cm="1">
        <f t="array" ref="U361">IF(
OR(AD361="",ISERROR(AD361)),
"-",
_xlfn.UNIQUE(_xlfn._xlws.FILTER([1]Sheet1!$D$2:$D$200,ISNUMBER(SEARCH(AD361,[1]Sheet1!$D$2:$D$200))))
)</f>
        <v>(주)유진로직스</v>
      </c>
      <c r="V361" s="23">
        <v>470000</v>
      </c>
      <c r="W361" s="23">
        <v>409000</v>
      </c>
      <c r="X361" s="23">
        <f t="shared" si="13"/>
        <v>61000</v>
      </c>
      <c r="Y361" s="25" t="s">
        <v>1516</v>
      </c>
      <c r="Z361" s="42" t="s">
        <v>51</v>
      </c>
      <c r="AA361" s="19" t="s">
        <v>144</v>
      </c>
      <c r="AB361" s="18" t="s">
        <v>1517</v>
      </c>
      <c r="AC361" s="17" t="str">
        <f t="shared" si="12"/>
        <v>Y</v>
      </c>
      <c r="AD361" s="17" t="s">
        <v>70</v>
      </c>
      <c r="AE361" s="26" t="s">
        <v>1518</v>
      </c>
      <c r="AF361" s="27" t="s">
        <v>1519</v>
      </c>
      <c r="AG361" s="27" t="s">
        <v>1520</v>
      </c>
      <c r="AI361" s="49" t="s">
        <v>57</v>
      </c>
    </row>
    <row r="362" spans="1:35" ht="34.950000000000003" customHeight="1" x14ac:dyDescent="0.4">
      <c r="A362" s="16" t="s">
        <v>36</v>
      </c>
      <c r="B362" s="16" t="s">
        <v>99</v>
      </c>
      <c r="C362" s="17">
        <v>46006</v>
      </c>
      <c r="D362" s="16" t="s">
        <v>207</v>
      </c>
      <c r="E362" s="36" t="s">
        <v>1521</v>
      </c>
      <c r="F362" s="16">
        <v>28849</v>
      </c>
      <c r="G362" s="18" t="s">
        <v>1522</v>
      </c>
      <c r="H362" s="16" t="s">
        <v>41</v>
      </c>
      <c r="I362" s="19" t="s">
        <v>201</v>
      </c>
      <c r="J362" s="16" t="str">
        <f>IFERROR(VLOOKUP(I362,[1]Sheet1!$A$1:$B$200,2,0),"_")</f>
        <v>Y25</v>
      </c>
      <c r="K362" s="19" t="s">
        <v>201</v>
      </c>
      <c r="L362" s="16" t="str">
        <f>IFERROR(VLOOKUP(K362,[1]Sheet1!$A$1:$B$200,2,0),"-")</f>
        <v>Y25</v>
      </c>
      <c r="M362" s="19" t="s">
        <v>251</v>
      </c>
      <c r="N362" s="16" t="str">
        <f>IFERROR(VLOOKUP(M362,[1]Sheet1!$G$2:$H$200,2,0),"-")</f>
        <v>SNKO</v>
      </c>
      <c r="O362" s="18" t="s">
        <v>1523</v>
      </c>
      <c r="P362" s="17">
        <v>46008</v>
      </c>
      <c r="Q362" s="20" t="s">
        <v>1524</v>
      </c>
      <c r="R362" s="20" t="s">
        <v>1525</v>
      </c>
      <c r="S362" s="21" t="str" cm="1">
        <f t="array" ref="S362">IF(
OR(AD362="",ISERROR(AD362)),
"-",
_xlfn.UNIQUE(_xlfn._xlws.FILTER([1]Sheet1!$D$2:$D$200,ISNUMBER(SEARCH(AD362,[1]Sheet1!$D$2:$D$200))))
)</f>
        <v>태성종합물류</v>
      </c>
      <c r="T362" s="22" t="s">
        <v>841</v>
      </c>
      <c r="U362" s="16" t="str" cm="1">
        <f t="array" ref="U362">IF(
OR(AD362="",ISERROR(AD362)),
"-",
_xlfn.UNIQUE(_xlfn._xlws.FILTER([1]Sheet1!$D$2:$D$200,ISNUMBER(SEARCH(AD362,[1]Sheet1!$D$2:$D$200))))
)</f>
        <v>태성종합물류</v>
      </c>
      <c r="V362" s="23">
        <v>343000</v>
      </c>
      <c r="W362" s="23">
        <v>319900</v>
      </c>
      <c r="X362" s="23">
        <f t="shared" si="13"/>
        <v>23100</v>
      </c>
      <c r="Y362" s="25" t="s">
        <v>1526</v>
      </c>
      <c r="Z362" s="42" t="s">
        <v>51</v>
      </c>
      <c r="AA362" s="19" t="s">
        <v>144</v>
      </c>
      <c r="AB362" s="18" t="s">
        <v>1527</v>
      </c>
      <c r="AC362" s="17" t="str">
        <f t="shared" si="12"/>
        <v>Y</v>
      </c>
      <c r="AD362" s="17" t="s">
        <v>82</v>
      </c>
      <c r="AE362" s="26">
        <v>0.54166666666666663</v>
      </c>
      <c r="AF362" s="27"/>
      <c r="AG362" s="27"/>
      <c r="AI362" s="49" t="s">
        <v>57</v>
      </c>
    </row>
    <row r="363" spans="1:35" ht="34.950000000000003" customHeight="1" x14ac:dyDescent="0.4">
      <c r="A363" s="16" t="s">
        <v>36</v>
      </c>
      <c r="B363" s="16" t="s">
        <v>99</v>
      </c>
      <c r="C363" s="17">
        <v>46006</v>
      </c>
      <c r="D363" s="16" t="s">
        <v>207</v>
      </c>
      <c r="E363" s="36" t="s">
        <v>1521</v>
      </c>
      <c r="F363" s="16">
        <v>28849</v>
      </c>
      <c r="G363" s="18" t="s">
        <v>1522</v>
      </c>
      <c r="H363" s="16" t="s">
        <v>41</v>
      </c>
      <c r="I363" s="19" t="s">
        <v>201</v>
      </c>
      <c r="J363" s="16" t="str">
        <f>IFERROR(VLOOKUP(I363,[1]Sheet1!$A$1:$B$200,2,0),"_")</f>
        <v>Y25</v>
      </c>
      <c r="K363" s="19" t="s">
        <v>201</v>
      </c>
      <c r="L363" s="16" t="str">
        <f>IFERROR(VLOOKUP(K363,[1]Sheet1!$A$1:$B$200,2,0),"-")</f>
        <v>Y25</v>
      </c>
      <c r="M363" s="19" t="s">
        <v>251</v>
      </c>
      <c r="N363" s="16" t="str">
        <f>IFERROR(VLOOKUP(M363,[1]Sheet1!$G$2:$H$200,2,0),"-")</f>
        <v>SNKO</v>
      </c>
      <c r="O363" s="18" t="s">
        <v>1523</v>
      </c>
      <c r="P363" s="17">
        <v>46008</v>
      </c>
      <c r="Q363" s="20" t="s">
        <v>1528</v>
      </c>
      <c r="R363" s="20" t="s">
        <v>1529</v>
      </c>
      <c r="S363" s="21" t="str" cm="1">
        <f t="array" ref="S363">IF(
OR(AD363="",ISERROR(AD363)),
"-",
_xlfn.UNIQUE(_xlfn._xlws.FILTER([1]Sheet1!$D$2:$D$200,ISNUMBER(SEARCH(AD363,[1]Sheet1!$D$2:$D$200))))
)</f>
        <v>태성종합물류</v>
      </c>
      <c r="T363" s="22" t="s">
        <v>1530</v>
      </c>
      <c r="U363" s="16" t="str" cm="1">
        <f t="array" ref="U363">IF(
OR(AD363="",ISERROR(AD363)),
"-",
_xlfn.UNIQUE(_xlfn._xlws.FILTER([1]Sheet1!$D$2:$D$200,ISNUMBER(SEARCH(AD363,[1]Sheet1!$D$2:$D$200))))
)</f>
        <v>태성종합물류</v>
      </c>
      <c r="V363" s="23">
        <v>343000</v>
      </c>
      <c r="W363" s="23">
        <v>319900</v>
      </c>
      <c r="X363" s="23">
        <f t="shared" si="13"/>
        <v>23100</v>
      </c>
      <c r="Y363" s="25" t="s">
        <v>1526</v>
      </c>
      <c r="Z363" s="42" t="s">
        <v>51</v>
      </c>
      <c r="AA363" s="19" t="s">
        <v>144</v>
      </c>
      <c r="AB363" s="18" t="s">
        <v>1527</v>
      </c>
      <c r="AC363" s="17" t="str">
        <f t="shared" si="12"/>
        <v>Y</v>
      </c>
      <c r="AD363" s="17" t="s">
        <v>82</v>
      </c>
      <c r="AE363" s="26">
        <v>0.60416666666666663</v>
      </c>
      <c r="AF363" s="27"/>
      <c r="AG363" s="27"/>
      <c r="AI363" s="49" t="s">
        <v>57</v>
      </c>
    </row>
    <row r="364" spans="1:35" ht="34.950000000000003" customHeight="1" x14ac:dyDescent="0.4">
      <c r="A364" s="16" t="s">
        <v>36</v>
      </c>
      <c r="B364" s="16" t="s">
        <v>99</v>
      </c>
      <c r="C364" s="17">
        <v>46006</v>
      </c>
      <c r="D364" s="16" t="s">
        <v>207</v>
      </c>
      <c r="E364" s="36" t="s">
        <v>1521</v>
      </c>
      <c r="F364" s="16">
        <v>28849</v>
      </c>
      <c r="G364" s="18" t="s">
        <v>1522</v>
      </c>
      <c r="H364" s="16" t="s">
        <v>41</v>
      </c>
      <c r="I364" s="19" t="s">
        <v>201</v>
      </c>
      <c r="J364" s="16" t="str">
        <f>IFERROR(VLOOKUP(I364,[1]Sheet1!$A$1:$B$200,2,0),"_")</f>
        <v>Y25</v>
      </c>
      <c r="K364" s="19" t="s">
        <v>201</v>
      </c>
      <c r="L364" s="16" t="str">
        <f>IFERROR(VLOOKUP(K364,[1]Sheet1!$A$1:$B$200,2,0),"-")</f>
        <v>Y25</v>
      </c>
      <c r="M364" s="19" t="s">
        <v>251</v>
      </c>
      <c r="N364" s="16" t="str">
        <f>IFERROR(VLOOKUP(M364,[1]Sheet1!$G$2:$H$200,2,0),"-")</f>
        <v>SNKO</v>
      </c>
      <c r="O364" s="18" t="s">
        <v>1523</v>
      </c>
      <c r="P364" s="17">
        <v>46008</v>
      </c>
      <c r="Q364" s="20" t="s">
        <v>1524</v>
      </c>
      <c r="R364" s="20" t="s">
        <v>1525</v>
      </c>
      <c r="S364" s="21" t="str" cm="1">
        <f t="array" ref="S364">IF(
OR(AD364="",ISERROR(AD364)),
"-",
_xlfn.UNIQUE(_xlfn._xlws.FILTER([1]Sheet1!$D$2:$D$200,ISNUMBER(SEARCH(AD364,[1]Sheet1!$D$2:$D$200))))
)</f>
        <v>태성종합물류</v>
      </c>
      <c r="T364" s="22" t="s">
        <v>841</v>
      </c>
      <c r="U364" s="16" t="str" cm="1">
        <f t="array" ref="U364">IF(
OR(AD364="",ISERROR(AD364)),
"-",
_xlfn.UNIQUE(_xlfn._xlws.FILTER([1]Sheet1!$D$2:$D$200,ISNUMBER(SEARCH(AD364,[1]Sheet1!$D$2:$D$200))))
)</f>
        <v>태성종합물류</v>
      </c>
      <c r="V364" s="23">
        <v>10000</v>
      </c>
      <c r="W364" s="23">
        <v>10000</v>
      </c>
      <c r="X364" s="23">
        <f t="shared" si="13"/>
        <v>0</v>
      </c>
      <c r="Y364" s="25" t="s">
        <v>1531</v>
      </c>
      <c r="Z364" s="42" t="s">
        <v>51</v>
      </c>
      <c r="AA364" s="19" t="s">
        <v>144</v>
      </c>
      <c r="AB364" s="18" t="s">
        <v>1229</v>
      </c>
      <c r="AC364" s="17" t="str">
        <f t="shared" si="12"/>
        <v>Y</v>
      </c>
      <c r="AD364" s="17" t="s">
        <v>82</v>
      </c>
      <c r="AE364" s="26">
        <v>0.54166666666666663</v>
      </c>
      <c r="AF364" s="27"/>
      <c r="AG364" s="27"/>
      <c r="AI364" s="49" t="s">
        <v>57</v>
      </c>
    </row>
    <row r="365" spans="1:35" ht="34.950000000000003" customHeight="1" x14ac:dyDescent="0.4">
      <c r="A365" s="16" t="s">
        <v>36</v>
      </c>
      <c r="B365" s="16" t="s">
        <v>99</v>
      </c>
      <c r="C365" s="17">
        <v>46006</v>
      </c>
      <c r="D365" s="16" t="s">
        <v>207</v>
      </c>
      <c r="E365" s="36" t="s">
        <v>1521</v>
      </c>
      <c r="F365" s="16">
        <v>28849</v>
      </c>
      <c r="G365" s="18" t="s">
        <v>1522</v>
      </c>
      <c r="H365" s="16" t="s">
        <v>41</v>
      </c>
      <c r="I365" s="19" t="s">
        <v>201</v>
      </c>
      <c r="J365" s="16" t="str">
        <f>IFERROR(VLOOKUP(I365,[1]Sheet1!$A$1:$B$200,2,0),"_")</f>
        <v>Y25</v>
      </c>
      <c r="K365" s="19" t="s">
        <v>201</v>
      </c>
      <c r="L365" s="16" t="str">
        <f>IFERROR(VLOOKUP(K365,[1]Sheet1!$A$1:$B$200,2,0),"-")</f>
        <v>Y25</v>
      </c>
      <c r="M365" s="19" t="s">
        <v>251</v>
      </c>
      <c r="N365" s="16" t="str">
        <f>IFERROR(VLOOKUP(M365,[1]Sheet1!$G$2:$H$200,2,0),"-")</f>
        <v>SNKO</v>
      </c>
      <c r="O365" s="18" t="s">
        <v>1523</v>
      </c>
      <c r="P365" s="17">
        <v>46008</v>
      </c>
      <c r="Q365" s="20" t="s">
        <v>1528</v>
      </c>
      <c r="R365" s="20" t="s">
        <v>1529</v>
      </c>
      <c r="S365" s="21" t="str" cm="1">
        <f t="array" ref="S365">IF(
OR(AD365="",ISERROR(AD365)),
"-",
_xlfn.UNIQUE(_xlfn._xlws.FILTER([1]Sheet1!$D$2:$D$200,ISNUMBER(SEARCH(AD365,[1]Sheet1!$D$2:$D$200))))
)</f>
        <v>태성종합물류</v>
      </c>
      <c r="T365" s="22" t="s">
        <v>1530</v>
      </c>
      <c r="U365" s="16" t="str" cm="1">
        <f t="array" ref="U365">IF(
OR(AD365="",ISERROR(AD365)),
"-",
_xlfn.UNIQUE(_xlfn._xlws.FILTER([1]Sheet1!$D$2:$D$200,ISNUMBER(SEARCH(AD365,[1]Sheet1!$D$2:$D$200))))
)</f>
        <v>태성종합물류</v>
      </c>
      <c r="V365" s="23">
        <v>10000</v>
      </c>
      <c r="W365" s="23">
        <v>10000</v>
      </c>
      <c r="X365" s="23">
        <f t="shared" si="13"/>
        <v>0</v>
      </c>
      <c r="Y365" s="25" t="s">
        <v>1531</v>
      </c>
      <c r="Z365" s="42" t="s">
        <v>51</v>
      </c>
      <c r="AA365" s="19" t="s">
        <v>144</v>
      </c>
      <c r="AB365" s="18" t="s">
        <v>1532</v>
      </c>
      <c r="AC365" s="17" t="str">
        <f t="shared" si="12"/>
        <v>Y</v>
      </c>
      <c r="AD365" s="17" t="s">
        <v>82</v>
      </c>
      <c r="AE365" s="26">
        <v>0.60416666666666663</v>
      </c>
      <c r="AF365" s="27"/>
      <c r="AG365" s="27"/>
      <c r="AI365" s="49" t="s">
        <v>57</v>
      </c>
    </row>
    <row r="366" spans="1:35" ht="34.950000000000003" customHeight="1" x14ac:dyDescent="0.4">
      <c r="A366" s="16" t="s">
        <v>71</v>
      </c>
      <c r="B366" s="16" t="s">
        <v>37</v>
      </c>
      <c r="C366" s="17">
        <v>46006</v>
      </c>
      <c r="D366" s="16" t="s">
        <v>628</v>
      </c>
      <c r="E366" s="16" t="s">
        <v>665</v>
      </c>
      <c r="F366" s="16">
        <v>28842</v>
      </c>
      <c r="G366" s="18" t="s">
        <v>1253</v>
      </c>
      <c r="H366" s="16" t="s">
        <v>711</v>
      </c>
      <c r="I366" s="19" t="s">
        <v>272</v>
      </c>
      <c r="J366" s="16" t="str">
        <f>IFERROR(VLOOKUP(I366,[1]Sheet1!$A$1:$B$200,2,0),"_")</f>
        <v>Z9</v>
      </c>
      <c r="K366" s="19" t="s">
        <v>272</v>
      </c>
      <c r="L366" s="16" t="str">
        <f>IFERROR(VLOOKUP(K366,[1]Sheet1!$A$1:$B$200,2,0),"-")</f>
        <v>Z9</v>
      </c>
      <c r="M366" s="19" t="s">
        <v>251</v>
      </c>
      <c r="N366" s="16" t="str">
        <f>IFERROR(VLOOKUP(M366,[1]Sheet1!$G$2:$H$200,2,0),"-")</f>
        <v>SNKO</v>
      </c>
      <c r="O366" s="18" t="s">
        <v>55</v>
      </c>
      <c r="P366" s="17" t="s">
        <v>55</v>
      </c>
      <c r="Q366" s="20" t="s">
        <v>1533</v>
      </c>
      <c r="R366" s="20"/>
      <c r="S366" s="21" t="str" cm="1">
        <f t="array" ref="S366">IF(
OR(AD366="",ISERROR(AD366)),
"-",
_xlfn.UNIQUE(_xlfn._xlws.FILTER([1]Sheet1!$D$2:$D$200,ISNUMBER(SEARCH(AD366,[1]Sheet1!$D$2:$D$200))))
)</f>
        <v>에스지로지스틱</v>
      </c>
      <c r="T366" s="22" t="s">
        <v>1534</v>
      </c>
      <c r="U366" s="16" t="str" cm="1">
        <f t="array" ref="U366">IF(
OR(AD366="",ISERROR(AD366)),
"-",
_xlfn.UNIQUE(_xlfn._xlws.FILTER([1]Sheet1!$D$2:$D$200,ISNUMBER(SEARCH(AD366,[1]Sheet1!$D$2:$D$200))))
)</f>
        <v>에스지로지스틱</v>
      </c>
      <c r="V366" s="23">
        <v>366000</v>
      </c>
      <c r="W366" s="23">
        <v>342400</v>
      </c>
      <c r="X366" s="23">
        <f t="shared" si="13"/>
        <v>23600</v>
      </c>
      <c r="Y366" s="25" t="s">
        <v>1256</v>
      </c>
      <c r="Z366" s="42" t="s">
        <v>51</v>
      </c>
      <c r="AA366" s="19" t="s">
        <v>472</v>
      </c>
      <c r="AC366" s="17" t="str">
        <f t="shared" si="12"/>
        <v>Y</v>
      </c>
      <c r="AD366" s="17" t="s">
        <v>184</v>
      </c>
      <c r="AE366" s="26">
        <v>0.5625</v>
      </c>
      <c r="AF366" s="27" t="s">
        <v>690</v>
      </c>
      <c r="AG366" s="27" t="s">
        <v>690</v>
      </c>
      <c r="AI366" s="49" t="s">
        <v>57</v>
      </c>
    </row>
    <row r="367" spans="1:35" ht="34.950000000000003" customHeight="1" x14ac:dyDescent="0.4">
      <c r="A367" s="16" t="s">
        <v>71</v>
      </c>
      <c r="B367" s="16" t="s">
        <v>37</v>
      </c>
      <c r="C367" s="17">
        <v>46006</v>
      </c>
      <c r="D367" s="16" t="s">
        <v>628</v>
      </c>
      <c r="E367" s="16" t="s">
        <v>665</v>
      </c>
      <c r="F367" s="16">
        <v>28842</v>
      </c>
      <c r="G367" s="18" t="s">
        <v>1253</v>
      </c>
      <c r="H367" s="16" t="s">
        <v>711</v>
      </c>
      <c r="I367" s="19" t="s">
        <v>272</v>
      </c>
      <c r="J367" s="16" t="str">
        <f>IFERROR(VLOOKUP(I367,[1]Sheet1!$A$1:$B$200,2,0),"_")</f>
        <v>Z9</v>
      </c>
      <c r="K367" s="19" t="s">
        <v>272</v>
      </c>
      <c r="L367" s="16" t="str">
        <f>IFERROR(VLOOKUP(K367,[1]Sheet1!$A$1:$B$200,2,0),"-")</f>
        <v>Z9</v>
      </c>
      <c r="M367" s="19" t="s">
        <v>251</v>
      </c>
      <c r="N367" s="16" t="str">
        <f>IFERROR(VLOOKUP(M367,[1]Sheet1!$G$2:$H$200,2,0),"-")</f>
        <v>SNKO</v>
      </c>
      <c r="O367" s="18" t="s">
        <v>55</v>
      </c>
      <c r="P367" s="17" t="s">
        <v>55</v>
      </c>
      <c r="Q367" s="20" t="s">
        <v>1533</v>
      </c>
      <c r="R367" s="20"/>
      <c r="S367" s="21" t="str" cm="1">
        <f t="array" ref="S367">IF(
OR(AD367="",ISERROR(AD367)),
"-",
_xlfn.UNIQUE(_xlfn._xlws.FILTER([1]Sheet1!$D$2:$D$200,ISNUMBER(SEARCH(AD367,[1]Sheet1!$D$2:$D$200))))
)</f>
        <v>에스지로지스틱</v>
      </c>
      <c r="T367" s="22" t="s">
        <v>1534</v>
      </c>
      <c r="U367" s="16" t="str" cm="1">
        <f t="array" ref="U367">IF(
OR(AD367="",ISERROR(AD367)),
"-",
_xlfn.UNIQUE(_xlfn._xlws.FILTER([1]Sheet1!$D$2:$D$200,ISNUMBER(SEARCH(AD367,[1]Sheet1!$D$2:$D$200))))
)</f>
        <v>에스지로지스틱</v>
      </c>
      <c r="V367" s="23">
        <v>120000</v>
      </c>
      <c r="W367" s="23">
        <v>50000</v>
      </c>
      <c r="X367" s="23">
        <f t="shared" si="13"/>
        <v>70000</v>
      </c>
      <c r="Y367" s="25" t="s">
        <v>1257</v>
      </c>
      <c r="Z367" s="42" t="s">
        <v>51</v>
      </c>
      <c r="AA367" s="19" t="s">
        <v>472</v>
      </c>
      <c r="AB367" s="18" t="s">
        <v>1258</v>
      </c>
      <c r="AC367" s="17" t="str">
        <f t="shared" si="12"/>
        <v>Y</v>
      </c>
      <c r="AD367" s="17" t="s">
        <v>184</v>
      </c>
      <c r="AE367" s="26">
        <v>0.5625</v>
      </c>
      <c r="AF367" s="27"/>
      <c r="AG367" s="27"/>
      <c r="AI367" s="49" t="s">
        <v>57</v>
      </c>
    </row>
    <row r="368" spans="1:35" ht="34.950000000000003" customHeight="1" x14ac:dyDescent="0.4">
      <c r="A368" s="16" t="s">
        <v>36</v>
      </c>
      <c r="B368" s="16" t="s">
        <v>37</v>
      </c>
      <c r="C368" s="17">
        <v>46006</v>
      </c>
      <c r="D368" s="16" t="s">
        <v>642</v>
      </c>
      <c r="E368" s="36" t="s">
        <v>1535</v>
      </c>
      <c r="F368" s="16">
        <v>24855</v>
      </c>
      <c r="G368" s="18" t="s">
        <v>1536</v>
      </c>
      <c r="H368" s="16" t="s">
        <v>59</v>
      </c>
      <c r="I368" s="19" t="s">
        <v>1537</v>
      </c>
      <c r="J368" s="16" t="str">
        <f>IFERROR(VLOOKUP(I368,[1]Sheet1!$A$1:$B$200,2,0),"_")</f>
        <v>NO</v>
      </c>
      <c r="K368" s="19" t="s">
        <v>328</v>
      </c>
      <c r="L368" s="16" t="str">
        <f>IFERROR(VLOOKUP(K368,[1]Sheet1!$A$1:$B$200,2,0),"-")</f>
        <v>BT</v>
      </c>
      <c r="M368" s="19" t="s">
        <v>211</v>
      </c>
      <c r="N368" s="16" t="str">
        <f>IFERROR(VLOOKUP(M368,[1]Sheet1!$G$2:$H$200,2,0),"-")</f>
        <v>SITC</v>
      </c>
      <c r="O368" s="18" t="s">
        <v>1538</v>
      </c>
      <c r="P368" s="17">
        <v>46011</v>
      </c>
      <c r="Q368" s="20" t="s">
        <v>65</v>
      </c>
      <c r="R368" s="20"/>
      <c r="S368" s="21" t="str" cm="1">
        <f t="array" ref="S368">IF(
OR(AD368="",ISERROR(AD368)),
"-",
_xlfn.UNIQUE(_xlfn._xlws.FILTER([1]Sheet1!$D$2:$D$200,ISNUMBER(SEARCH(AD368,[1]Sheet1!$D$2:$D$200))))
)</f>
        <v>(주)유진로직스</v>
      </c>
      <c r="T368" s="22" t="s">
        <v>1539</v>
      </c>
      <c r="U368" s="16" t="str" cm="1">
        <f t="array" ref="U368">IF(
OR(AD368="",ISERROR(AD368)),
"-",
_xlfn.UNIQUE(_xlfn._xlws.FILTER([1]Sheet1!$D$2:$D$200,ISNUMBER(SEARCH(AD368,[1]Sheet1!$D$2:$D$200))))
)</f>
        <v>(주)유진로직스</v>
      </c>
      <c r="V368" s="23">
        <v>280000</v>
      </c>
      <c r="W368" s="23">
        <v>220000</v>
      </c>
      <c r="X368" s="23">
        <f t="shared" si="13"/>
        <v>60000</v>
      </c>
      <c r="Y368" s="25" t="s">
        <v>1540</v>
      </c>
      <c r="Z368" s="42" t="s">
        <v>51</v>
      </c>
      <c r="AA368" s="19" t="s">
        <v>93</v>
      </c>
      <c r="AB368" s="18" t="s">
        <v>1541</v>
      </c>
      <c r="AC368" s="17" t="str">
        <f t="shared" si="12"/>
        <v>Y</v>
      </c>
      <c r="AD368" s="17" t="s">
        <v>70</v>
      </c>
      <c r="AF368" s="27"/>
      <c r="AG368" s="27"/>
      <c r="AI368" s="49" t="s">
        <v>57</v>
      </c>
    </row>
    <row r="369" spans="1:35" ht="34.950000000000003" customHeight="1" x14ac:dyDescent="0.4">
      <c r="A369" s="16" t="s">
        <v>36</v>
      </c>
      <c r="B369" s="16" t="s">
        <v>37</v>
      </c>
      <c r="C369" s="17">
        <v>46006</v>
      </c>
      <c r="D369" s="16" t="s">
        <v>642</v>
      </c>
      <c r="E369" s="36" t="s">
        <v>1542</v>
      </c>
      <c r="F369" s="16">
        <v>28887</v>
      </c>
      <c r="G369" s="18" t="s">
        <v>1543</v>
      </c>
      <c r="H369" s="16" t="s">
        <v>59</v>
      </c>
      <c r="I369" s="19" t="s">
        <v>1544</v>
      </c>
      <c r="J369" s="16" t="str">
        <f>IFERROR(VLOOKUP(I369,[1]Sheet1!$A$1:$B$200,2,0),"_")</f>
        <v>AN</v>
      </c>
      <c r="K369" s="19" t="s">
        <v>317</v>
      </c>
      <c r="L369" s="16" t="str">
        <f>IFERROR(VLOOKUP(K369,[1]Sheet1!$A$1:$B$200,2,0),"-")</f>
        <v>HN</v>
      </c>
      <c r="M369" s="19" t="s">
        <v>64</v>
      </c>
      <c r="N369" s="16" t="str">
        <f>IFERROR(VLOOKUP(M369,[1]Sheet1!$G$2:$H$200,2,0),"-")</f>
        <v>XXXX</v>
      </c>
      <c r="O369" s="18" t="s">
        <v>55</v>
      </c>
      <c r="P369" s="17" t="s">
        <v>55</v>
      </c>
      <c r="Q369" s="20" t="s">
        <v>65</v>
      </c>
      <c r="R369" s="20"/>
      <c r="S369" s="21" t="str" cm="1">
        <f t="array" ref="S369">IF(
OR(AD369="",ISERROR(AD369)),
"-",
_xlfn.UNIQUE(_xlfn._xlws.FILTER([1]Sheet1!$D$2:$D$200,ISNUMBER(SEARCH(AD369,[1]Sheet1!$D$2:$D$200))))
)</f>
        <v>로지스팟 주식회사</v>
      </c>
      <c r="T369" s="22" t="s">
        <v>1545</v>
      </c>
      <c r="U369" s="16" t="str" cm="1">
        <f t="array" ref="U369">IF(
OR(AD369="",ISERROR(AD369)),
"-",
_xlfn.UNIQUE(_xlfn._xlws.FILTER([1]Sheet1!$D$2:$D$200,ISNUMBER(SEARCH(AD369,[1]Sheet1!$D$2:$D$200))))
)</f>
        <v>로지스팟 주식회사</v>
      </c>
      <c r="V369" s="23">
        <v>230000</v>
      </c>
      <c r="W369" s="23">
        <v>200000</v>
      </c>
      <c r="X369" s="23">
        <f t="shared" si="13"/>
        <v>30000</v>
      </c>
      <c r="Y369" s="25" t="s">
        <v>1546</v>
      </c>
      <c r="Z369" s="42" t="s">
        <v>51</v>
      </c>
      <c r="AA369" s="19" t="s">
        <v>93</v>
      </c>
      <c r="AB369" s="18" t="s">
        <v>1547</v>
      </c>
      <c r="AC369" s="17" t="str">
        <f t="shared" si="12"/>
        <v>Y</v>
      </c>
      <c r="AD369" s="17" t="s">
        <v>833</v>
      </c>
      <c r="AF369" s="27"/>
      <c r="AG369" s="27"/>
      <c r="AI369" s="49" t="s">
        <v>57</v>
      </c>
    </row>
    <row r="370" spans="1:35" ht="34.950000000000003" customHeight="1" x14ac:dyDescent="0.4">
      <c r="A370" s="16" t="s">
        <v>36</v>
      </c>
      <c r="B370" s="16" t="s">
        <v>37</v>
      </c>
      <c r="C370" s="17">
        <v>46006</v>
      </c>
      <c r="D370" s="16" t="s">
        <v>642</v>
      </c>
      <c r="E370" s="36" t="s">
        <v>1548</v>
      </c>
      <c r="F370" s="16">
        <v>28888</v>
      </c>
      <c r="G370" s="18" t="s">
        <v>1549</v>
      </c>
      <c r="H370" s="16" t="s">
        <v>59</v>
      </c>
      <c r="I370" s="19" t="s">
        <v>1550</v>
      </c>
      <c r="J370" s="16" t="str">
        <f>IFERROR(VLOOKUP(I370,[1]Sheet1!$A$1:$B$200,2,0),"_")</f>
        <v>IV</v>
      </c>
      <c r="K370" s="19" t="s">
        <v>317</v>
      </c>
      <c r="L370" s="16" t="str">
        <f>IFERROR(VLOOKUP(K370,[1]Sheet1!$A$1:$B$200,2,0),"-")</f>
        <v>HN</v>
      </c>
      <c r="M370" s="19" t="s">
        <v>64</v>
      </c>
      <c r="N370" s="16" t="str">
        <f>IFERROR(VLOOKUP(M370,[1]Sheet1!$G$2:$H$200,2,0),"-")</f>
        <v>XXXX</v>
      </c>
      <c r="O370" s="18" t="s">
        <v>55</v>
      </c>
      <c r="P370" s="17" t="s">
        <v>55</v>
      </c>
      <c r="Q370" s="20" t="s">
        <v>1551</v>
      </c>
      <c r="R370" s="20"/>
      <c r="S370" s="21" t="str" cm="1">
        <f t="array" ref="S370">IF(
OR(AD370="",ISERROR(AD370)),
"-",
_xlfn.UNIQUE(_xlfn._xlws.FILTER([1]Sheet1!$D$2:$D$200,ISNUMBER(SEARCH(AD370,[1]Sheet1!$D$2:$D$200))))
)</f>
        <v>로지스팟 주식회사</v>
      </c>
      <c r="T370" s="22" t="s">
        <v>1552</v>
      </c>
      <c r="U370" s="16" t="str" cm="1">
        <f t="array" ref="U370">IF(
OR(AD370="",ISERROR(AD370)),
"-",
_xlfn.UNIQUE(_xlfn._xlws.FILTER([1]Sheet1!$D$2:$D$200,ISNUMBER(SEARCH(AD370,[1]Sheet1!$D$2:$D$200))))
)</f>
        <v>로지스팟 주식회사</v>
      </c>
      <c r="V370" s="23">
        <v>160000</v>
      </c>
      <c r="W370" s="23">
        <v>140000</v>
      </c>
      <c r="X370" s="23">
        <f t="shared" si="13"/>
        <v>20000</v>
      </c>
      <c r="Y370" s="25" t="s">
        <v>1546</v>
      </c>
      <c r="Z370" s="42" t="s">
        <v>51</v>
      </c>
      <c r="AA370" s="19" t="s">
        <v>93</v>
      </c>
      <c r="AB370" s="18" t="s">
        <v>1553</v>
      </c>
      <c r="AC370" s="17" t="str">
        <f t="shared" si="12"/>
        <v>Y</v>
      </c>
      <c r="AD370" s="17" t="s">
        <v>833</v>
      </c>
      <c r="AF370" s="27"/>
      <c r="AG370" s="27"/>
      <c r="AI370" s="49" t="s">
        <v>57</v>
      </c>
    </row>
    <row r="371" spans="1:35" ht="34.950000000000003" customHeight="1" x14ac:dyDescent="0.4">
      <c r="A371" s="16" t="s">
        <v>71</v>
      </c>
      <c r="B371" s="16" t="s">
        <v>99</v>
      </c>
      <c r="C371" s="17">
        <v>46007</v>
      </c>
      <c r="D371" s="16" t="s">
        <v>308</v>
      </c>
      <c r="E371" s="16" t="s">
        <v>149</v>
      </c>
      <c r="F371" s="16">
        <v>28093</v>
      </c>
      <c r="G371" s="18" t="s">
        <v>1554</v>
      </c>
      <c r="H371" s="16" t="s">
        <v>41</v>
      </c>
      <c r="I371" s="19" t="s">
        <v>76</v>
      </c>
      <c r="J371" s="16" t="str">
        <f>IFERROR(VLOOKUP(I371,[1]Sheet1!$A$1:$B$200,2,0),"_")</f>
        <v>NJ</v>
      </c>
      <c r="K371" s="19" t="s">
        <v>76</v>
      </c>
      <c r="L371" s="16" t="str">
        <f>IFERROR(VLOOKUP(K371,[1]Sheet1!$A$1:$B$200,2,0),"-")</f>
        <v>NJ</v>
      </c>
      <c r="M371" s="19" t="s">
        <v>273</v>
      </c>
      <c r="N371" s="16" t="str">
        <f>IFERROR(VLOOKUP(M371,[1]Sheet1!$G$2:$H$200,2,0),"-")</f>
        <v>DJSC</v>
      </c>
      <c r="O371" s="18" t="s">
        <v>55</v>
      </c>
      <c r="P371" s="17" t="s">
        <v>55</v>
      </c>
      <c r="Q371" s="20" t="s">
        <v>1555</v>
      </c>
      <c r="R371" s="20"/>
      <c r="S371" s="21" t="str" cm="1">
        <f t="array" ref="S371">IF(
OR(AD371="",ISERROR(AD371)),
"-",
_xlfn.UNIQUE(_xlfn._xlws.FILTER([1]Sheet1!$D$2:$D$200,ISNUMBER(SEARCH(AD371,[1]Sheet1!$D$2:$D$200))))
)</f>
        <v>태성종합물류</v>
      </c>
      <c r="T371" s="22" t="s">
        <v>1556</v>
      </c>
      <c r="U371" s="16" t="str" cm="1">
        <f t="array" ref="U371">IF(
OR(AD371="",ISERROR(AD371)),
"-",
_xlfn.UNIQUE(_xlfn._xlws.FILTER([1]Sheet1!$D$2:$D$200,ISNUMBER(SEARCH(AD371,[1]Sheet1!$D$2:$D$200))))
)</f>
        <v>태성종합물류</v>
      </c>
      <c r="V371" s="23">
        <v>415000</v>
      </c>
      <c r="W371" s="23">
        <v>388200</v>
      </c>
      <c r="X371" s="23">
        <f t="shared" si="13"/>
        <v>26800</v>
      </c>
      <c r="Y371" s="25" t="s">
        <v>1557</v>
      </c>
      <c r="Z371" s="19" t="s">
        <v>51</v>
      </c>
      <c r="AA371" s="19" t="s">
        <v>93</v>
      </c>
      <c r="AB371" s="18" t="s">
        <v>1558</v>
      </c>
      <c r="AC371" s="17" t="str">
        <f t="shared" si="12"/>
        <v>Y</v>
      </c>
      <c r="AD371" s="17" t="s">
        <v>82</v>
      </c>
      <c r="AE371" s="26">
        <v>0.33333333333333331</v>
      </c>
      <c r="AF371" s="27"/>
      <c r="AG371" s="27"/>
      <c r="AI371" s="49" t="s">
        <v>57</v>
      </c>
    </row>
    <row r="372" spans="1:35" ht="34.799999999999997" customHeight="1" x14ac:dyDescent="0.4">
      <c r="A372" s="16" t="s">
        <v>71</v>
      </c>
      <c r="B372" s="16" t="s">
        <v>99</v>
      </c>
      <c r="C372" s="17">
        <v>46007</v>
      </c>
      <c r="D372" s="16" t="s">
        <v>308</v>
      </c>
      <c r="E372" s="16" t="s">
        <v>149</v>
      </c>
      <c r="F372" s="16">
        <v>28090</v>
      </c>
      <c r="G372" s="18" t="s">
        <v>1442</v>
      </c>
      <c r="H372" s="16" t="s">
        <v>41</v>
      </c>
      <c r="I372" s="19" t="s">
        <v>76</v>
      </c>
      <c r="J372" s="16" t="str">
        <f>IFERROR(VLOOKUP(I372,[1]Sheet1!$A$1:$B$200,2,0),"_")</f>
        <v>NJ</v>
      </c>
      <c r="K372" s="19" t="s">
        <v>76</v>
      </c>
      <c r="L372" s="16" t="str">
        <f>IFERROR(VLOOKUP(K372,[1]Sheet1!$A$1:$B$200,2,0),"-")</f>
        <v>NJ</v>
      </c>
      <c r="M372" s="19" t="s">
        <v>273</v>
      </c>
      <c r="N372" s="16" t="str">
        <f>IFERROR(VLOOKUP(M372,[1]Sheet1!$G$2:$H$200,2,0),"-")</f>
        <v>DJSC</v>
      </c>
      <c r="O372" s="18" t="s">
        <v>55</v>
      </c>
      <c r="P372" s="17" t="s">
        <v>55</v>
      </c>
      <c r="Q372" s="20" t="s">
        <v>1559</v>
      </c>
      <c r="R372" s="20"/>
      <c r="S372" s="21" t="str" cm="1">
        <f t="array" ref="S372">IF(
OR(AD372="",ISERROR(AD372)),
"-",
_xlfn.UNIQUE(_xlfn._xlws.FILTER([1]Sheet1!$D$2:$D$200,ISNUMBER(SEARCH(AD372,[1]Sheet1!$D$2:$D$200))))
)</f>
        <v>태성종합물류</v>
      </c>
      <c r="T372" s="22" t="s">
        <v>1560</v>
      </c>
      <c r="U372" s="16" t="str" cm="1">
        <f t="array" ref="U372">IF(
OR(AD372="",ISERROR(AD372)),
"-",
_xlfn.UNIQUE(_xlfn._xlws.FILTER([1]Sheet1!$D$2:$D$200,ISNUMBER(SEARCH(AD372,[1]Sheet1!$D$2:$D$200))))
)</f>
        <v>태성종합물류</v>
      </c>
      <c r="V372" s="23">
        <v>415000</v>
      </c>
      <c r="W372" s="23">
        <v>388200</v>
      </c>
      <c r="X372" s="23">
        <f t="shared" si="13"/>
        <v>26800</v>
      </c>
      <c r="Y372" s="25" t="s">
        <v>1561</v>
      </c>
      <c r="Z372" s="19" t="s">
        <v>51</v>
      </c>
      <c r="AA372" s="19" t="s">
        <v>93</v>
      </c>
      <c r="AB372" s="18" t="s">
        <v>1445</v>
      </c>
      <c r="AC372" s="17" t="str">
        <f t="shared" si="12"/>
        <v>Y</v>
      </c>
      <c r="AD372" s="17" t="s">
        <v>82</v>
      </c>
      <c r="AE372" s="26">
        <v>0.33333333333333331</v>
      </c>
      <c r="AF372" s="27"/>
      <c r="AG372" s="27"/>
      <c r="AI372" s="49" t="s">
        <v>57</v>
      </c>
    </row>
    <row r="373" spans="1:35" ht="34.950000000000003" customHeight="1" x14ac:dyDescent="0.4">
      <c r="A373" s="16" t="s">
        <v>71</v>
      </c>
      <c r="B373" s="16" t="s">
        <v>99</v>
      </c>
      <c r="C373" s="17">
        <v>46007</v>
      </c>
      <c r="D373" s="16" t="s">
        <v>126</v>
      </c>
      <c r="E373" s="16" t="s">
        <v>199</v>
      </c>
      <c r="F373" s="16">
        <v>22141</v>
      </c>
      <c r="G373" s="18" t="s">
        <v>1417</v>
      </c>
      <c r="H373" s="16" t="s">
        <v>711</v>
      </c>
      <c r="I373" s="19" t="s">
        <v>76</v>
      </c>
      <c r="J373" s="16" t="str">
        <f>IFERROR(VLOOKUP(I373,[1]Sheet1!$A$1:$B$200,2,0),"_")</f>
        <v>NJ</v>
      </c>
      <c r="K373" s="19" t="s">
        <v>76</v>
      </c>
      <c r="L373" s="16" t="str">
        <f>IFERROR(VLOOKUP(K373,[1]Sheet1!$A$1:$B$200,2,0),"-")</f>
        <v>NJ</v>
      </c>
      <c r="M373" s="19" t="s">
        <v>211</v>
      </c>
      <c r="N373" s="16" t="str">
        <f>IFERROR(VLOOKUP(M373,[1]Sheet1!$G$2:$H$200,2,0),"-")</f>
        <v>SITC</v>
      </c>
      <c r="O373" s="18" t="s">
        <v>55</v>
      </c>
      <c r="P373" s="17" t="s">
        <v>55</v>
      </c>
      <c r="Q373" s="20" t="s">
        <v>1562</v>
      </c>
      <c r="R373" s="20"/>
      <c r="S373" s="21" t="str" cm="1">
        <f t="array" ref="S373">IF(
OR(AD373="",ISERROR(AD373)),
"-",
_xlfn.UNIQUE(_xlfn._xlws.FILTER([1]Sheet1!$D$2:$D$200,ISNUMBER(SEARCH(AD373,[1]Sheet1!$D$2:$D$200))))
)</f>
        <v>로지아이솔루션</v>
      </c>
      <c r="T373" s="22" t="s">
        <v>583</v>
      </c>
      <c r="U373" s="16" t="str" cm="1">
        <f t="array" ref="U373">IF(
OR(AD373="",ISERROR(AD373)),
"-",
_xlfn.UNIQUE(_xlfn._xlws.FILTER([1]Sheet1!$D$2:$D$200,ISNUMBER(SEARCH(AD373,[1]Sheet1!$D$2:$D$200))))
)</f>
        <v>로지아이솔루션</v>
      </c>
      <c r="V373" s="23">
        <v>270000</v>
      </c>
      <c r="W373" s="23">
        <v>259850</v>
      </c>
      <c r="X373" s="23">
        <f t="shared" si="13"/>
        <v>10150</v>
      </c>
      <c r="Y373" s="25" t="s">
        <v>1420</v>
      </c>
      <c r="Z373" s="19" t="s">
        <v>51</v>
      </c>
      <c r="AA373" s="19" t="s">
        <v>81</v>
      </c>
      <c r="AB373" s="18" t="s">
        <v>205</v>
      </c>
      <c r="AC373" s="17" t="str">
        <f t="shared" si="12"/>
        <v>Y</v>
      </c>
      <c r="AD373" s="17" t="s">
        <v>206</v>
      </c>
      <c r="AE373" s="26">
        <v>0.35416666666666669</v>
      </c>
      <c r="AF373" s="27"/>
      <c r="AG373" s="27"/>
      <c r="AI373" s="49" t="s">
        <v>57</v>
      </c>
    </row>
    <row r="374" spans="1:35" ht="34.950000000000003" customHeight="1" x14ac:dyDescent="0.4">
      <c r="A374" s="16" t="s">
        <v>36</v>
      </c>
      <c r="B374" s="16" t="s">
        <v>37</v>
      </c>
      <c r="C374" s="17">
        <v>46007</v>
      </c>
      <c r="D374" s="16" t="s">
        <v>611</v>
      </c>
      <c r="E374" s="16" t="s">
        <v>611</v>
      </c>
      <c r="F374" s="16">
        <v>7510</v>
      </c>
      <c r="G374" s="18" t="s">
        <v>1433</v>
      </c>
      <c r="H374" s="16" t="s">
        <v>711</v>
      </c>
      <c r="I374" s="19" t="s">
        <v>137</v>
      </c>
      <c r="J374" s="16" t="str">
        <f>IFERROR(VLOOKUP(I374,[1]Sheet1!$A$1:$B$200,2,0),"_")</f>
        <v>BE</v>
      </c>
      <c r="K374" s="19" t="s">
        <v>1563</v>
      </c>
      <c r="L374" s="16" t="str">
        <f>IFERROR(VLOOKUP(K374,[1]Sheet1!$A$1:$B$200,2,0),"-")</f>
        <v>P</v>
      </c>
      <c r="M374" s="19" t="s">
        <v>191</v>
      </c>
      <c r="N374" s="16" t="str">
        <f>IFERROR(VLOOKUP(M374,[1]Sheet1!$G$2:$H$200,2,0),"-")</f>
        <v>HASL</v>
      </c>
      <c r="O374" s="18" t="s">
        <v>1564</v>
      </c>
      <c r="P374" s="17">
        <v>46020</v>
      </c>
      <c r="Q374" s="20" t="s">
        <v>1565</v>
      </c>
      <c r="R374" s="20" t="s">
        <v>1566</v>
      </c>
      <c r="S374" s="21" t="str" cm="1">
        <f t="array" ref="S374">IF(
OR(AD374="",ISERROR(AD374)),
"-",
_xlfn.UNIQUE(_xlfn._xlws.FILTER([1]Sheet1!$D$2:$D$200,ISNUMBER(SEARCH(AD374,[1]Sheet1!$D$2:$D$200))))
)</f>
        <v>(주)비에스물류</v>
      </c>
      <c r="T374" s="22" t="s">
        <v>1567</v>
      </c>
      <c r="U374" s="16" t="str" cm="1">
        <f t="array" ref="U374">IF(
OR(AD374="",ISERROR(AD374)),
"-",
_xlfn.UNIQUE(_xlfn._xlws.FILTER([1]Sheet1!$D$2:$D$200,ISNUMBER(SEARCH(AD374,[1]Sheet1!$D$2:$D$200))))
)</f>
        <v>(주)비에스물류</v>
      </c>
      <c r="V374" s="23">
        <v>860000</v>
      </c>
      <c r="W374" s="23">
        <v>722500</v>
      </c>
      <c r="X374" s="23">
        <f t="shared" si="13"/>
        <v>137500</v>
      </c>
      <c r="Y374" s="25" t="s">
        <v>1568</v>
      </c>
      <c r="Z374" s="19" t="s">
        <v>51</v>
      </c>
      <c r="AA374" s="19" t="s">
        <v>81</v>
      </c>
      <c r="AB374" s="18" t="s">
        <v>1569</v>
      </c>
      <c r="AC374" s="17" t="str">
        <f t="shared" si="12"/>
        <v>Y</v>
      </c>
      <c r="AD374" s="17" t="s">
        <v>288</v>
      </c>
      <c r="AE374" s="26">
        <v>0.375</v>
      </c>
      <c r="AF374" s="27"/>
      <c r="AG374" s="27"/>
      <c r="AI374" s="49" t="s">
        <v>57</v>
      </c>
    </row>
    <row r="375" spans="1:35" ht="34.950000000000003" customHeight="1" x14ac:dyDescent="0.4">
      <c r="A375" s="16" t="s">
        <v>36</v>
      </c>
      <c r="B375" s="16" t="s">
        <v>37</v>
      </c>
      <c r="C375" s="17">
        <v>46007</v>
      </c>
      <c r="D375" s="16" t="s">
        <v>611</v>
      </c>
      <c r="E375" s="16" t="s">
        <v>611</v>
      </c>
      <c r="F375" s="16">
        <v>7510</v>
      </c>
      <c r="G375" s="18" t="s">
        <v>1433</v>
      </c>
      <c r="H375" s="16" t="s">
        <v>711</v>
      </c>
      <c r="I375" s="19" t="s">
        <v>137</v>
      </c>
      <c r="J375" s="16" t="str">
        <f>IFERROR(VLOOKUP(I375,[1]Sheet1!$A$1:$B$200,2,0),"_")</f>
        <v>BE</v>
      </c>
      <c r="K375" s="19" t="s">
        <v>1563</v>
      </c>
      <c r="L375" s="16" t="str">
        <f>IFERROR(VLOOKUP(K375,[1]Sheet1!$A$1:$B$200,2,0),"-")</f>
        <v>P</v>
      </c>
      <c r="M375" s="19" t="s">
        <v>191</v>
      </c>
      <c r="N375" s="16" t="str">
        <f>IFERROR(VLOOKUP(M375,[1]Sheet1!$G$2:$H$200,2,0),"-")</f>
        <v>HASL</v>
      </c>
      <c r="O375" s="18" t="s">
        <v>1564</v>
      </c>
      <c r="P375" s="17">
        <v>46020</v>
      </c>
      <c r="Q375" s="20" t="s">
        <v>1565</v>
      </c>
      <c r="R375" s="20" t="s">
        <v>1566</v>
      </c>
      <c r="S375" s="21" t="str" cm="1">
        <f t="array" ref="S375">IF(
OR(AD375="",ISERROR(AD375)),
"-",
_xlfn.UNIQUE(_xlfn._xlws.FILTER([1]Sheet1!$D$2:$D$200,ISNUMBER(SEARCH(AD375,[1]Sheet1!$D$2:$D$200))))
)</f>
        <v>(주)비에스물류</v>
      </c>
      <c r="T375" s="22" t="s">
        <v>1567</v>
      </c>
      <c r="U375" s="16" t="str" cm="1">
        <f t="array" ref="U375">IF(
OR(AD375="",ISERROR(AD375)),
"-",
_xlfn.UNIQUE(_xlfn._xlws.FILTER([1]Sheet1!$D$2:$D$200,ISNUMBER(SEARCH(AD375,[1]Sheet1!$D$2:$D$200))))
)</f>
        <v>(주)비에스물류</v>
      </c>
      <c r="V375" s="23">
        <v>240000</v>
      </c>
      <c r="W375" s="23">
        <v>80000</v>
      </c>
      <c r="X375" s="23">
        <f t="shared" si="13"/>
        <v>160000</v>
      </c>
      <c r="Y375" s="25" t="s">
        <v>1570</v>
      </c>
      <c r="Z375" s="19" t="s">
        <v>51</v>
      </c>
      <c r="AA375" s="19" t="s">
        <v>81</v>
      </c>
      <c r="AB375" s="18" t="s">
        <v>1569</v>
      </c>
      <c r="AC375" s="17" t="str">
        <f t="shared" si="12"/>
        <v>Y</v>
      </c>
      <c r="AD375" s="17" t="s">
        <v>288</v>
      </c>
      <c r="AE375" s="26">
        <v>0.375</v>
      </c>
      <c r="AF375" s="27"/>
      <c r="AG375" s="27"/>
      <c r="AI375" s="49" t="s">
        <v>57</v>
      </c>
    </row>
    <row r="376" spans="1:35" ht="34.950000000000003" customHeight="1" x14ac:dyDescent="0.4">
      <c r="A376" s="16" t="s">
        <v>36</v>
      </c>
      <c r="B376" s="16" t="s">
        <v>37</v>
      </c>
      <c r="C376" s="17">
        <v>46007</v>
      </c>
      <c r="D376" s="16" t="s">
        <v>100</v>
      </c>
      <c r="E376" s="16" t="s">
        <v>1571</v>
      </c>
      <c r="F376" s="16">
        <v>28886</v>
      </c>
      <c r="G376" s="18" t="s">
        <v>1572</v>
      </c>
      <c r="H376" s="16" t="s">
        <v>75</v>
      </c>
      <c r="I376" s="19" t="s">
        <v>42</v>
      </c>
      <c r="J376" s="16" t="str">
        <f>IFERROR(VLOOKUP(I376,[1]Sheet1!$A$1:$B$200,2,0),"_")</f>
        <v>P</v>
      </c>
      <c r="K376" s="19" t="s">
        <v>272</v>
      </c>
      <c r="L376" s="16" t="str">
        <f>IFERROR(VLOOKUP(K376,[1]Sheet1!$A$1:$B$200,2,0),"-")</f>
        <v>Z9</v>
      </c>
      <c r="M376" s="19" t="s">
        <v>667</v>
      </c>
      <c r="N376" s="16" t="str">
        <f>IFERROR(VLOOKUP(M376,[1]Sheet1!$G$2:$H$200,2,0),"-")</f>
        <v>CKCO</v>
      </c>
      <c r="O376" s="18" t="s">
        <v>1573</v>
      </c>
      <c r="P376" s="17">
        <v>46008</v>
      </c>
      <c r="Q376" s="20" t="s">
        <v>1574</v>
      </c>
      <c r="R376" s="20" t="s">
        <v>1575</v>
      </c>
      <c r="S376" s="21" t="str" cm="1">
        <f t="array" ref="S376">IF(
OR(AD376="",ISERROR(AD376)),
"-",
_xlfn.UNIQUE(_xlfn._xlws.FILTER([1]Sheet1!$D$2:$D$200,ISNUMBER(SEARCH(AD376,[1]Sheet1!$D$2:$D$200))))
)</f>
        <v>(주)부강에너지</v>
      </c>
      <c r="T376" s="22" t="s">
        <v>1576</v>
      </c>
      <c r="U376" s="16" t="str" cm="1">
        <f t="array" ref="U376">IF(
OR(AD376="",ISERROR(AD376)),
"-",
_xlfn.UNIQUE(_xlfn._xlws.FILTER([1]Sheet1!$D$2:$D$200,ISNUMBER(SEARCH(AD376,[1]Sheet1!$D$2:$D$200))))
)</f>
        <v>(주)부강에너지</v>
      </c>
      <c r="V376" s="23">
        <v>185000</v>
      </c>
      <c r="W376" s="23">
        <v>169000</v>
      </c>
      <c r="X376" s="23">
        <f t="shared" si="13"/>
        <v>16000</v>
      </c>
      <c r="Y376" s="25" t="s">
        <v>1577</v>
      </c>
      <c r="Z376" s="19" t="s">
        <v>51</v>
      </c>
      <c r="AA376" s="19" t="s">
        <v>81</v>
      </c>
      <c r="AB376" s="30"/>
      <c r="AC376" s="17" t="str">
        <f t="shared" si="12"/>
        <v>Y</v>
      </c>
      <c r="AD376" s="17" t="s">
        <v>197</v>
      </c>
      <c r="AE376" s="26">
        <v>0.375</v>
      </c>
      <c r="AF376" s="27"/>
      <c r="AG376" s="27"/>
      <c r="AI376" s="49" t="s">
        <v>57</v>
      </c>
    </row>
    <row r="377" spans="1:35" ht="34.950000000000003" customHeight="1" x14ac:dyDescent="0.4">
      <c r="A377" s="16" t="s">
        <v>36</v>
      </c>
      <c r="B377" s="16" t="s">
        <v>37</v>
      </c>
      <c r="C377" s="17">
        <v>46007</v>
      </c>
      <c r="D377" s="16" t="s">
        <v>229</v>
      </c>
      <c r="E377" s="16" t="s">
        <v>229</v>
      </c>
      <c r="F377" s="16">
        <v>3641</v>
      </c>
      <c r="G377" s="18" t="s">
        <v>1461</v>
      </c>
      <c r="H377" s="16" t="s">
        <v>75</v>
      </c>
      <c r="I377" s="19" t="s">
        <v>137</v>
      </c>
      <c r="J377" s="16" t="str">
        <f>IFERROR(VLOOKUP(I377,[1]Sheet1!$A$1:$B$200,2,0),"_")</f>
        <v>BE</v>
      </c>
      <c r="K377" s="19" t="s">
        <v>751</v>
      </c>
      <c r="L377" s="16" t="str">
        <f>IFERROR(VLOOKUP(K377,[1]Sheet1!$A$1:$B$200,2,0),"-")</f>
        <v>PN</v>
      </c>
      <c r="M377" s="19" t="s">
        <v>159</v>
      </c>
      <c r="N377" s="16" t="str">
        <f>IFERROR(VLOOKUP(M377,[1]Sheet1!$G$2:$H$200,2,0),"-")</f>
        <v>MAEU</v>
      </c>
      <c r="O377" s="18" t="s">
        <v>1578</v>
      </c>
      <c r="P377" s="17">
        <v>46011</v>
      </c>
      <c r="Q377" s="20" t="s">
        <v>1579</v>
      </c>
      <c r="R377" s="20" t="s">
        <v>1580</v>
      </c>
      <c r="S377" s="21" t="str" cm="1">
        <f t="array" ref="S377">IF(
OR(AD377="",ISERROR(AD377)),
"-",
_xlfn.UNIQUE(_xlfn._xlws.FILTER([1]Sheet1!$D$2:$D$200,ISNUMBER(SEARCH(AD377,[1]Sheet1!$D$2:$D$200))))
)</f>
        <v>양양운수(주)</v>
      </c>
      <c r="T377" s="22" t="s">
        <v>1096</v>
      </c>
      <c r="U377" s="16" t="str" cm="1">
        <f t="array" ref="U377">IF(
OR(AD377="",ISERROR(AD377)),
"-",
_xlfn.UNIQUE(_xlfn._xlws.FILTER([1]Sheet1!$D$2:$D$200,ISNUMBER(SEARCH(AD377,[1]Sheet1!$D$2:$D$200))))
)</f>
        <v>양양운수(주)</v>
      </c>
      <c r="V377" s="23">
        <v>760000</v>
      </c>
      <c r="W377" s="23">
        <v>681700</v>
      </c>
      <c r="X377" s="23">
        <f t="shared" si="13"/>
        <v>78300</v>
      </c>
      <c r="Y377" s="25" t="s">
        <v>1581</v>
      </c>
      <c r="Z377" s="19" t="s">
        <v>51</v>
      </c>
      <c r="AA377" s="19" t="s">
        <v>81</v>
      </c>
      <c r="AB377" s="18" t="s">
        <v>1582</v>
      </c>
      <c r="AC377" s="17" t="str">
        <f t="shared" si="12"/>
        <v>Y</v>
      </c>
      <c r="AD377" s="17" t="s">
        <v>619</v>
      </c>
      <c r="AE377" s="26">
        <v>0.54166666666666663</v>
      </c>
      <c r="AF377" s="27"/>
      <c r="AG377" s="27"/>
      <c r="AI377" s="28" t="s">
        <v>57</v>
      </c>
    </row>
    <row r="378" spans="1:35" ht="34.950000000000003" customHeight="1" x14ac:dyDescent="0.4">
      <c r="A378" s="16" t="s">
        <v>71</v>
      </c>
      <c r="B378" s="16" t="s">
        <v>99</v>
      </c>
      <c r="C378" s="17">
        <v>46007</v>
      </c>
      <c r="D378" s="16" t="s">
        <v>126</v>
      </c>
      <c r="E378" s="16" t="s">
        <v>199</v>
      </c>
      <c r="F378" s="16">
        <v>22141</v>
      </c>
      <c r="G378" s="18" t="s">
        <v>1417</v>
      </c>
      <c r="H378" s="16" t="s">
        <v>1263</v>
      </c>
      <c r="I378" s="19" t="s">
        <v>843</v>
      </c>
      <c r="J378" s="16" t="str">
        <f>IFERROR(VLOOKUP(I378,[1]Sheet1!$A$1:$B$200,2,0),"_")</f>
        <v>NJ</v>
      </c>
      <c r="K378" s="19" t="s">
        <v>843</v>
      </c>
      <c r="L378" s="16" t="str">
        <f>IFERROR(VLOOKUP(K378,[1]Sheet1!$A$1:$B$200,2,0),"-")</f>
        <v>NJ</v>
      </c>
      <c r="M378" s="19" t="s">
        <v>211</v>
      </c>
      <c r="N378" s="16" t="str">
        <f>IFERROR(VLOOKUP(M378,[1]Sheet1!$G$2:$H$200,2,0),"-")</f>
        <v>SITC</v>
      </c>
      <c r="O378" s="18" t="s">
        <v>55</v>
      </c>
      <c r="P378" s="17" t="s">
        <v>55</v>
      </c>
      <c r="Q378" s="20" t="s">
        <v>1583</v>
      </c>
      <c r="R378" s="20"/>
      <c r="S378" s="21" t="str" cm="1">
        <f t="array" ref="S378">IF(
OR(AD378="",ISERROR(AD378)),
"-",
_xlfn.UNIQUE(_xlfn._xlws.FILTER([1]Sheet1!$D$2:$D$200,ISNUMBER(SEARCH(AD378,[1]Sheet1!$D$2:$D$200))))
)</f>
        <v>로지아이솔루션</v>
      </c>
      <c r="T378" s="22" t="s">
        <v>1584</v>
      </c>
      <c r="U378" s="16" t="str" cm="1">
        <f t="array" ref="U378">IF(
OR(AD378="",ISERROR(AD378)),
"-",
_xlfn.UNIQUE(_xlfn._xlws.FILTER([1]Sheet1!$D$2:$D$200,ISNUMBER(SEARCH(AD378,[1]Sheet1!$D$2:$D$200))))
)</f>
        <v>로지아이솔루션</v>
      </c>
      <c r="V378" s="23">
        <v>270000</v>
      </c>
      <c r="W378" s="23">
        <v>259850</v>
      </c>
      <c r="X378" s="23">
        <f t="shared" si="13"/>
        <v>10150</v>
      </c>
      <c r="Y378" s="25" t="s">
        <v>1420</v>
      </c>
      <c r="Z378" s="19" t="s">
        <v>51</v>
      </c>
      <c r="AA378" s="19" t="s">
        <v>81</v>
      </c>
      <c r="AB378" s="18" t="s">
        <v>205</v>
      </c>
      <c r="AC378" s="17" t="str">
        <f t="shared" si="12"/>
        <v>Y</v>
      </c>
      <c r="AD378" s="17" t="s">
        <v>206</v>
      </c>
      <c r="AE378" s="26">
        <v>0.5625</v>
      </c>
      <c r="AF378" s="27"/>
      <c r="AG378" s="27"/>
      <c r="AI378" s="28" t="s">
        <v>57</v>
      </c>
    </row>
    <row r="379" spans="1:35" ht="34.950000000000003" customHeight="1" x14ac:dyDescent="0.4">
      <c r="A379" s="16" t="s">
        <v>71</v>
      </c>
      <c r="B379" s="16" t="s">
        <v>99</v>
      </c>
      <c r="C379" s="17">
        <v>46007</v>
      </c>
      <c r="D379" s="16" t="s">
        <v>126</v>
      </c>
      <c r="E379" s="16" t="s">
        <v>1585</v>
      </c>
      <c r="F379" s="16">
        <v>28257</v>
      </c>
      <c r="G379" s="18" t="s">
        <v>1586</v>
      </c>
      <c r="H379" s="16" t="s">
        <v>75</v>
      </c>
      <c r="I379" s="19" t="s">
        <v>129</v>
      </c>
      <c r="J379" s="16" t="str">
        <f>IFERROR(VLOOKUP(I379,[1]Sheet1!$A$1:$B$200,2,0),"_")</f>
        <v>E1</v>
      </c>
      <c r="K379" s="19" t="s">
        <v>129</v>
      </c>
      <c r="L379" s="16" t="str">
        <f>IFERROR(VLOOKUP(K379,[1]Sheet1!$A$1:$B$200,2,0),"-")</f>
        <v>E1</v>
      </c>
      <c r="M379" s="19" t="s">
        <v>130</v>
      </c>
      <c r="N379" s="16" t="str">
        <f>IFERROR(VLOOKUP(M379,[1]Sheet1!$G$2:$H$200,2,0),"-")</f>
        <v>PCLU</v>
      </c>
      <c r="O379" s="18" t="s">
        <v>55</v>
      </c>
      <c r="P379" s="17" t="s">
        <v>55</v>
      </c>
      <c r="Q379" s="20" t="s">
        <v>1587</v>
      </c>
      <c r="R379" s="20"/>
      <c r="S379" s="21" t="str" cm="1">
        <f t="array" ref="S379">IF(
OR(AD379="",ISERROR(AD379)),
"-",
_xlfn.UNIQUE(_xlfn._xlws.FILTER([1]Sheet1!$D$2:$D$200,ISNUMBER(SEARCH(AD379,[1]Sheet1!$D$2:$D$200))))
)</f>
        <v>로지아이솔루션</v>
      </c>
      <c r="T379" s="22" t="s">
        <v>1588</v>
      </c>
      <c r="U379" s="16" t="str" cm="1">
        <f t="array" ref="U379">IF(
OR(AD379="",ISERROR(AD379)),
"-",
_xlfn.UNIQUE(_xlfn._xlws.FILTER([1]Sheet1!$D$2:$D$200,ISNUMBER(SEARCH(AD379,[1]Sheet1!$D$2:$D$200))))
)</f>
        <v>로지아이솔루션</v>
      </c>
      <c r="V379" s="23">
        <v>299000</v>
      </c>
      <c r="W379" s="23">
        <v>290450</v>
      </c>
      <c r="X379" s="23">
        <f t="shared" si="13"/>
        <v>8550</v>
      </c>
      <c r="Y379" s="25" t="s">
        <v>1589</v>
      </c>
      <c r="Z379" s="19" t="s">
        <v>51</v>
      </c>
      <c r="AA379" s="19" t="s">
        <v>81</v>
      </c>
      <c r="AB379" s="18" t="s">
        <v>205</v>
      </c>
      <c r="AC379" s="17" t="str">
        <f t="shared" si="12"/>
        <v>Y</v>
      </c>
      <c r="AD379" s="17" t="s">
        <v>206</v>
      </c>
      <c r="AE379" s="26">
        <v>0.41666666666666669</v>
      </c>
      <c r="AF379" s="27"/>
      <c r="AG379" s="27"/>
      <c r="AI379" s="28" t="s">
        <v>57</v>
      </c>
    </row>
    <row r="380" spans="1:35" ht="34.950000000000003" customHeight="1" x14ac:dyDescent="0.4">
      <c r="A380" s="16" t="s">
        <v>36</v>
      </c>
      <c r="B380" s="16" t="s">
        <v>37</v>
      </c>
      <c r="C380" s="17">
        <v>46007</v>
      </c>
      <c r="D380" s="16" t="s">
        <v>229</v>
      </c>
      <c r="E380" s="16" t="s">
        <v>229</v>
      </c>
      <c r="F380" s="16">
        <v>3641</v>
      </c>
      <c r="G380" s="18" t="s">
        <v>1461</v>
      </c>
      <c r="H380" s="16" t="s">
        <v>41</v>
      </c>
      <c r="I380" s="19" t="s">
        <v>137</v>
      </c>
      <c r="J380" s="16" t="str">
        <f>IFERROR(VLOOKUP(I380,[1]Sheet1!$A$1:$B$200,2,0),"_")</f>
        <v>BE</v>
      </c>
      <c r="K380" s="19" t="s">
        <v>42</v>
      </c>
      <c r="L380" s="16" t="str">
        <f>IFERROR(VLOOKUP(K380,[1]Sheet1!$A$1:$B$200,2,0),"-")</f>
        <v>P</v>
      </c>
      <c r="M380" s="19" t="s">
        <v>578</v>
      </c>
      <c r="N380" s="16" t="str">
        <f>IFERROR(VLOOKUP(M380,[1]Sheet1!$G$2:$H$200,2,0),"-")</f>
        <v>PCSL</v>
      </c>
      <c r="O380" s="18" t="s">
        <v>1590</v>
      </c>
      <c r="P380" s="17">
        <v>46009</v>
      </c>
      <c r="Q380" s="20" t="s">
        <v>1591</v>
      </c>
      <c r="R380" s="20" t="s">
        <v>1592</v>
      </c>
      <c r="S380" s="21" t="str" cm="1">
        <f t="array" ref="S380">IF(
OR(AD380="",ISERROR(AD380)),
"-",
_xlfn.UNIQUE(_xlfn._xlws.FILTER([1]Sheet1!$D$2:$D$200,ISNUMBER(SEARCH(AD380,[1]Sheet1!$D$2:$D$200))))
)</f>
        <v>양양운수(주)</v>
      </c>
      <c r="T380" s="22" t="s">
        <v>1593</v>
      </c>
      <c r="U380" s="16" t="str" cm="1">
        <f t="array" ref="U380">IF(
OR(AD380="",ISERROR(AD380)),
"-",
_xlfn.UNIQUE(_xlfn._xlws.FILTER([1]Sheet1!$D$2:$D$200,ISNUMBER(SEARCH(AD380,[1]Sheet1!$D$2:$D$200))))
)</f>
        <v>양양운수(주)</v>
      </c>
      <c r="V380" s="23">
        <v>860000</v>
      </c>
      <c r="W380" s="23">
        <v>774300</v>
      </c>
      <c r="X380" s="23">
        <f t="shared" si="13"/>
        <v>85700</v>
      </c>
      <c r="Y380" s="25" t="s">
        <v>1594</v>
      </c>
      <c r="Z380" s="19" t="s">
        <v>51</v>
      </c>
      <c r="AA380" s="19" t="s">
        <v>81</v>
      </c>
      <c r="AB380" s="18" t="s">
        <v>1595</v>
      </c>
      <c r="AC380" s="17" t="str">
        <f t="shared" si="12"/>
        <v>Y</v>
      </c>
      <c r="AD380" s="17" t="s">
        <v>619</v>
      </c>
      <c r="AE380" s="26">
        <v>0.375</v>
      </c>
      <c r="AF380" s="27"/>
      <c r="AG380" s="27"/>
      <c r="AI380" s="28" t="s">
        <v>57</v>
      </c>
    </row>
    <row r="381" spans="1:35" ht="34.950000000000003" customHeight="1" x14ac:dyDescent="0.4">
      <c r="A381" s="16" t="s">
        <v>36</v>
      </c>
      <c r="B381" s="16" t="s">
        <v>37</v>
      </c>
      <c r="C381" s="17">
        <v>46007</v>
      </c>
      <c r="D381" s="16" t="s">
        <v>229</v>
      </c>
      <c r="E381" s="16" t="s">
        <v>229</v>
      </c>
      <c r="F381" s="16">
        <v>3641</v>
      </c>
      <c r="G381" s="18" t="s">
        <v>1461</v>
      </c>
      <c r="H381" s="16" t="s">
        <v>41</v>
      </c>
      <c r="I381" s="19" t="s">
        <v>137</v>
      </c>
      <c r="J381" s="16" t="str">
        <f>IFERROR(VLOOKUP(I381,[1]Sheet1!$A$1:$B$200,2,0),"_")</f>
        <v>BE</v>
      </c>
      <c r="K381" s="19" t="s">
        <v>42</v>
      </c>
      <c r="L381" s="16" t="str">
        <f>IFERROR(VLOOKUP(K381,[1]Sheet1!$A$1:$B$200,2,0),"-")</f>
        <v>P</v>
      </c>
      <c r="M381" s="19" t="s">
        <v>578</v>
      </c>
      <c r="N381" s="16" t="str">
        <f>IFERROR(VLOOKUP(M381,[1]Sheet1!$G$2:$H$200,2,0),"-")</f>
        <v>PCSL</v>
      </c>
      <c r="O381" s="18" t="s">
        <v>1590</v>
      </c>
      <c r="P381" s="17">
        <v>46009</v>
      </c>
      <c r="Q381" s="20" t="s">
        <v>1591</v>
      </c>
      <c r="R381" s="20" t="s">
        <v>1592</v>
      </c>
      <c r="S381" s="21" t="str" cm="1">
        <f t="array" ref="S381">IF(
OR(AD381="",ISERROR(AD381)),
"-",
_xlfn.UNIQUE(_xlfn._xlws.FILTER([1]Sheet1!$D$2:$D$200,ISNUMBER(SEARCH(AD381,[1]Sheet1!$D$2:$D$200))))
)</f>
        <v>양양운수(주)</v>
      </c>
      <c r="T381" s="22" t="s">
        <v>1593</v>
      </c>
      <c r="U381" s="16" t="str" cm="1">
        <f t="array" ref="U381">IF(
OR(AD381="",ISERROR(AD381)),
"-",
_xlfn.UNIQUE(_xlfn._xlws.FILTER([1]Sheet1!$D$2:$D$200,ISNUMBER(SEARCH(AD381,[1]Sheet1!$D$2:$D$200))))
)</f>
        <v>양양운수(주)</v>
      </c>
      <c r="V381" s="23">
        <v>150000</v>
      </c>
      <c r="W381" s="23">
        <v>146000</v>
      </c>
      <c r="X381" s="23">
        <f t="shared" si="13"/>
        <v>4000</v>
      </c>
      <c r="Y381" s="25" t="s">
        <v>1596</v>
      </c>
      <c r="Z381" s="19" t="s">
        <v>51</v>
      </c>
      <c r="AA381" s="19" t="s">
        <v>81</v>
      </c>
      <c r="AB381" s="18" t="s">
        <v>1595</v>
      </c>
      <c r="AC381" s="17" t="str">
        <f t="shared" si="12"/>
        <v>Y</v>
      </c>
      <c r="AD381" s="17" t="s">
        <v>619</v>
      </c>
      <c r="AE381" s="26">
        <v>0.375</v>
      </c>
      <c r="AF381" s="27"/>
      <c r="AG381" s="27"/>
      <c r="AI381" s="28" t="s">
        <v>57</v>
      </c>
    </row>
    <row r="382" spans="1:35" ht="34.950000000000003" customHeight="1" x14ac:dyDescent="0.4">
      <c r="A382" s="16" t="s">
        <v>36</v>
      </c>
      <c r="B382" s="16" t="s">
        <v>37</v>
      </c>
      <c r="C382" s="17">
        <v>46007</v>
      </c>
      <c r="D382" s="16" t="s">
        <v>126</v>
      </c>
      <c r="E382" s="16" t="s">
        <v>271</v>
      </c>
      <c r="F382" s="16">
        <v>23704</v>
      </c>
      <c r="G382" s="18" t="s">
        <v>1597</v>
      </c>
      <c r="H382" s="16" t="s">
        <v>75</v>
      </c>
      <c r="I382" s="19" t="s">
        <v>137</v>
      </c>
      <c r="J382" s="16" t="str">
        <f>IFERROR(VLOOKUP(I382,[1]Sheet1!$A$1:$B$200,2,0),"_")</f>
        <v>BE</v>
      </c>
      <c r="K382" s="19" t="s">
        <v>272</v>
      </c>
      <c r="L382" s="16" t="str">
        <f>IFERROR(VLOOKUP(K382,[1]Sheet1!$A$1:$B$200,2,0),"-")</f>
        <v>Z9</v>
      </c>
      <c r="M382" s="19" t="s">
        <v>273</v>
      </c>
      <c r="N382" s="16" t="str">
        <f>IFERROR(VLOOKUP(M382,[1]Sheet1!$G$2:$H$200,2,0),"-")</f>
        <v>DJSC</v>
      </c>
      <c r="O382" s="18" t="s">
        <v>1598</v>
      </c>
      <c r="P382" s="17">
        <v>46009</v>
      </c>
      <c r="Q382" s="20" t="s">
        <v>1599</v>
      </c>
      <c r="R382" s="20" t="s">
        <v>1600</v>
      </c>
      <c r="S382" s="21" t="str" cm="1">
        <f t="array" ref="S382">IF(
OR(AD382="",ISERROR(AD382)),
"-",
_xlfn.UNIQUE(_xlfn._xlws.FILTER([1]Sheet1!$D$2:$D$200,ISNUMBER(SEARCH(AD382,[1]Sheet1!$D$2:$D$200))))
)</f>
        <v>양양운수(주)</v>
      </c>
      <c r="T382" s="22" t="s">
        <v>1601</v>
      </c>
      <c r="U382" s="16" t="str" cm="1">
        <f t="array" ref="U382">IF(
OR(AD382="",ISERROR(AD382)),
"-",
_xlfn.UNIQUE(_xlfn._xlws.FILTER([1]Sheet1!$D$2:$D$200,ISNUMBER(SEARCH(AD382,[1]Sheet1!$D$2:$D$200))))
)</f>
        <v>양양운수(주)</v>
      </c>
      <c r="V382" s="23">
        <v>700000</v>
      </c>
      <c r="W382" s="23">
        <v>651900</v>
      </c>
      <c r="X382" s="23">
        <f t="shared" si="13"/>
        <v>48100</v>
      </c>
      <c r="Y382" s="25" t="s">
        <v>1602</v>
      </c>
      <c r="Z382" s="19" t="s">
        <v>51</v>
      </c>
      <c r="AA382" s="19" t="s">
        <v>81</v>
      </c>
      <c r="AB382" s="18" t="s">
        <v>1603</v>
      </c>
      <c r="AC382" s="17" t="str">
        <f t="shared" si="12"/>
        <v>Y</v>
      </c>
      <c r="AD382" s="17" t="s">
        <v>619</v>
      </c>
      <c r="AE382" s="26">
        <v>0.45833333333333331</v>
      </c>
      <c r="AF382" s="27"/>
      <c r="AG382" s="27"/>
      <c r="AI382" s="28" t="s">
        <v>57</v>
      </c>
    </row>
    <row r="383" spans="1:35" ht="34.950000000000003" customHeight="1" x14ac:dyDescent="0.4">
      <c r="A383" s="16" t="s">
        <v>36</v>
      </c>
      <c r="B383" s="16" t="s">
        <v>37</v>
      </c>
      <c r="C383" s="17">
        <v>46007</v>
      </c>
      <c r="D383" s="16" t="s">
        <v>188</v>
      </c>
      <c r="E383" s="36" t="s">
        <v>189</v>
      </c>
      <c r="F383" s="16">
        <v>727</v>
      </c>
      <c r="G383" s="18" t="s">
        <v>998</v>
      </c>
      <c r="H383" s="16" t="s">
        <v>41</v>
      </c>
      <c r="I383" s="19" t="s">
        <v>42</v>
      </c>
      <c r="J383" s="16" t="str">
        <f>IFERROR(VLOOKUP(I383,[1]Sheet1!$A$1:$B$200,2,0),"_")</f>
        <v>P</v>
      </c>
      <c r="K383" s="19" t="s">
        <v>42</v>
      </c>
      <c r="L383" s="16" t="str">
        <f>IFERROR(VLOOKUP(K383,[1]Sheet1!$A$1:$B$200,2,0),"-")</f>
        <v>P</v>
      </c>
      <c r="M383" s="19" t="s">
        <v>273</v>
      </c>
      <c r="N383" s="16" t="str">
        <f>IFERROR(VLOOKUP(M383,[1]Sheet1!$G$2:$H$200,2,0),"-")</f>
        <v>DJSC</v>
      </c>
      <c r="O383" s="18" t="s">
        <v>1604</v>
      </c>
      <c r="P383" s="17">
        <v>46008</v>
      </c>
      <c r="Q383" s="20" t="s">
        <v>1605</v>
      </c>
      <c r="R383" s="20" t="s">
        <v>1606</v>
      </c>
      <c r="S383" s="21" t="str" cm="1">
        <f t="array" ref="S383">IF(
OR(AD383="",ISERROR(AD383)),
"-",
_xlfn.UNIQUE(_xlfn._xlws.FILTER([1]Sheet1!$D$2:$D$200,ISNUMBER(SEARCH(AD383,[1]Sheet1!$D$2:$D$200))))
)</f>
        <v>(주)부강에너지</v>
      </c>
      <c r="T383" s="22" t="s">
        <v>1607</v>
      </c>
      <c r="U383" s="16" t="str" cm="1">
        <f t="array" ref="U383">IF(
OR(AD383="",ISERROR(AD383)),
"-",
_xlfn.UNIQUE(_xlfn._xlws.FILTER([1]Sheet1!$D$2:$D$200,ISNUMBER(SEARCH(AD383,[1]Sheet1!$D$2:$D$200))))
)</f>
        <v>(주)부강에너지</v>
      </c>
      <c r="V383" s="23">
        <v>250000</v>
      </c>
      <c r="W383" s="23">
        <v>220000</v>
      </c>
      <c r="X383" s="23">
        <f t="shared" si="13"/>
        <v>30000</v>
      </c>
      <c r="Y383" s="25" t="s">
        <v>1608</v>
      </c>
      <c r="Z383" s="19" t="s">
        <v>51</v>
      </c>
      <c r="AA383" s="19" t="s">
        <v>81</v>
      </c>
      <c r="AB383" s="18" t="s">
        <v>846</v>
      </c>
      <c r="AC383" s="17" t="str">
        <f t="shared" si="12"/>
        <v>Y</v>
      </c>
      <c r="AD383" s="17" t="s">
        <v>197</v>
      </c>
      <c r="AE383" s="26">
        <v>0.375</v>
      </c>
      <c r="AF383" s="27"/>
      <c r="AG383" s="27"/>
      <c r="AI383" s="28" t="s">
        <v>57</v>
      </c>
    </row>
    <row r="384" spans="1:35" ht="34.950000000000003" customHeight="1" x14ac:dyDescent="0.4">
      <c r="A384" s="16" t="s">
        <v>36</v>
      </c>
      <c r="B384" s="16" t="s">
        <v>37</v>
      </c>
      <c r="C384" s="17">
        <v>46007</v>
      </c>
      <c r="D384" s="16" t="s">
        <v>188</v>
      </c>
      <c r="E384" s="36" t="s">
        <v>189</v>
      </c>
      <c r="F384" s="16">
        <v>16725</v>
      </c>
      <c r="G384" s="18" t="s">
        <v>1509</v>
      </c>
      <c r="H384" s="16" t="s">
        <v>41</v>
      </c>
      <c r="I384" s="19" t="s">
        <v>42</v>
      </c>
      <c r="J384" s="16" t="str">
        <f>IFERROR(VLOOKUP(I384,[1]Sheet1!$A$1:$B$200,2,0),"_")</f>
        <v>P</v>
      </c>
      <c r="K384" s="19" t="s">
        <v>42</v>
      </c>
      <c r="L384" s="16" t="str">
        <f>IFERROR(VLOOKUP(K384,[1]Sheet1!$A$1:$B$200,2,0),"-")</f>
        <v>P</v>
      </c>
      <c r="M384" s="19" t="s">
        <v>273</v>
      </c>
      <c r="N384" s="16" t="str">
        <f>IFERROR(VLOOKUP(M384,[1]Sheet1!$G$2:$H$200,2,0),"-")</f>
        <v>DJSC</v>
      </c>
      <c r="O384" s="18" t="s">
        <v>1604</v>
      </c>
      <c r="P384" s="17">
        <v>46008</v>
      </c>
      <c r="Q384" s="20" t="s">
        <v>1609</v>
      </c>
      <c r="R384" s="20" t="s">
        <v>1610</v>
      </c>
      <c r="S384" s="21" t="str" cm="1">
        <f t="array" ref="S384">IF(
OR(AD384="",ISERROR(AD384)),
"-",
_xlfn.UNIQUE(_xlfn._xlws.FILTER([1]Sheet1!$D$2:$D$200,ISNUMBER(SEARCH(AD384,[1]Sheet1!$D$2:$D$200))))
)</f>
        <v>(주)부강에너지</v>
      </c>
      <c r="T384" s="22" t="s">
        <v>1611</v>
      </c>
      <c r="U384" s="16" t="str" cm="1">
        <f t="array" ref="U384">IF(
OR(AD384="",ISERROR(AD384)),
"-",
_xlfn.UNIQUE(_xlfn._xlws.FILTER([1]Sheet1!$D$2:$D$200,ISNUMBER(SEARCH(AD384,[1]Sheet1!$D$2:$D$200))))
)</f>
        <v>(주)부강에너지</v>
      </c>
      <c r="V384" s="23">
        <v>250000</v>
      </c>
      <c r="W384" s="23">
        <v>220000</v>
      </c>
      <c r="X384" s="23">
        <f t="shared" si="13"/>
        <v>30000</v>
      </c>
      <c r="Y384" s="25" t="s">
        <v>1608</v>
      </c>
      <c r="Z384" s="19" t="s">
        <v>51</v>
      </c>
      <c r="AA384" s="19" t="s">
        <v>81</v>
      </c>
      <c r="AB384" s="18" t="s">
        <v>1385</v>
      </c>
      <c r="AC384" s="17" t="str">
        <f t="shared" si="12"/>
        <v>Y</v>
      </c>
      <c r="AD384" s="17" t="s">
        <v>197</v>
      </c>
      <c r="AE384" s="26">
        <v>0.54166666666666663</v>
      </c>
      <c r="AF384" s="27"/>
      <c r="AG384" s="27"/>
      <c r="AI384" s="28" t="s">
        <v>57</v>
      </c>
    </row>
    <row r="385" spans="1:35" ht="34.950000000000003" customHeight="1" x14ac:dyDescent="0.4">
      <c r="A385" s="16" t="s">
        <v>36</v>
      </c>
      <c r="B385" s="16" t="s">
        <v>37</v>
      </c>
      <c r="C385" s="17">
        <v>46007</v>
      </c>
      <c r="D385" s="16" t="s">
        <v>188</v>
      </c>
      <c r="E385" s="16" t="s">
        <v>189</v>
      </c>
      <c r="F385" s="16">
        <v>18153</v>
      </c>
      <c r="G385" s="18" t="s">
        <v>190</v>
      </c>
      <c r="H385" s="16" t="s">
        <v>75</v>
      </c>
      <c r="I385" s="19" t="s">
        <v>42</v>
      </c>
      <c r="J385" s="16" t="str">
        <f>IFERROR(VLOOKUP(I385,[1]Sheet1!$A$1:$B$200,2,0),"_")</f>
        <v>P</v>
      </c>
      <c r="K385" s="19" t="s">
        <v>42</v>
      </c>
      <c r="L385" s="16" t="str">
        <f>IFERROR(VLOOKUP(K385,[1]Sheet1!$A$1:$B$200,2,0),"-")</f>
        <v>P</v>
      </c>
      <c r="M385" s="19" t="s">
        <v>191</v>
      </c>
      <c r="N385" s="16" t="str">
        <f>IFERROR(VLOOKUP(M385,[1]Sheet1!$G$2:$H$200,2,0),"-")</f>
        <v>HASL</v>
      </c>
      <c r="O385" s="27" t="s">
        <v>1612</v>
      </c>
      <c r="P385" s="17">
        <v>46011</v>
      </c>
      <c r="Q385" s="20" t="s">
        <v>1613</v>
      </c>
      <c r="R385" s="20" t="s">
        <v>1614</v>
      </c>
      <c r="S385" s="21" t="str" cm="1">
        <f t="array" ref="S385">IF(
OR(AD385="",ISERROR(AD385)),
"-",
_xlfn.UNIQUE(_xlfn._xlws.FILTER([1]Sheet1!$D$2:$D$200,ISNUMBER(SEARCH(AD385,[1]Sheet1!$D$2:$D$200))))
)</f>
        <v>에스더블유로지스틱스</v>
      </c>
      <c r="T385" s="22" t="s">
        <v>1615</v>
      </c>
      <c r="U385" s="16" t="str" cm="1">
        <f t="array" ref="U385">IF(
OR(AD385="",ISERROR(AD385)),
"-",
_xlfn.UNIQUE(_xlfn._xlws.FILTER([1]Sheet1!$D$2:$D$200,ISNUMBER(SEARCH(AD385,[1]Sheet1!$D$2:$D$200))))
)</f>
        <v>에스더블유로지스틱스</v>
      </c>
      <c r="V385" s="23">
        <v>220000</v>
      </c>
      <c r="W385" s="24">
        <v>171000</v>
      </c>
      <c r="X385" s="23">
        <f t="shared" si="13"/>
        <v>49000</v>
      </c>
      <c r="Y385" s="25" t="s">
        <v>1616</v>
      </c>
      <c r="Z385" s="19" t="s">
        <v>51</v>
      </c>
      <c r="AA385" s="19" t="s">
        <v>81</v>
      </c>
      <c r="AB385" s="18" t="s">
        <v>574</v>
      </c>
      <c r="AC385" s="17" t="str">
        <f t="shared" si="12"/>
        <v>Y</v>
      </c>
      <c r="AD385" s="17" t="s">
        <v>484</v>
      </c>
      <c r="AE385" s="26">
        <v>0.375</v>
      </c>
      <c r="AF385" s="27"/>
      <c r="AG385" s="27"/>
      <c r="AI385" s="28" t="s">
        <v>57</v>
      </c>
    </row>
    <row r="386" spans="1:35" ht="34.950000000000003" customHeight="1" x14ac:dyDescent="0.4">
      <c r="A386" s="16" t="s">
        <v>36</v>
      </c>
      <c r="B386" s="16" t="s">
        <v>37</v>
      </c>
      <c r="C386" s="17">
        <v>46007</v>
      </c>
      <c r="D386" s="16" t="s">
        <v>188</v>
      </c>
      <c r="E386" s="36" t="s">
        <v>189</v>
      </c>
      <c r="F386" s="16">
        <v>727</v>
      </c>
      <c r="G386" s="18" t="s">
        <v>998</v>
      </c>
      <c r="H386" s="16" t="s">
        <v>75</v>
      </c>
      <c r="I386" s="19" t="s">
        <v>42</v>
      </c>
      <c r="J386" s="16" t="str">
        <f>IFERROR(VLOOKUP(I386,[1]Sheet1!$A$1:$B$200,2,0),"_")</f>
        <v>P</v>
      </c>
      <c r="K386" s="19" t="s">
        <v>42</v>
      </c>
      <c r="L386" s="16" t="str">
        <f>IFERROR(VLOOKUP(K386,[1]Sheet1!$A$1:$B$200,2,0),"-")</f>
        <v>P</v>
      </c>
      <c r="M386" s="19" t="s">
        <v>273</v>
      </c>
      <c r="N386" s="16" t="str">
        <f>IFERROR(VLOOKUP(M386,[1]Sheet1!$G$2:$H$200,2,0),"-")</f>
        <v>DJSC</v>
      </c>
      <c r="O386" s="18" t="s">
        <v>1604</v>
      </c>
      <c r="P386" s="17">
        <v>46008</v>
      </c>
      <c r="Q386" s="20" t="s">
        <v>1617</v>
      </c>
      <c r="R386" s="20" t="s">
        <v>1618</v>
      </c>
      <c r="S386" s="21" t="str" cm="1">
        <f t="array" ref="S386">IF(
OR(AD386="",ISERROR(AD386)),
"-",
_xlfn.UNIQUE(_xlfn._xlws.FILTER([1]Sheet1!$D$2:$D$200,ISNUMBER(SEARCH(AD386,[1]Sheet1!$D$2:$D$200))))
)</f>
        <v>에스더블유로지스틱스</v>
      </c>
      <c r="T386" s="22" t="s">
        <v>1619</v>
      </c>
      <c r="U386" s="16" t="str" cm="1">
        <f t="array" ref="U386">IF(
OR(AD386="",ISERROR(AD386)),
"-",
_xlfn.UNIQUE(_xlfn._xlws.FILTER([1]Sheet1!$D$2:$D$200,ISNUMBER(SEARCH(AD386,[1]Sheet1!$D$2:$D$200))))
)</f>
        <v>에스더블유로지스틱스</v>
      </c>
      <c r="V386" s="23">
        <v>250000</v>
      </c>
      <c r="W386" s="23">
        <v>220000</v>
      </c>
      <c r="X386" s="23">
        <f t="shared" si="13"/>
        <v>30000</v>
      </c>
      <c r="Y386" s="25" t="s">
        <v>1608</v>
      </c>
      <c r="Z386" s="19" t="s">
        <v>51</v>
      </c>
      <c r="AA386" s="19" t="s">
        <v>81</v>
      </c>
      <c r="AB386" s="18" t="s">
        <v>846</v>
      </c>
      <c r="AC386" s="17" t="str">
        <f t="shared" si="12"/>
        <v>Y</v>
      </c>
      <c r="AD386" s="17" t="s">
        <v>484</v>
      </c>
      <c r="AE386" s="26">
        <v>0.4375</v>
      </c>
      <c r="AF386" s="27"/>
      <c r="AG386" s="27"/>
      <c r="AI386" s="28" t="s">
        <v>57</v>
      </c>
    </row>
    <row r="387" spans="1:35" ht="34.950000000000003" customHeight="1" x14ac:dyDescent="0.4">
      <c r="A387" s="16" t="s">
        <v>71</v>
      </c>
      <c r="B387" s="16" t="s">
        <v>37</v>
      </c>
      <c r="C387" s="17">
        <v>46007</v>
      </c>
      <c r="D387" s="16" t="s">
        <v>207</v>
      </c>
      <c r="E387" s="16" t="s">
        <v>427</v>
      </c>
      <c r="F387" s="16">
        <v>24391</v>
      </c>
      <c r="G387" s="18" t="s">
        <v>1318</v>
      </c>
      <c r="H387" s="16" t="s">
        <v>75</v>
      </c>
      <c r="I387" s="19" t="s">
        <v>42</v>
      </c>
      <c r="J387" s="16" t="str">
        <f>IFERROR(VLOOKUP(I387,[1]Sheet1!$A$1:$B$200,2,0),"_")</f>
        <v>P</v>
      </c>
      <c r="K387" s="19" t="s">
        <v>42</v>
      </c>
      <c r="L387" s="16" t="str">
        <f>IFERROR(VLOOKUP(K387,[1]Sheet1!$A$1:$B$200,2,0),"-")</f>
        <v>P</v>
      </c>
      <c r="M387" s="19" t="s">
        <v>578</v>
      </c>
      <c r="N387" s="16" t="str">
        <f>IFERROR(VLOOKUP(M387,[1]Sheet1!$G$2:$H$200,2,0),"-")</f>
        <v>PCSL</v>
      </c>
      <c r="O387" s="18" t="s">
        <v>690</v>
      </c>
      <c r="P387" s="17" t="s">
        <v>690</v>
      </c>
      <c r="Q387" s="20" t="s">
        <v>1620</v>
      </c>
      <c r="R387" s="20"/>
      <c r="S387" s="21" t="str" cm="1">
        <f t="array" ref="S387">IF(
OR(AD387="",ISERROR(AD387)),
"-",
_xlfn.UNIQUE(_xlfn._xlws.FILTER([1]Sheet1!$D$2:$D$200,ISNUMBER(SEARCH(AD387,[1]Sheet1!$D$2:$D$200))))
)</f>
        <v>에스지로지스틱</v>
      </c>
      <c r="T387" s="22" t="s">
        <v>1621</v>
      </c>
      <c r="U387" s="16" t="str" cm="1">
        <f t="array" ref="U387">IF(
OR(AD387="",ISERROR(AD387)),
"-",
_xlfn.UNIQUE(_xlfn._xlws.FILTER([1]Sheet1!$D$2:$D$200,ISNUMBER(SEARCH(AD387,[1]Sheet1!$D$2:$D$200))))
)</f>
        <v>에스지로지스틱</v>
      </c>
      <c r="V387" s="23">
        <v>379000</v>
      </c>
      <c r="W387" s="23">
        <v>355000</v>
      </c>
      <c r="X387" s="23">
        <f t="shared" si="13"/>
        <v>24000</v>
      </c>
      <c r="Y387" s="25" t="s">
        <v>1622</v>
      </c>
      <c r="Z387" s="19" t="s">
        <v>51</v>
      </c>
      <c r="AA387" s="19" t="s">
        <v>144</v>
      </c>
      <c r="AC387" s="17" t="str">
        <f t="shared" si="12"/>
        <v>Y</v>
      </c>
      <c r="AD387" s="17" t="s">
        <v>184</v>
      </c>
      <c r="AE387" s="26">
        <v>0.3125</v>
      </c>
      <c r="AF387" s="27"/>
      <c r="AG387" s="27"/>
      <c r="AI387" s="28" t="s">
        <v>57</v>
      </c>
    </row>
    <row r="388" spans="1:35" ht="34.950000000000003" customHeight="1" x14ac:dyDescent="0.4">
      <c r="A388" s="16" t="s">
        <v>71</v>
      </c>
      <c r="B388" s="16" t="s">
        <v>99</v>
      </c>
      <c r="C388" s="17">
        <v>46007</v>
      </c>
      <c r="D388" s="16" t="s">
        <v>72</v>
      </c>
      <c r="E388" s="16" t="s">
        <v>914</v>
      </c>
      <c r="F388" s="16">
        <v>5981</v>
      </c>
      <c r="G388" s="18" t="s">
        <v>921</v>
      </c>
      <c r="H388" s="16" t="s">
        <v>41</v>
      </c>
      <c r="I388" s="19" t="s">
        <v>201</v>
      </c>
      <c r="J388" s="16" t="str">
        <f>IFERROR(VLOOKUP(I388,[1]Sheet1!$A$1:$B$200,2,0),"_")</f>
        <v>Y25</v>
      </c>
      <c r="K388" s="19" t="s">
        <v>76</v>
      </c>
      <c r="L388" s="16" t="str">
        <f>IFERROR(VLOOKUP(K388,[1]Sheet1!$A$1:$B$200,2,0),"-")</f>
        <v>NJ</v>
      </c>
      <c r="M388" s="19" t="s">
        <v>364</v>
      </c>
      <c r="N388" s="16" t="str">
        <f>IFERROR(VLOOKUP(M388,[1]Sheet1!$G$2:$H$200,2,0),"-")</f>
        <v>CMAL</v>
      </c>
      <c r="O388" s="18" t="s">
        <v>690</v>
      </c>
      <c r="P388" s="17" t="s">
        <v>690</v>
      </c>
      <c r="Q388" s="20" t="s">
        <v>1623</v>
      </c>
      <c r="R388" s="20"/>
      <c r="S388" s="21" t="str" cm="1">
        <f t="array" ref="S388">IF(
OR(AD388="",ISERROR(AD388)),
"-",
_xlfn.UNIQUE(_xlfn._xlws.FILTER([1]Sheet1!$D$2:$D$200,ISNUMBER(SEARCH(AD388,[1]Sheet1!$D$2:$D$200))))
)</f>
        <v>태성종합물류</v>
      </c>
      <c r="T388" s="22" t="s">
        <v>923</v>
      </c>
      <c r="U388" s="16" t="str" cm="1">
        <f t="array" ref="U388">IF(
OR(AD388="",ISERROR(AD388)),
"-",
_xlfn.UNIQUE(_xlfn._xlws.FILTER([1]Sheet1!$D$2:$D$200,ISNUMBER(SEARCH(AD388,[1]Sheet1!$D$2:$D$200))))
)</f>
        <v>태성종합물류</v>
      </c>
      <c r="V388" s="23">
        <v>525000</v>
      </c>
      <c r="W388" s="23">
        <v>508700</v>
      </c>
      <c r="Y388" s="25" t="s">
        <v>924</v>
      </c>
      <c r="Z388" s="19" t="s">
        <v>51</v>
      </c>
      <c r="AA388" s="19" t="s">
        <v>81</v>
      </c>
      <c r="AC388" s="17" t="str">
        <f t="shared" ref="AC388:AC451" si="14">IF(AI388="ㅇ", "Y", IF(Z388="강다영", "", "Y"))</f>
        <v>Y</v>
      </c>
      <c r="AD388" s="17" t="s">
        <v>82</v>
      </c>
      <c r="AE388" s="26">
        <v>0.41666666666666669</v>
      </c>
      <c r="AF388" s="27" t="s">
        <v>55</v>
      </c>
      <c r="AG388" s="27" t="s">
        <v>55</v>
      </c>
      <c r="AI388" s="28" t="s">
        <v>57</v>
      </c>
    </row>
    <row r="389" spans="1:35" ht="34.950000000000003" customHeight="1" x14ac:dyDescent="0.4">
      <c r="A389" s="16" t="s">
        <v>71</v>
      </c>
      <c r="B389" s="16" t="s">
        <v>99</v>
      </c>
      <c r="C389" s="17">
        <v>46007</v>
      </c>
      <c r="D389" s="16" t="s">
        <v>72</v>
      </c>
      <c r="E389" s="16" t="s">
        <v>914</v>
      </c>
      <c r="F389" s="16">
        <v>5981</v>
      </c>
      <c r="G389" s="18" t="s">
        <v>921</v>
      </c>
      <c r="H389" s="16" t="s">
        <v>41</v>
      </c>
      <c r="I389" s="19" t="s">
        <v>201</v>
      </c>
      <c r="J389" s="16" t="str">
        <f>IFERROR(VLOOKUP(I389,[1]Sheet1!$A$1:$B$200,2,0),"_")</f>
        <v>Y25</v>
      </c>
      <c r="K389" s="19" t="s">
        <v>76</v>
      </c>
      <c r="L389" s="16" t="str">
        <f>IFERROR(VLOOKUP(K389,[1]Sheet1!$A$1:$B$200,2,0),"-")</f>
        <v>NJ</v>
      </c>
      <c r="M389" s="19" t="s">
        <v>364</v>
      </c>
      <c r="N389" s="16" t="str">
        <f>IFERROR(VLOOKUP(M389,[1]Sheet1!$G$2:$H$200,2,0),"-")</f>
        <v>CMAL</v>
      </c>
      <c r="O389" s="18" t="s">
        <v>690</v>
      </c>
      <c r="P389" s="17" t="s">
        <v>690</v>
      </c>
      <c r="Q389" s="20" t="s">
        <v>1623</v>
      </c>
      <c r="R389" s="20"/>
      <c r="S389" s="21" t="str" cm="1">
        <f t="array" ref="S389">IF(
OR(AD389="",ISERROR(AD389)),
"-",
_xlfn.UNIQUE(_xlfn._xlws.FILTER([1]Sheet1!$D$2:$D$200,ISNUMBER(SEARCH(AD389,[1]Sheet1!$D$2:$D$200))))
)</f>
        <v>태성종합물류</v>
      </c>
      <c r="T389" s="22" t="s">
        <v>923</v>
      </c>
      <c r="U389" s="16" t="str" cm="1">
        <f t="array" ref="U389">IF(
OR(AD389="",ISERROR(AD389)),
"-",
_xlfn.UNIQUE(_xlfn._xlws.FILTER([1]Sheet1!$D$2:$D$200,ISNUMBER(SEARCH(AD389,[1]Sheet1!$D$2:$D$200))))
)</f>
        <v>태성종합물류</v>
      </c>
      <c r="V389" s="23">
        <v>105000</v>
      </c>
      <c r="W389" s="23">
        <v>101740</v>
      </c>
      <c r="Y389" s="25" t="s">
        <v>925</v>
      </c>
      <c r="Z389" s="19" t="s">
        <v>51</v>
      </c>
      <c r="AA389" s="19" t="s">
        <v>81</v>
      </c>
      <c r="AC389" s="17" t="str">
        <f t="shared" si="14"/>
        <v>Y</v>
      </c>
      <c r="AD389" s="17" t="s">
        <v>82</v>
      </c>
      <c r="AE389" s="26">
        <v>0.41666666666666669</v>
      </c>
      <c r="AF389" s="27" t="s">
        <v>55</v>
      </c>
      <c r="AG389" s="27" t="s">
        <v>55</v>
      </c>
      <c r="AI389" s="28" t="s">
        <v>57</v>
      </c>
    </row>
    <row r="390" spans="1:35" ht="34.950000000000003" customHeight="1" x14ac:dyDescent="0.4">
      <c r="A390" s="16" t="s">
        <v>71</v>
      </c>
      <c r="B390" s="16" t="s">
        <v>37</v>
      </c>
      <c r="C390" s="17">
        <v>46007</v>
      </c>
      <c r="D390" s="16" t="s">
        <v>1624</v>
      </c>
      <c r="E390" s="16" t="s">
        <v>1625</v>
      </c>
      <c r="F390" s="16">
        <v>28856</v>
      </c>
      <c r="G390" s="18" t="s">
        <v>1626</v>
      </c>
      <c r="H390" s="16" t="s">
        <v>41</v>
      </c>
      <c r="I390" s="19" t="s">
        <v>328</v>
      </c>
      <c r="J390" s="16" t="str">
        <f>IFERROR(VLOOKUP(I390,[1]Sheet1!$A$1:$B$200,2,0),"_")</f>
        <v>BT</v>
      </c>
      <c r="K390" s="19" t="s">
        <v>328</v>
      </c>
      <c r="L390" s="16" t="str">
        <f>IFERROR(VLOOKUP(K390,[1]Sheet1!$A$1:$B$200,2,0),"-")</f>
        <v>BT</v>
      </c>
      <c r="M390" s="19" t="s">
        <v>130</v>
      </c>
      <c r="N390" s="16" t="str">
        <f>IFERROR(VLOOKUP(M390,[1]Sheet1!$G$2:$H$200,2,0),"-")</f>
        <v>PCLU</v>
      </c>
      <c r="O390" s="18" t="s">
        <v>690</v>
      </c>
      <c r="P390" s="17" t="s">
        <v>690</v>
      </c>
      <c r="Q390" s="20" t="s">
        <v>1627</v>
      </c>
      <c r="R390" s="20"/>
      <c r="S390" s="21" t="str" cm="1">
        <f t="array" ref="S390">IF(
OR(AD390="",ISERROR(AD390)),
"-",
_xlfn.UNIQUE(_xlfn._xlws.FILTER([1]Sheet1!$D$2:$D$200,ISNUMBER(SEARCH(AD390,[1]Sheet1!$D$2:$D$200))))
)</f>
        <v>동방 익스프레스</v>
      </c>
      <c r="T390" s="22" t="s">
        <v>1628</v>
      </c>
      <c r="U390" s="16" t="str" cm="1">
        <f t="array" ref="U390">IF(
OR(AD390="",ISERROR(AD390)),
"-",
_xlfn.UNIQUE(_xlfn._xlws.FILTER([1]Sheet1!$D$2:$D$200,ISNUMBER(SEARCH(AD390,[1]Sheet1!$D$2:$D$200))))
)</f>
        <v>동방 익스프레스</v>
      </c>
      <c r="V390" s="23">
        <v>383000</v>
      </c>
      <c r="W390" s="23">
        <v>358300</v>
      </c>
      <c r="X390" s="23">
        <f t="shared" ref="X390:X453" si="15">V390-W390</f>
        <v>24700</v>
      </c>
      <c r="Y390" s="25" t="s">
        <v>1629</v>
      </c>
      <c r="Z390" s="19" t="s">
        <v>51</v>
      </c>
      <c r="AA390" s="19" t="s">
        <v>144</v>
      </c>
      <c r="AC390" s="17" t="str">
        <f t="shared" si="14"/>
        <v>Y</v>
      </c>
      <c r="AD390" s="17" t="s">
        <v>116</v>
      </c>
      <c r="AE390" s="26">
        <v>0.39583333333333331</v>
      </c>
      <c r="AF390" s="27"/>
      <c r="AG390" s="27"/>
      <c r="AI390" s="28" t="s">
        <v>57</v>
      </c>
    </row>
    <row r="391" spans="1:35" ht="34.950000000000003" customHeight="1" x14ac:dyDescent="0.4">
      <c r="A391" s="16" t="s">
        <v>71</v>
      </c>
      <c r="B391" s="16" t="s">
        <v>37</v>
      </c>
      <c r="C391" s="17">
        <v>46007.479166666664</v>
      </c>
      <c r="D391" s="16" t="s">
        <v>308</v>
      </c>
      <c r="E391" s="16" t="s">
        <v>1630</v>
      </c>
      <c r="F391" s="16">
        <v>21166</v>
      </c>
      <c r="G391" s="18" t="s">
        <v>1631</v>
      </c>
      <c r="H391" s="16" t="s">
        <v>711</v>
      </c>
      <c r="I391" s="19" t="s">
        <v>328</v>
      </c>
      <c r="J391" s="16" t="str">
        <f>IFERROR(VLOOKUP(I391,[1]Sheet1!$A$1:$B$200,2,0),"_")</f>
        <v>BT</v>
      </c>
      <c r="K391" s="19" t="s">
        <v>219</v>
      </c>
      <c r="L391" s="16" t="str">
        <f>IFERROR(VLOOKUP(K391,[1]Sheet1!$A$1:$B$200,2,0),"-")</f>
        <v>NN</v>
      </c>
      <c r="M391" s="19" t="s">
        <v>566</v>
      </c>
      <c r="N391" s="16" t="str">
        <f>IFERROR(VLOOKUP(M391,[1]Sheet1!$G$2:$H$200,2,0),"-")</f>
        <v>WHLU</v>
      </c>
      <c r="O391" s="18" t="s">
        <v>55</v>
      </c>
      <c r="P391" s="17" t="s">
        <v>55</v>
      </c>
      <c r="Q391" s="20" t="s">
        <v>1632</v>
      </c>
      <c r="R391" s="20"/>
      <c r="S391" s="21" t="str" cm="1">
        <f t="array" ref="S391">IF(
OR(AD391="",ISERROR(AD391)),
"-",
_xlfn.UNIQUE(_xlfn._xlws.FILTER([1]Sheet1!$D$2:$D$200,ISNUMBER(SEARCH(AD391,[1]Sheet1!$D$2:$D$200))))
)</f>
        <v>율세</v>
      </c>
      <c r="T391" s="22" t="s">
        <v>1633</v>
      </c>
      <c r="U391" s="16" t="str" cm="1">
        <f t="array" ref="U391">IF(
OR(AD391="",ISERROR(AD391)),
"-",
_xlfn.UNIQUE(_xlfn._xlws.FILTER([1]Sheet1!$D$2:$D$200,ISNUMBER(SEARCH(AD391,[1]Sheet1!$D$2:$D$200))))
)</f>
        <v>율세</v>
      </c>
      <c r="X391" s="23">
        <f t="shared" si="15"/>
        <v>0</v>
      </c>
      <c r="Y391" s="25" t="s">
        <v>1634</v>
      </c>
      <c r="Z391" s="19"/>
      <c r="AA391" s="19" t="s">
        <v>93</v>
      </c>
      <c r="AC391" s="17" t="str">
        <f t="shared" si="14"/>
        <v>Y</v>
      </c>
      <c r="AD391" s="17" t="s">
        <v>123</v>
      </c>
      <c r="AF391" s="27"/>
      <c r="AG391" s="27"/>
    </row>
    <row r="392" spans="1:35" ht="34.950000000000003" customHeight="1" x14ac:dyDescent="0.4">
      <c r="A392" s="16" t="s">
        <v>71</v>
      </c>
      <c r="B392" s="16" t="s">
        <v>37</v>
      </c>
      <c r="C392" s="17">
        <v>46007.5625</v>
      </c>
      <c r="D392" s="16" t="s">
        <v>308</v>
      </c>
      <c r="E392" s="16" t="s">
        <v>1630</v>
      </c>
      <c r="F392" s="16">
        <v>21166</v>
      </c>
      <c r="G392" s="18" t="s">
        <v>1631</v>
      </c>
      <c r="H392" s="16" t="s">
        <v>711</v>
      </c>
      <c r="I392" s="19" t="s">
        <v>328</v>
      </c>
      <c r="J392" s="16" t="str">
        <f>IFERROR(VLOOKUP(I392,[1]Sheet1!$A$1:$B$200,2,0),"_")</f>
        <v>BT</v>
      </c>
      <c r="K392" s="19" t="s">
        <v>219</v>
      </c>
      <c r="L392" s="16" t="str">
        <f>IFERROR(VLOOKUP(K392,[1]Sheet1!$A$1:$B$200,2,0),"-")</f>
        <v>NN</v>
      </c>
      <c r="M392" s="19" t="s">
        <v>566</v>
      </c>
      <c r="N392" s="16" t="str">
        <f>IFERROR(VLOOKUP(M392,[1]Sheet1!$G$2:$H$200,2,0),"-")</f>
        <v>WHLU</v>
      </c>
      <c r="O392" s="18" t="s">
        <v>55</v>
      </c>
      <c r="P392" s="17" t="s">
        <v>55</v>
      </c>
      <c r="Q392" s="20" t="s">
        <v>1635</v>
      </c>
      <c r="R392" s="20"/>
      <c r="S392" s="21" t="str" cm="1">
        <f t="array" ref="S392">IF(
OR(AD392="",ISERROR(AD392)),
"-",
_xlfn.UNIQUE(_xlfn._xlws.FILTER([1]Sheet1!$D$2:$D$200,ISNUMBER(SEARCH(AD392,[1]Sheet1!$D$2:$D$200))))
)</f>
        <v>율세</v>
      </c>
      <c r="T392" s="22" t="s">
        <v>1636</v>
      </c>
      <c r="U392" s="16" t="str" cm="1">
        <f t="array" ref="U392">IF(
OR(AD392="",ISERROR(AD392)),
"-",
_xlfn.UNIQUE(_xlfn._xlws.FILTER([1]Sheet1!$D$2:$D$200,ISNUMBER(SEARCH(AD392,[1]Sheet1!$D$2:$D$200))))
)</f>
        <v>율세</v>
      </c>
      <c r="X392" s="23">
        <f t="shared" si="15"/>
        <v>0</v>
      </c>
      <c r="Y392" s="25" t="s">
        <v>1634</v>
      </c>
      <c r="Z392" s="19"/>
      <c r="AA392" s="19" t="s">
        <v>93</v>
      </c>
      <c r="AC392" s="17" t="str">
        <f t="shared" si="14"/>
        <v>Y</v>
      </c>
      <c r="AD392" s="17" t="s">
        <v>123</v>
      </c>
      <c r="AF392" s="27"/>
      <c r="AG392" s="27"/>
    </row>
    <row r="393" spans="1:35" ht="34.950000000000003" customHeight="1" x14ac:dyDescent="0.4">
      <c r="A393" s="16" t="s">
        <v>71</v>
      </c>
      <c r="B393" s="16" t="s">
        <v>37</v>
      </c>
      <c r="C393" s="17">
        <v>46007.583333333336</v>
      </c>
      <c r="D393" s="16" t="s">
        <v>308</v>
      </c>
      <c r="E393" s="16" t="s">
        <v>1630</v>
      </c>
      <c r="F393" s="16">
        <v>21166</v>
      </c>
      <c r="G393" s="18" t="s">
        <v>1631</v>
      </c>
      <c r="H393" s="16" t="s">
        <v>711</v>
      </c>
      <c r="I393" s="19" t="s">
        <v>328</v>
      </c>
      <c r="J393" s="16" t="str">
        <f>IFERROR(VLOOKUP(I393,[1]Sheet1!$A$1:$B$200,2,0),"_")</f>
        <v>BT</v>
      </c>
      <c r="K393" s="19" t="s">
        <v>219</v>
      </c>
      <c r="L393" s="16" t="str">
        <f>IFERROR(VLOOKUP(K393,[1]Sheet1!$A$1:$B$200,2,0),"-")</f>
        <v>NN</v>
      </c>
      <c r="M393" s="19" t="s">
        <v>566</v>
      </c>
      <c r="N393" s="16" t="str">
        <f>IFERROR(VLOOKUP(M393,[1]Sheet1!$G$2:$H$200,2,0),"-")</f>
        <v>WHLU</v>
      </c>
      <c r="O393" s="18" t="s">
        <v>55</v>
      </c>
      <c r="P393" s="17" t="s">
        <v>55</v>
      </c>
      <c r="Q393" s="20" t="s">
        <v>1637</v>
      </c>
      <c r="R393" s="20"/>
      <c r="S393" s="21" t="str" cm="1">
        <f t="array" ref="S393">IF(
OR(AD393="",ISERROR(AD393)),
"-",
_xlfn.UNIQUE(_xlfn._xlws.FILTER([1]Sheet1!$D$2:$D$200,ISNUMBER(SEARCH(AD393,[1]Sheet1!$D$2:$D$200))))
)</f>
        <v>율세</v>
      </c>
      <c r="T393" s="22" t="s">
        <v>1638</v>
      </c>
      <c r="U393" s="16" t="str" cm="1">
        <f t="array" ref="U393">IF(
OR(AD393="",ISERROR(AD393)),
"-",
_xlfn.UNIQUE(_xlfn._xlws.FILTER([1]Sheet1!$D$2:$D$200,ISNUMBER(SEARCH(AD393,[1]Sheet1!$D$2:$D$200))))
)</f>
        <v>율세</v>
      </c>
      <c r="X393" s="23">
        <f t="shared" si="15"/>
        <v>0</v>
      </c>
      <c r="Y393" s="25" t="s">
        <v>1634</v>
      </c>
      <c r="Z393" s="19"/>
      <c r="AA393" s="19" t="s">
        <v>93</v>
      </c>
      <c r="AC393" s="17" t="str">
        <f t="shared" si="14"/>
        <v>Y</v>
      </c>
      <c r="AD393" s="17" t="s">
        <v>123</v>
      </c>
      <c r="AF393" s="27"/>
      <c r="AG393" s="27"/>
    </row>
    <row r="394" spans="1:35" ht="34.950000000000003" customHeight="1" x14ac:dyDescent="0.4">
      <c r="A394" s="16" t="s">
        <v>71</v>
      </c>
      <c r="B394" s="16" t="s">
        <v>37</v>
      </c>
      <c r="C394" s="17">
        <v>46007.479166666664</v>
      </c>
      <c r="D394" s="16" t="s">
        <v>308</v>
      </c>
      <c r="E394" s="16" t="s">
        <v>1630</v>
      </c>
      <c r="F394" s="16">
        <v>21166</v>
      </c>
      <c r="G394" s="18" t="s">
        <v>1631</v>
      </c>
      <c r="H394" s="16" t="s">
        <v>711</v>
      </c>
      <c r="I394" s="19" t="s">
        <v>328</v>
      </c>
      <c r="J394" s="16" t="str">
        <f>IFERROR(VLOOKUP(I394,[1]Sheet1!$A$1:$B$200,2,0),"_")</f>
        <v>BT</v>
      </c>
      <c r="K394" s="19" t="s">
        <v>219</v>
      </c>
      <c r="L394" s="16" t="str">
        <f>IFERROR(VLOOKUP(K394,[1]Sheet1!$A$1:$B$200,2,0),"-")</f>
        <v>NN</v>
      </c>
      <c r="M394" s="19" t="s">
        <v>566</v>
      </c>
      <c r="N394" s="16" t="str">
        <f>IFERROR(VLOOKUP(M394,[1]Sheet1!$G$2:$H$200,2,0),"-")</f>
        <v>WHLU</v>
      </c>
      <c r="O394" s="18" t="s">
        <v>55</v>
      </c>
      <c r="P394" s="17" t="s">
        <v>55</v>
      </c>
      <c r="Q394" s="20" t="s">
        <v>1632</v>
      </c>
      <c r="R394" s="20"/>
      <c r="S394" s="21" t="str" cm="1">
        <f t="array" ref="S394">IF(
OR(AD394="",ISERROR(AD394)),
"-",
_xlfn.UNIQUE(_xlfn._xlws.FILTER([1]Sheet1!$D$2:$D$200,ISNUMBER(SEARCH(AD394,[1]Sheet1!$D$2:$D$200))))
)</f>
        <v>율세</v>
      </c>
      <c r="T394" s="22" t="s">
        <v>1633</v>
      </c>
      <c r="U394" s="16" t="str" cm="1">
        <f t="array" ref="U394">IF(
OR(AD394="",ISERROR(AD394)),
"-",
_xlfn.UNIQUE(_xlfn._xlws.FILTER([1]Sheet1!$D$2:$D$200,ISNUMBER(SEARCH(AD394,[1]Sheet1!$D$2:$D$200))))
)</f>
        <v>율세</v>
      </c>
      <c r="X394" s="23">
        <f t="shared" si="15"/>
        <v>0</v>
      </c>
      <c r="Y394" s="25" t="s">
        <v>1639</v>
      </c>
      <c r="Z394" s="19"/>
      <c r="AA394" s="19" t="s">
        <v>93</v>
      </c>
      <c r="AC394" s="17" t="str">
        <f t="shared" si="14"/>
        <v>Y</v>
      </c>
      <c r="AD394" s="17" t="s">
        <v>123</v>
      </c>
      <c r="AF394" s="27"/>
      <c r="AG394" s="27"/>
    </row>
    <row r="395" spans="1:35" ht="34.950000000000003" customHeight="1" x14ac:dyDescent="0.4">
      <c r="A395" s="16" t="s">
        <v>71</v>
      </c>
      <c r="B395" s="16" t="s">
        <v>37</v>
      </c>
      <c r="C395" s="17">
        <v>46007.5625</v>
      </c>
      <c r="D395" s="16" t="s">
        <v>308</v>
      </c>
      <c r="E395" s="16" t="s">
        <v>1630</v>
      </c>
      <c r="F395" s="16">
        <v>21166</v>
      </c>
      <c r="G395" s="18" t="s">
        <v>1631</v>
      </c>
      <c r="H395" s="16" t="s">
        <v>711</v>
      </c>
      <c r="I395" s="19" t="s">
        <v>328</v>
      </c>
      <c r="J395" s="16" t="str">
        <f>IFERROR(VLOOKUP(I395,[1]Sheet1!$A$1:$B$200,2,0),"_")</f>
        <v>BT</v>
      </c>
      <c r="K395" s="19" t="s">
        <v>219</v>
      </c>
      <c r="L395" s="16" t="str">
        <f>IFERROR(VLOOKUP(K395,[1]Sheet1!$A$1:$B$200,2,0),"-")</f>
        <v>NN</v>
      </c>
      <c r="M395" s="19" t="s">
        <v>566</v>
      </c>
      <c r="N395" s="16" t="str">
        <f>IFERROR(VLOOKUP(M395,[1]Sheet1!$G$2:$H$200,2,0),"-")</f>
        <v>WHLU</v>
      </c>
      <c r="O395" s="18" t="s">
        <v>55</v>
      </c>
      <c r="P395" s="17" t="s">
        <v>55</v>
      </c>
      <c r="Q395" s="20" t="s">
        <v>1635</v>
      </c>
      <c r="R395" s="20"/>
      <c r="S395" s="21" t="str" cm="1">
        <f t="array" ref="S395">IF(
OR(AD395="",ISERROR(AD395)),
"-",
_xlfn.UNIQUE(_xlfn._xlws.FILTER([1]Sheet1!$D$2:$D$200,ISNUMBER(SEARCH(AD395,[1]Sheet1!$D$2:$D$200))))
)</f>
        <v>율세</v>
      </c>
      <c r="T395" s="22" t="s">
        <v>1636</v>
      </c>
      <c r="U395" s="16" t="str" cm="1">
        <f t="array" ref="U395">IF(
OR(AD395="",ISERROR(AD395)),
"-",
_xlfn.UNIQUE(_xlfn._xlws.FILTER([1]Sheet1!$D$2:$D$200,ISNUMBER(SEARCH(AD395,[1]Sheet1!$D$2:$D$200))))
)</f>
        <v>율세</v>
      </c>
      <c r="X395" s="23">
        <f t="shared" si="15"/>
        <v>0</v>
      </c>
      <c r="Y395" s="25" t="s">
        <v>1639</v>
      </c>
      <c r="Z395" s="19"/>
      <c r="AA395" s="19" t="s">
        <v>93</v>
      </c>
      <c r="AC395" s="17" t="str">
        <f t="shared" si="14"/>
        <v>Y</v>
      </c>
      <c r="AD395" s="17" t="s">
        <v>123</v>
      </c>
      <c r="AF395" s="27"/>
      <c r="AG395" s="27"/>
    </row>
    <row r="396" spans="1:35" ht="34.950000000000003" customHeight="1" x14ac:dyDescent="0.4">
      <c r="A396" s="16" t="s">
        <v>71</v>
      </c>
      <c r="B396" s="16" t="s">
        <v>37</v>
      </c>
      <c r="C396" s="17">
        <v>46007.583333333336</v>
      </c>
      <c r="D396" s="16" t="s">
        <v>308</v>
      </c>
      <c r="E396" s="16" t="s">
        <v>1630</v>
      </c>
      <c r="F396" s="16">
        <v>21166</v>
      </c>
      <c r="G396" s="18" t="s">
        <v>1631</v>
      </c>
      <c r="H396" s="16" t="s">
        <v>711</v>
      </c>
      <c r="I396" s="19" t="s">
        <v>328</v>
      </c>
      <c r="J396" s="16" t="str">
        <f>IFERROR(VLOOKUP(I396,[1]Sheet1!$A$1:$B$200,2,0),"_")</f>
        <v>BT</v>
      </c>
      <c r="K396" s="19" t="s">
        <v>219</v>
      </c>
      <c r="L396" s="16" t="str">
        <f>IFERROR(VLOOKUP(K396,[1]Sheet1!$A$1:$B$200,2,0),"-")</f>
        <v>NN</v>
      </c>
      <c r="M396" s="19" t="s">
        <v>566</v>
      </c>
      <c r="N396" s="16" t="str">
        <f>IFERROR(VLOOKUP(M396,[1]Sheet1!$G$2:$H$200,2,0),"-")</f>
        <v>WHLU</v>
      </c>
      <c r="O396" s="18" t="s">
        <v>55</v>
      </c>
      <c r="P396" s="17" t="s">
        <v>55</v>
      </c>
      <c r="Q396" s="20" t="s">
        <v>1637</v>
      </c>
      <c r="R396" s="20"/>
      <c r="S396" s="21" t="str" cm="1">
        <f t="array" ref="S396">IF(
OR(AD396="",ISERROR(AD396)),
"-",
_xlfn.UNIQUE(_xlfn._xlws.FILTER([1]Sheet1!$D$2:$D$200,ISNUMBER(SEARCH(AD396,[1]Sheet1!$D$2:$D$200))))
)</f>
        <v>율세</v>
      </c>
      <c r="T396" s="22" t="s">
        <v>1638</v>
      </c>
      <c r="U396" s="16" t="str" cm="1">
        <f t="array" ref="U396">IF(
OR(AD396="",ISERROR(AD396)),
"-",
_xlfn.UNIQUE(_xlfn._xlws.FILTER([1]Sheet1!$D$2:$D$200,ISNUMBER(SEARCH(AD396,[1]Sheet1!$D$2:$D$200))))
)</f>
        <v>율세</v>
      </c>
      <c r="X396" s="23">
        <f t="shared" si="15"/>
        <v>0</v>
      </c>
      <c r="Y396" s="25" t="s">
        <v>1639</v>
      </c>
      <c r="Z396" s="19"/>
      <c r="AA396" s="19" t="s">
        <v>93</v>
      </c>
      <c r="AC396" s="17" t="str">
        <f t="shared" si="14"/>
        <v>Y</v>
      </c>
      <c r="AD396" s="17" t="s">
        <v>123</v>
      </c>
      <c r="AF396" s="27"/>
      <c r="AG396" s="27"/>
    </row>
    <row r="397" spans="1:35" ht="34.950000000000003" customHeight="1" x14ac:dyDescent="0.4">
      <c r="A397" s="16" t="s">
        <v>71</v>
      </c>
      <c r="B397" s="16" t="s">
        <v>37</v>
      </c>
      <c r="C397" s="17">
        <v>46007.479166666664</v>
      </c>
      <c r="D397" s="16" t="s">
        <v>308</v>
      </c>
      <c r="E397" s="16" t="s">
        <v>1630</v>
      </c>
      <c r="F397" s="16">
        <v>21166</v>
      </c>
      <c r="G397" s="18" t="s">
        <v>1631</v>
      </c>
      <c r="H397" s="16" t="s">
        <v>711</v>
      </c>
      <c r="I397" s="19" t="s">
        <v>328</v>
      </c>
      <c r="J397" s="16" t="str">
        <f>IFERROR(VLOOKUP(I397,[1]Sheet1!$A$1:$B$200,2,0),"_")</f>
        <v>BT</v>
      </c>
      <c r="K397" s="19" t="s">
        <v>219</v>
      </c>
      <c r="L397" s="16" t="str">
        <f>IFERROR(VLOOKUP(K397,[1]Sheet1!$A$1:$B$200,2,0),"-")</f>
        <v>NN</v>
      </c>
      <c r="M397" s="19" t="s">
        <v>566</v>
      </c>
      <c r="N397" s="16" t="str">
        <f>IFERROR(VLOOKUP(M397,[1]Sheet1!$G$2:$H$200,2,0),"-")</f>
        <v>WHLU</v>
      </c>
      <c r="O397" s="18" t="s">
        <v>55</v>
      </c>
      <c r="P397" s="17" t="s">
        <v>55</v>
      </c>
      <c r="Q397" s="20" t="s">
        <v>1632</v>
      </c>
      <c r="R397" s="20"/>
      <c r="S397" s="21" t="str" cm="1">
        <f t="array" ref="S397">IF(
OR(AD397="",ISERROR(AD397)),
"-",
_xlfn.UNIQUE(_xlfn._xlws.FILTER([1]Sheet1!$D$2:$D$200,ISNUMBER(SEARCH(AD397,[1]Sheet1!$D$2:$D$200))))
)</f>
        <v>율세</v>
      </c>
      <c r="T397" s="22" t="s">
        <v>1633</v>
      </c>
      <c r="U397" s="16" t="str" cm="1">
        <f t="array" ref="U397">IF(
OR(AD397="",ISERROR(AD397)),
"-",
_xlfn.UNIQUE(_xlfn._xlws.FILTER([1]Sheet1!$D$2:$D$200,ISNUMBER(SEARCH(AD397,[1]Sheet1!$D$2:$D$200))))
)</f>
        <v>율세</v>
      </c>
      <c r="V397" s="23">
        <v>300000</v>
      </c>
      <c r="W397" s="23">
        <v>300000</v>
      </c>
      <c r="X397" s="23">
        <f t="shared" si="15"/>
        <v>0</v>
      </c>
      <c r="Y397" s="25" t="s">
        <v>1640</v>
      </c>
      <c r="Z397" s="19"/>
      <c r="AA397" s="19" t="s">
        <v>93</v>
      </c>
      <c r="AC397" s="17" t="str">
        <f t="shared" si="14"/>
        <v>Y</v>
      </c>
      <c r="AD397" s="17" t="s">
        <v>123</v>
      </c>
      <c r="AF397" s="27"/>
      <c r="AG397" s="27"/>
    </row>
    <row r="398" spans="1:35" ht="34.950000000000003" customHeight="1" x14ac:dyDescent="0.4">
      <c r="A398" s="16" t="s">
        <v>36</v>
      </c>
      <c r="B398" s="16" t="s">
        <v>99</v>
      </c>
      <c r="C398" s="17">
        <v>46007</v>
      </c>
      <c r="D398" s="16" t="s">
        <v>38</v>
      </c>
      <c r="E398" s="16" t="s">
        <v>38</v>
      </c>
      <c r="F398" s="16">
        <v>21021</v>
      </c>
      <c r="G398" s="18" t="s">
        <v>1641</v>
      </c>
      <c r="H398" s="16" t="s">
        <v>59</v>
      </c>
      <c r="I398" s="19" t="s">
        <v>817</v>
      </c>
      <c r="J398" s="16" t="str">
        <f>IFERROR(VLOOKUP(I398,[1]Sheet1!$A$1:$B$200,2,0),"_")</f>
        <v>PP</v>
      </c>
      <c r="K398" s="19" t="s">
        <v>99</v>
      </c>
      <c r="L398" s="16" t="str">
        <f>IFERROR(VLOOKUP(K398,[1]Sheet1!$A$1:$B$200,2,0),"-")</f>
        <v>IX</v>
      </c>
      <c r="M398" s="19" t="s">
        <v>64</v>
      </c>
      <c r="N398" s="16" t="str">
        <f>IFERROR(VLOOKUP(M398,[1]Sheet1!$G$2:$H$200,2,0),"-")</f>
        <v>XXXX</v>
      </c>
      <c r="O398" s="18" t="s">
        <v>55</v>
      </c>
      <c r="P398" s="17" t="s">
        <v>55</v>
      </c>
      <c r="Q398" s="20" t="s">
        <v>65</v>
      </c>
      <c r="R398" s="20" t="s">
        <v>1186</v>
      </c>
      <c r="S398" s="21" t="str" cm="1">
        <f t="array" ref="S398">IF(
OR(AD398="",ISERROR(AD398)),
"-",
_xlfn.UNIQUE(_xlfn._xlws.FILTER([1]Sheet1!$D$2:$D$200,ISNUMBER(SEARCH(AD398,[1]Sheet1!$D$2:$D$200))))
)</f>
        <v>(주)유진로직스</v>
      </c>
      <c r="T398" s="22" t="s">
        <v>1642</v>
      </c>
      <c r="U398" s="16" t="str" cm="1">
        <f t="array" ref="U398">IF(
OR(AD398="",ISERROR(AD398)),
"-",
_xlfn.UNIQUE(_xlfn._xlws.FILTER([1]Sheet1!$D$2:$D$200,ISNUMBER(SEARCH(AD398,[1]Sheet1!$D$2:$D$200))))
)</f>
        <v>(주)유진로직스</v>
      </c>
      <c r="V398" s="23">
        <v>220000</v>
      </c>
      <c r="W398" s="23">
        <v>190000</v>
      </c>
      <c r="X398" s="23">
        <f t="shared" si="15"/>
        <v>30000</v>
      </c>
      <c r="Y398" s="25" t="s">
        <v>1643</v>
      </c>
      <c r="Z398" s="19" t="s">
        <v>51</v>
      </c>
      <c r="AA398" s="19" t="s">
        <v>52</v>
      </c>
      <c r="AB398" s="18" t="s">
        <v>526</v>
      </c>
      <c r="AC398" s="17" t="str">
        <f t="shared" si="14"/>
        <v>Y</v>
      </c>
      <c r="AD398" s="17" t="s">
        <v>70</v>
      </c>
      <c r="AE398" s="26">
        <v>0.625</v>
      </c>
      <c r="AF398" s="27"/>
      <c r="AG398" s="27"/>
      <c r="AI398" s="28" t="s">
        <v>57</v>
      </c>
    </row>
    <row r="399" spans="1:35" ht="34.950000000000003" customHeight="1" x14ac:dyDescent="0.4">
      <c r="A399" s="16" t="s">
        <v>36</v>
      </c>
      <c r="B399" s="16" t="s">
        <v>99</v>
      </c>
      <c r="C399" s="17">
        <v>46007</v>
      </c>
      <c r="D399" s="16" t="s">
        <v>38</v>
      </c>
      <c r="E399" s="16" t="s">
        <v>39</v>
      </c>
      <c r="F399" s="16">
        <v>21021</v>
      </c>
      <c r="G399" s="18" t="s">
        <v>1641</v>
      </c>
      <c r="H399" s="16" t="s">
        <v>59</v>
      </c>
      <c r="I399" s="19" t="s">
        <v>817</v>
      </c>
      <c r="J399" s="16" t="str">
        <f>IFERROR(VLOOKUP(I399,[1]Sheet1!$A$1:$B$200,2,0),"_")</f>
        <v>PP</v>
      </c>
      <c r="K399" s="19" t="s">
        <v>99</v>
      </c>
      <c r="L399" s="16" t="str">
        <f>IFERROR(VLOOKUP(K399,[1]Sheet1!$A$1:$B$200,2,0),"-")</f>
        <v>IX</v>
      </c>
      <c r="M399" s="19" t="s">
        <v>64</v>
      </c>
      <c r="N399" s="16" t="str">
        <f>IFERROR(VLOOKUP(M399,[1]Sheet1!$G$2:$H$200,2,0),"-")</f>
        <v>XXXX</v>
      </c>
      <c r="O399" s="18" t="s">
        <v>55</v>
      </c>
      <c r="P399" s="17" t="s">
        <v>55</v>
      </c>
      <c r="Q399" s="20" t="s">
        <v>65</v>
      </c>
      <c r="R399" s="20" t="s">
        <v>1644</v>
      </c>
      <c r="S399" s="21" t="str" cm="1">
        <f t="array" ref="S399">IF(
OR(AD399="",ISERROR(AD399)),
"-",
_xlfn.UNIQUE(_xlfn._xlws.FILTER([1]Sheet1!$D$2:$D$200,ISNUMBER(SEARCH(AD399,[1]Sheet1!$D$2:$D$200))))
)</f>
        <v>(주)유진로직스</v>
      </c>
      <c r="T399" s="22" t="s">
        <v>1642</v>
      </c>
      <c r="U399" s="16" t="str" cm="1">
        <f t="array" ref="U399">IF(
OR(AD399="",ISERROR(AD399)),
"-",
_xlfn.UNIQUE(_xlfn._xlws.FILTER([1]Sheet1!$D$2:$D$200,ISNUMBER(SEARCH(AD399,[1]Sheet1!$D$2:$D$200))))
)</f>
        <v>(주)유진로직스</v>
      </c>
      <c r="V399" s="23">
        <v>220000</v>
      </c>
      <c r="W399" s="23">
        <v>0</v>
      </c>
      <c r="X399" s="23">
        <f t="shared" si="15"/>
        <v>220000</v>
      </c>
      <c r="Y399" s="25" t="s">
        <v>1645</v>
      </c>
      <c r="Z399" s="19" t="s">
        <v>51</v>
      </c>
      <c r="AA399" s="19" t="s">
        <v>52</v>
      </c>
      <c r="AB399" s="18" t="s">
        <v>526</v>
      </c>
      <c r="AC399" s="17" t="str">
        <f t="shared" si="14"/>
        <v>Y</v>
      </c>
      <c r="AD399" s="17" t="s">
        <v>70</v>
      </c>
      <c r="AE399" s="26">
        <v>0.625</v>
      </c>
      <c r="AF399" s="27"/>
      <c r="AG399" s="27"/>
      <c r="AI399" s="28" t="s">
        <v>57</v>
      </c>
    </row>
    <row r="400" spans="1:35" ht="34.950000000000003" customHeight="1" x14ac:dyDescent="0.4">
      <c r="A400" s="16" t="s">
        <v>71</v>
      </c>
      <c r="B400" s="16" t="s">
        <v>99</v>
      </c>
      <c r="C400" s="17">
        <v>46008</v>
      </c>
      <c r="D400" s="16" t="s">
        <v>126</v>
      </c>
      <c r="E400" s="16" t="s">
        <v>199</v>
      </c>
      <c r="F400" s="16">
        <v>22141</v>
      </c>
      <c r="G400" s="18" t="s">
        <v>1646</v>
      </c>
      <c r="H400" s="16" t="s">
        <v>1263</v>
      </c>
      <c r="I400" s="19" t="s">
        <v>843</v>
      </c>
      <c r="J400" s="16" t="str">
        <f>IFERROR(VLOOKUP(I400,[1]Sheet1!$A$1:$B$200,2,0),"_")</f>
        <v>NJ</v>
      </c>
      <c r="K400" s="19" t="s">
        <v>843</v>
      </c>
      <c r="L400" s="16" t="str">
        <f>IFERROR(VLOOKUP(K400,[1]Sheet1!$A$1:$B$200,2,0),"-")</f>
        <v>NJ</v>
      </c>
      <c r="M400" s="19" t="s">
        <v>211</v>
      </c>
      <c r="N400" s="16" t="str">
        <f>IFERROR(VLOOKUP(M400,[1]Sheet1!$G$2:$H$200,2,0),"-")</f>
        <v>SITC</v>
      </c>
      <c r="O400" s="18" t="s">
        <v>55</v>
      </c>
      <c r="P400" s="17" t="s">
        <v>55</v>
      </c>
      <c r="Q400" s="20" t="s">
        <v>1647</v>
      </c>
      <c r="R400" s="20"/>
      <c r="S400" s="21" t="str" cm="1">
        <f t="array" ref="S400">IF(
OR(AD400="",ISERROR(AD400)),
"-",
_xlfn.UNIQUE(_xlfn._xlws.FILTER([1]Sheet1!$D$2:$D$200,ISNUMBER(SEARCH(AD400,[1]Sheet1!$D$2:$D$200))))
)</f>
        <v>로지아이솔루션</v>
      </c>
      <c r="T400" s="22" t="s">
        <v>1648</v>
      </c>
      <c r="U400" s="16" t="str" cm="1">
        <f t="array" ref="U400">IF(
OR(AD400="",ISERROR(AD400)),
"-",
_xlfn.UNIQUE(_xlfn._xlws.FILTER([1]Sheet1!$D$2:$D$200,ISNUMBER(SEARCH(AD400,[1]Sheet1!$D$2:$D$200))))
)</f>
        <v>로지아이솔루션</v>
      </c>
      <c r="V400" s="23">
        <v>270000</v>
      </c>
      <c r="W400" s="23">
        <v>259850</v>
      </c>
      <c r="X400" s="23">
        <f t="shared" si="15"/>
        <v>10150</v>
      </c>
      <c r="Y400" s="25" t="s">
        <v>1420</v>
      </c>
      <c r="Z400" s="19" t="s">
        <v>51</v>
      </c>
      <c r="AA400" s="19" t="s">
        <v>81</v>
      </c>
      <c r="AB400" s="18" t="s">
        <v>205</v>
      </c>
      <c r="AC400" s="17" t="str">
        <f t="shared" si="14"/>
        <v>Y</v>
      </c>
      <c r="AD400" s="17" t="s">
        <v>206</v>
      </c>
      <c r="AE400" s="26">
        <v>0.35416666666666669</v>
      </c>
      <c r="AF400" s="27"/>
      <c r="AG400" s="27"/>
      <c r="AI400" s="28" t="s">
        <v>57</v>
      </c>
    </row>
    <row r="401" spans="1:35" ht="34.950000000000003" customHeight="1" x14ac:dyDescent="0.4">
      <c r="A401" s="16" t="s">
        <v>71</v>
      </c>
      <c r="B401" s="16" t="s">
        <v>99</v>
      </c>
      <c r="C401" s="17">
        <v>46008</v>
      </c>
      <c r="D401" s="16" t="s">
        <v>126</v>
      </c>
      <c r="E401" s="16" t="s">
        <v>199</v>
      </c>
      <c r="F401" s="16">
        <v>22141</v>
      </c>
      <c r="G401" s="18" t="s">
        <v>1646</v>
      </c>
      <c r="H401" s="16" t="s">
        <v>1263</v>
      </c>
      <c r="I401" s="19" t="s">
        <v>843</v>
      </c>
      <c r="J401" s="16" t="str">
        <f>IFERROR(VLOOKUP(I401,[1]Sheet1!$A$1:$B$200,2,0),"_")</f>
        <v>NJ</v>
      </c>
      <c r="K401" s="19" t="s">
        <v>843</v>
      </c>
      <c r="L401" s="16" t="str">
        <f>IFERROR(VLOOKUP(K401,[1]Sheet1!$A$1:$B$200,2,0),"-")</f>
        <v>NJ</v>
      </c>
      <c r="M401" s="19" t="s">
        <v>211</v>
      </c>
      <c r="N401" s="16" t="str">
        <f>IFERROR(VLOOKUP(M401,[1]Sheet1!$G$2:$H$200,2,0),"-")</f>
        <v>SITC</v>
      </c>
      <c r="O401" s="18" t="s">
        <v>55</v>
      </c>
      <c r="P401" s="17" t="s">
        <v>55</v>
      </c>
      <c r="Q401" s="20" t="s">
        <v>1649</v>
      </c>
      <c r="R401" s="20"/>
      <c r="S401" s="21" t="str" cm="1">
        <f t="array" ref="S401">IF(
OR(AD401="",ISERROR(AD401)),
"-",
_xlfn.UNIQUE(_xlfn._xlws.FILTER([1]Sheet1!$D$2:$D$200,ISNUMBER(SEARCH(AD401,[1]Sheet1!$D$2:$D$200))))
)</f>
        <v>로지아이솔루션</v>
      </c>
      <c r="T401" s="22" t="s">
        <v>1422</v>
      </c>
      <c r="U401" s="16" t="str" cm="1">
        <f t="array" ref="U401">IF(
OR(AD401="",ISERROR(AD401)),
"-",
_xlfn.UNIQUE(_xlfn._xlws.FILTER([1]Sheet1!$D$2:$D$200,ISNUMBER(SEARCH(AD401,[1]Sheet1!$D$2:$D$200))))
)</f>
        <v>로지아이솔루션</v>
      </c>
      <c r="V401" s="23">
        <v>270000</v>
      </c>
      <c r="W401" s="23">
        <v>259850</v>
      </c>
      <c r="X401" s="23">
        <f t="shared" si="15"/>
        <v>10150</v>
      </c>
      <c r="Y401" s="25" t="s">
        <v>1420</v>
      </c>
      <c r="Z401" s="19" t="s">
        <v>51</v>
      </c>
      <c r="AA401" s="19" t="s">
        <v>81</v>
      </c>
      <c r="AB401" s="18" t="s">
        <v>1650</v>
      </c>
      <c r="AC401" s="17" t="str">
        <f t="shared" si="14"/>
        <v>Y</v>
      </c>
      <c r="AD401" s="17" t="s">
        <v>206</v>
      </c>
      <c r="AE401" s="26">
        <v>0.5625</v>
      </c>
      <c r="AF401" s="27"/>
      <c r="AG401" s="27"/>
      <c r="AI401" s="28" t="s">
        <v>57</v>
      </c>
    </row>
    <row r="402" spans="1:35" ht="34.950000000000003" customHeight="1" x14ac:dyDescent="0.4">
      <c r="A402" s="16" t="s">
        <v>71</v>
      </c>
      <c r="B402" s="16" t="s">
        <v>99</v>
      </c>
      <c r="C402" s="17">
        <v>46008</v>
      </c>
      <c r="D402" s="16" t="s">
        <v>126</v>
      </c>
      <c r="E402" s="16" t="s">
        <v>199</v>
      </c>
      <c r="F402" s="16">
        <v>22141</v>
      </c>
      <c r="G402" s="18" t="s">
        <v>1646</v>
      </c>
      <c r="H402" s="16" t="s">
        <v>1263</v>
      </c>
      <c r="I402" s="19" t="s">
        <v>843</v>
      </c>
      <c r="J402" s="16" t="str">
        <f>IFERROR(VLOOKUP(I402,[1]Sheet1!$A$1:$B$200,2,0),"_")</f>
        <v>NJ</v>
      </c>
      <c r="K402" s="19" t="s">
        <v>843</v>
      </c>
      <c r="L402" s="16" t="str">
        <f>IFERROR(VLOOKUP(K402,[1]Sheet1!$A$1:$B$200,2,0),"-")</f>
        <v>NJ</v>
      </c>
      <c r="M402" s="19" t="s">
        <v>211</v>
      </c>
      <c r="N402" s="16" t="str">
        <f>IFERROR(VLOOKUP(M402,[1]Sheet1!$G$2:$H$200,2,0),"-")</f>
        <v>SITC</v>
      </c>
      <c r="O402" s="18" t="s">
        <v>55</v>
      </c>
      <c r="P402" s="17" t="s">
        <v>55</v>
      </c>
      <c r="Q402" s="20" t="s">
        <v>1649</v>
      </c>
      <c r="R402" s="20"/>
      <c r="S402" s="21" t="str" cm="1">
        <f t="array" ref="S402">IF(
OR(AD402="",ISERROR(AD402)),
"-",
_xlfn.UNIQUE(_xlfn._xlws.FILTER([1]Sheet1!$D$2:$D$200,ISNUMBER(SEARCH(AD402,[1]Sheet1!$D$2:$D$200))))
)</f>
        <v>로지아이솔루션</v>
      </c>
      <c r="T402" s="22" t="s">
        <v>1422</v>
      </c>
      <c r="U402" s="16" t="str" cm="1">
        <f t="array" ref="U402">IF(
OR(AD402="",ISERROR(AD402)),
"-",
_xlfn.UNIQUE(_xlfn._xlws.FILTER([1]Sheet1!$D$2:$D$200,ISNUMBER(SEARCH(AD402,[1]Sheet1!$D$2:$D$200))))
)</f>
        <v>로지아이솔루션</v>
      </c>
      <c r="V402" s="23">
        <v>27000</v>
      </c>
      <c r="W402" s="23">
        <v>25990</v>
      </c>
      <c r="X402" s="23">
        <f t="shared" si="15"/>
        <v>1010</v>
      </c>
      <c r="Y402" s="25" t="s">
        <v>1651</v>
      </c>
      <c r="Z402" s="19" t="s">
        <v>51</v>
      </c>
      <c r="AA402" s="19" t="s">
        <v>81</v>
      </c>
      <c r="AB402" s="18" t="s">
        <v>1650</v>
      </c>
      <c r="AC402" s="17" t="str">
        <f t="shared" si="14"/>
        <v>Y</v>
      </c>
      <c r="AD402" s="17" t="s">
        <v>206</v>
      </c>
      <c r="AE402" s="26">
        <v>0.5625</v>
      </c>
      <c r="AF402" s="27"/>
      <c r="AG402" s="27"/>
      <c r="AI402" s="28" t="s">
        <v>57</v>
      </c>
    </row>
    <row r="403" spans="1:35" ht="34.950000000000003" customHeight="1" x14ac:dyDescent="0.4">
      <c r="A403" s="16" t="s">
        <v>71</v>
      </c>
      <c r="B403" s="16" t="s">
        <v>99</v>
      </c>
      <c r="C403" s="17">
        <v>46008</v>
      </c>
      <c r="D403" s="16" t="s">
        <v>216</v>
      </c>
      <c r="E403" s="16" t="s">
        <v>1652</v>
      </c>
      <c r="F403" s="16">
        <v>27927</v>
      </c>
      <c r="G403" s="18" t="s">
        <v>1653</v>
      </c>
      <c r="H403" s="16" t="s">
        <v>41</v>
      </c>
      <c r="I403" s="19" t="s">
        <v>219</v>
      </c>
      <c r="J403" s="16" t="str">
        <f>IFERROR(VLOOKUP(I403,[1]Sheet1!$A$1:$B$200,2,0),"_")</f>
        <v>NN</v>
      </c>
      <c r="K403" s="19" t="s">
        <v>219</v>
      </c>
      <c r="L403" s="16" t="str">
        <f>IFERROR(VLOOKUP(K403,[1]Sheet1!$A$1:$B$200,2,0),"-")</f>
        <v>NN</v>
      </c>
      <c r="M403" s="19" t="s">
        <v>318</v>
      </c>
      <c r="N403" s="16" t="str">
        <f>IFERROR(VLOOKUP(M403,[1]Sheet1!$G$2:$H$200,2,0),"-")</f>
        <v>SM</v>
      </c>
      <c r="O403" s="18" t="s">
        <v>55</v>
      </c>
      <c r="P403" s="17" t="s">
        <v>55</v>
      </c>
      <c r="Q403" s="20" t="s">
        <v>1654</v>
      </c>
      <c r="R403" s="20"/>
      <c r="S403" s="21" t="str" cm="1">
        <f t="array" ref="S403">IF(
OR(AD403="",ISERROR(AD403)),
"-",
_xlfn.UNIQUE(_xlfn._xlws.FILTER([1]Sheet1!$D$2:$D$200,ISNUMBER(SEARCH(AD403,[1]Sheet1!$D$2:$D$200))))
)</f>
        <v>태성종합물류</v>
      </c>
      <c r="T403" s="22" t="s">
        <v>1655</v>
      </c>
      <c r="U403" s="16" t="str" cm="1">
        <f t="array" ref="U403">IF(
OR(AD403="",ISERROR(AD403)),
"-",
_xlfn.UNIQUE(_xlfn._xlws.FILTER([1]Sheet1!$D$2:$D$200,ISNUMBER(SEARCH(AD403,[1]Sheet1!$D$2:$D$200))))
)</f>
        <v>태성종합물류</v>
      </c>
      <c r="V403" s="23">
        <v>394000</v>
      </c>
      <c r="W403" s="23">
        <v>361600</v>
      </c>
      <c r="X403" s="23">
        <f t="shared" si="15"/>
        <v>32400</v>
      </c>
      <c r="Y403" s="25" t="s">
        <v>1656</v>
      </c>
      <c r="Z403" s="19" t="s">
        <v>51</v>
      </c>
      <c r="AA403" s="19" t="s">
        <v>93</v>
      </c>
      <c r="AC403" s="17" t="str">
        <f t="shared" si="14"/>
        <v>Y</v>
      </c>
      <c r="AD403" s="17" t="s">
        <v>82</v>
      </c>
      <c r="AE403" s="26">
        <v>0.58333333333333337</v>
      </c>
      <c r="AF403" s="27"/>
      <c r="AG403" s="27"/>
      <c r="AI403" s="28" t="s">
        <v>57</v>
      </c>
    </row>
    <row r="404" spans="1:35" ht="34.950000000000003" customHeight="1" x14ac:dyDescent="0.4">
      <c r="A404" s="16" t="s">
        <v>36</v>
      </c>
      <c r="B404" s="16" t="s">
        <v>37</v>
      </c>
      <c r="C404" s="17">
        <v>46008</v>
      </c>
      <c r="D404" s="16" t="s">
        <v>248</v>
      </c>
      <c r="E404" s="16" t="s">
        <v>1657</v>
      </c>
      <c r="F404" s="16">
        <v>9541</v>
      </c>
      <c r="G404" s="18" t="s">
        <v>1658</v>
      </c>
      <c r="H404" s="16" t="s">
        <v>519</v>
      </c>
      <c r="I404" s="19" t="s">
        <v>1659</v>
      </c>
      <c r="J404" s="16" t="str">
        <f>IFERROR(VLOOKUP(I404,[1]Sheet1!$A$1:$B$200,2,0),"_")</f>
        <v>HA</v>
      </c>
      <c r="K404" s="19" t="s">
        <v>529</v>
      </c>
      <c r="L404" s="16" t="str">
        <f>IFERROR(VLOOKUP(K404,[1]Sheet1!$A$1:$B$200,2,0),"-")</f>
        <v>BC</v>
      </c>
      <c r="M404" s="19" t="s">
        <v>966</v>
      </c>
      <c r="N404" s="16" t="str">
        <f>IFERROR(VLOOKUP(M404,[1]Sheet1!$G$2:$H$200,2,0),"-")</f>
        <v>ZIMU</v>
      </c>
      <c r="O404" s="18" t="s">
        <v>1486</v>
      </c>
      <c r="P404" s="17">
        <v>46011</v>
      </c>
      <c r="Q404" s="20" t="s">
        <v>1660</v>
      </c>
      <c r="R404" s="20"/>
      <c r="S404" s="21" t="str" cm="1">
        <f t="array" ref="S404">IF(
OR(AD404="",ISERROR(AD404)),
"-",
_xlfn.UNIQUE(_xlfn._xlws.FILTER([1]Sheet1!$D$2:$D$200,ISNUMBER(SEARCH(AD404,[1]Sheet1!$D$2:$D$200))))
)</f>
        <v>두레종합물류</v>
      </c>
      <c r="T404" s="22" t="s">
        <v>1661</v>
      </c>
      <c r="U404" s="16" t="str" cm="1">
        <f t="array" ref="U404">IF(
OR(AD404="",ISERROR(AD404)),
"-",
_xlfn.UNIQUE(_xlfn._xlws.FILTER([1]Sheet1!$D$2:$D$200,ISNUMBER(SEARCH(AD404,[1]Sheet1!$D$2:$D$200))))
)</f>
        <v>두레종합물류</v>
      </c>
      <c r="V404" s="23">
        <v>430000</v>
      </c>
      <c r="W404" s="23">
        <v>400000</v>
      </c>
      <c r="X404" s="23">
        <f t="shared" si="15"/>
        <v>30000</v>
      </c>
      <c r="Y404" s="25" t="s">
        <v>1662</v>
      </c>
      <c r="Z404" s="19" t="s">
        <v>51</v>
      </c>
      <c r="AA404" s="19" t="s">
        <v>144</v>
      </c>
      <c r="AB404" s="18" t="s">
        <v>1663</v>
      </c>
      <c r="AC404" s="17" t="str">
        <f t="shared" si="14"/>
        <v>Y</v>
      </c>
      <c r="AD404" s="17" t="s">
        <v>1167</v>
      </c>
      <c r="AE404" s="26">
        <v>0.58333333333333337</v>
      </c>
      <c r="AF404" s="27" t="s">
        <v>1664</v>
      </c>
      <c r="AG404" s="27" t="s">
        <v>1665</v>
      </c>
      <c r="AI404" s="28" t="s">
        <v>57</v>
      </c>
    </row>
    <row r="405" spans="1:35" ht="34.950000000000003" customHeight="1" x14ac:dyDescent="0.4">
      <c r="A405" s="16" t="s">
        <v>36</v>
      </c>
      <c r="B405" s="16" t="s">
        <v>37</v>
      </c>
      <c r="C405" s="17">
        <v>46008</v>
      </c>
      <c r="D405" s="16" t="s">
        <v>248</v>
      </c>
      <c r="E405" s="16" t="s">
        <v>1657</v>
      </c>
      <c r="F405" s="16">
        <v>9541</v>
      </c>
      <c r="G405" s="18" t="s">
        <v>1658</v>
      </c>
      <c r="H405" s="16" t="s">
        <v>519</v>
      </c>
      <c r="I405" s="19" t="s">
        <v>1659</v>
      </c>
      <c r="J405" s="16" t="str">
        <f>IFERROR(VLOOKUP(I405,[1]Sheet1!$A$1:$B$200,2,0),"_")</f>
        <v>HA</v>
      </c>
      <c r="K405" s="19" t="s">
        <v>529</v>
      </c>
      <c r="L405" s="16" t="str">
        <f>IFERROR(VLOOKUP(K405,[1]Sheet1!$A$1:$B$200,2,0),"-")</f>
        <v>BC</v>
      </c>
      <c r="M405" s="19" t="s">
        <v>966</v>
      </c>
      <c r="N405" s="16" t="str">
        <f>IFERROR(VLOOKUP(M405,[1]Sheet1!$G$2:$H$200,2,0),"-")</f>
        <v>ZIMU</v>
      </c>
      <c r="O405" s="18" t="s">
        <v>1486</v>
      </c>
      <c r="P405" s="17">
        <v>46011</v>
      </c>
      <c r="Q405" s="20" t="s">
        <v>1666</v>
      </c>
      <c r="R405" s="20"/>
      <c r="S405" s="21" t="str" cm="1">
        <f t="array" ref="S405">IF(
OR(AD405="",ISERROR(AD405)),
"-",
_xlfn.UNIQUE(_xlfn._xlws.FILTER([1]Sheet1!$D$2:$D$200,ISNUMBER(SEARCH(AD405,[1]Sheet1!$D$2:$D$200))))
)</f>
        <v>두레종합물류</v>
      </c>
      <c r="T405" s="22" t="s">
        <v>1667</v>
      </c>
      <c r="U405" s="16" t="str" cm="1">
        <f t="array" ref="U405">IF(
OR(AD405="",ISERROR(AD405)),
"-",
_xlfn.UNIQUE(_xlfn._xlws.FILTER([1]Sheet1!$D$2:$D$200,ISNUMBER(SEARCH(AD405,[1]Sheet1!$D$2:$D$200))))
)</f>
        <v>두레종합물류</v>
      </c>
      <c r="V405" s="23">
        <v>430000</v>
      </c>
      <c r="W405" s="23">
        <v>400000</v>
      </c>
      <c r="X405" s="23">
        <f t="shared" si="15"/>
        <v>30000</v>
      </c>
      <c r="Y405" s="25" t="s">
        <v>1662</v>
      </c>
      <c r="Z405" s="19" t="s">
        <v>51</v>
      </c>
      <c r="AA405" s="19" t="s">
        <v>144</v>
      </c>
      <c r="AB405" s="18" t="s">
        <v>1663</v>
      </c>
      <c r="AC405" s="17" t="str">
        <f t="shared" si="14"/>
        <v>Y</v>
      </c>
      <c r="AD405" s="17" t="s">
        <v>1167</v>
      </c>
      <c r="AE405" s="26">
        <v>0.58333333333333337</v>
      </c>
      <c r="AF405" s="27" t="s">
        <v>1664</v>
      </c>
      <c r="AG405" s="27" t="s">
        <v>1665</v>
      </c>
      <c r="AI405" s="28" t="s">
        <v>57</v>
      </c>
    </row>
    <row r="406" spans="1:35" ht="34.950000000000003" customHeight="1" x14ac:dyDescent="0.4">
      <c r="A406" s="16" t="s">
        <v>36</v>
      </c>
      <c r="B406" s="16" t="s">
        <v>37</v>
      </c>
      <c r="C406" s="17">
        <v>46008</v>
      </c>
      <c r="D406" s="16" t="s">
        <v>248</v>
      </c>
      <c r="E406" s="16" t="s">
        <v>1657</v>
      </c>
      <c r="F406" s="16">
        <v>9541</v>
      </c>
      <c r="G406" s="18" t="s">
        <v>1658</v>
      </c>
      <c r="H406" s="16" t="s">
        <v>519</v>
      </c>
      <c r="I406" s="19" t="s">
        <v>1659</v>
      </c>
      <c r="J406" s="16" t="str">
        <f>IFERROR(VLOOKUP(I406,[1]Sheet1!$A$1:$B$200,2,0),"_")</f>
        <v>HA</v>
      </c>
      <c r="K406" s="19" t="s">
        <v>529</v>
      </c>
      <c r="L406" s="16" t="str">
        <f>IFERROR(VLOOKUP(K406,[1]Sheet1!$A$1:$B$200,2,0),"-")</f>
        <v>BC</v>
      </c>
      <c r="M406" s="19" t="s">
        <v>966</v>
      </c>
      <c r="N406" s="16" t="str">
        <f>IFERROR(VLOOKUP(M406,[1]Sheet1!$G$2:$H$200,2,0),"-")</f>
        <v>ZIMU</v>
      </c>
      <c r="O406" s="18" t="s">
        <v>1486</v>
      </c>
      <c r="P406" s="17">
        <v>46011</v>
      </c>
      <c r="Q406" s="20" t="s">
        <v>1668</v>
      </c>
      <c r="R406" s="20"/>
      <c r="S406" s="21" t="str" cm="1">
        <f t="array" ref="S406">IF(
OR(AD406="",ISERROR(AD406)),
"-",
_xlfn.UNIQUE(_xlfn._xlws.FILTER([1]Sheet1!$D$2:$D$200,ISNUMBER(SEARCH(AD406,[1]Sheet1!$D$2:$D$200))))
)</f>
        <v>두레종합물류</v>
      </c>
      <c r="T406" s="22" t="s">
        <v>1669</v>
      </c>
      <c r="U406" s="16" t="str" cm="1">
        <f t="array" ref="U406">IF(
OR(AD406="",ISERROR(AD406)),
"-",
_xlfn.UNIQUE(_xlfn._xlws.FILTER([1]Sheet1!$D$2:$D$200,ISNUMBER(SEARCH(AD406,[1]Sheet1!$D$2:$D$200))))
)</f>
        <v>두레종합물류</v>
      </c>
      <c r="V406" s="23">
        <v>330000</v>
      </c>
      <c r="W406" s="23">
        <v>280000</v>
      </c>
      <c r="X406" s="23">
        <f t="shared" si="15"/>
        <v>50000</v>
      </c>
      <c r="Y406" s="25" t="s">
        <v>1662</v>
      </c>
      <c r="Z406" s="19" t="s">
        <v>51</v>
      </c>
      <c r="AA406" s="19" t="s">
        <v>144</v>
      </c>
      <c r="AB406" s="18" t="s">
        <v>1663</v>
      </c>
      <c r="AC406" s="17" t="str">
        <f t="shared" si="14"/>
        <v>Y</v>
      </c>
      <c r="AD406" s="17" t="s">
        <v>1167</v>
      </c>
      <c r="AE406" s="26">
        <v>0.58333333333333337</v>
      </c>
      <c r="AF406" s="27" t="s">
        <v>1664</v>
      </c>
      <c r="AG406" s="27" t="s">
        <v>1665</v>
      </c>
      <c r="AI406" s="28" t="s">
        <v>57</v>
      </c>
    </row>
    <row r="407" spans="1:35" ht="34.950000000000003" customHeight="1" x14ac:dyDescent="0.4">
      <c r="A407" s="16" t="s">
        <v>36</v>
      </c>
      <c r="B407" s="16" t="s">
        <v>37</v>
      </c>
      <c r="C407" s="17">
        <v>46008</v>
      </c>
      <c r="D407" s="16" t="s">
        <v>325</v>
      </c>
      <c r="E407" s="16" t="s">
        <v>1670</v>
      </c>
      <c r="F407" s="16">
        <v>27461</v>
      </c>
      <c r="G407" s="18" t="s">
        <v>1671</v>
      </c>
      <c r="H407" s="16" t="s">
        <v>41</v>
      </c>
      <c r="I407" s="19" t="s">
        <v>328</v>
      </c>
      <c r="J407" s="16" t="str">
        <f>IFERROR(VLOOKUP(I407,[1]Sheet1!$A$1:$B$200,2,0),"_")</f>
        <v>BT</v>
      </c>
      <c r="K407" s="19" t="s">
        <v>328</v>
      </c>
      <c r="L407" s="16" t="str">
        <f>IFERROR(VLOOKUP(K407,[1]Sheet1!$A$1:$B$200,2,0),"-")</f>
        <v>BT</v>
      </c>
      <c r="M407" s="19" t="s">
        <v>211</v>
      </c>
      <c r="N407" s="16" t="str">
        <f>IFERROR(VLOOKUP(M407,[1]Sheet1!$G$2:$H$200,2,0),"-")</f>
        <v>SITC</v>
      </c>
      <c r="O407" s="18" t="s">
        <v>1672</v>
      </c>
      <c r="P407" s="17">
        <v>46023</v>
      </c>
      <c r="Q407" s="20" t="s">
        <v>1673</v>
      </c>
      <c r="R407" s="20" t="s">
        <v>1674</v>
      </c>
      <c r="S407" s="21" t="str" cm="1">
        <f t="array" ref="S407">IF(
OR(AD407="",ISERROR(AD407)),
"-",
_xlfn.UNIQUE(_xlfn._xlws.FILTER([1]Sheet1!$D$2:$D$200,ISNUMBER(SEARCH(AD407,[1]Sheet1!$D$2:$D$200))))
)</f>
        <v>에스지로지스틱</v>
      </c>
      <c r="T407" s="22" t="s">
        <v>1675</v>
      </c>
      <c r="U407" s="16" t="str" cm="1">
        <f t="array" ref="U407">IF(
OR(AD407="",ISERROR(AD407)),
"-",
_xlfn.UNIQUE(_xlfn._xlws.FILTER([1]Sheet1!$D$2:$D$200,ISNUMBER(SEARCH(AD407,[1]Sheet1!$D$2:$D$200))))
)</f>
        <v>에스지로지스틱</v>
      </c>
      <c r="V407" s="23">
        <v>270000</v>
      </c>
      <c r="W407" s="23">
        <v>219000</v>
      </c>
      <c r="X407" s="23">
        <f t="shared" si="15"/>
        <v>51000</v>
      </c>
      <c r="Y407" s="25" t="s">
        <v>1676</v>
      </c>
      <c r="Z407" s="19" t="s">
        <v>51</v>
      </c>
      <c r="AA407" s="19" t="s">
        <v>93</v>
      </c>
      <c r="AB407" s="18" t="s">
        <v>1677</v>
      </c>
      <c r="AC407" s="17" t="str">
        <f t="shared" si="14"/>
        <v>Y</v>
      </c>
      <c r="AD407" s="17" t="s">
        <v>184</v>
      </c>
      <c r="AE407" s="26">
        <v>0.58333333333333337</v>
      </c>
      <c r="AF407" s="27"/>
      <c r="AG407" s="27"/>
      <c r="AI407" s="28" t="s">
        <v>57</v>
      </c>
    </row>
    <row r="408" spans="1:35" ht="34.950000000000003" customHeight="1" x14ac:dyDescent="0.4">
      <c r="A408" s="16" t="s">
        <v>36</v>
      </c>
      <c r="B408" s="16" t="s">
        <v>37</v>
      </c>
      <c r="C408" s="17">
        <v>46008</v>
      </c>
      <c r="D408" s="16" t="s">
        <v>248</v>
      </c>
      <c r="E408" s="16" t="s">
        <v>984</v>
      </c>
      <c r="F408" s="16">
        <v>28740</v>
      </c>
      <c r="G408" s="18" t="s">
        <v>1678</v>
      </c>
      <c r="H408" s="16" t="s">
        <v>75</v>
      </c>
      <c r="I408" s="19" t="s">
        <v>730</v>
      </c>
      <c r="J408" s="16" t="str">
        <f>IFERROR(VLOOKUP(I408,[1]Sheet1!$A$1:$B$200,2,0),"_")</f>
        <v>TG</v>
      </c>
      <c r="K408" s="19" t="s">
        <v>751</v>
      </c>
      <c r="L408" s="16" t="str">
        <f>IFERROR(VLOOKUP(K408,[1]Sheet1!$A$1:$B$200,2,0),"-")</f>
        <v>PN</v>
      </c>
      <c r="M408" s="19" t="s">
        <v>1160</v>
      </c>
      <c r="N408" s="16" t="str">
        <f>IFERROR(VLOOKUP(M408,[1]Sheet1!$G$2:$H$200,2,0),"-")</f>
        <v>RSA</v>
      </c>
      <c r="O408" s="18" t="s">
        <v>1679</v>
      </c>
      <c r="P408" s="17">
        <v>46011</v>
      </c>
      <c r="Q408" s="20" t="s">
        <v>1680</v>
      </c>
      <c r="R408" s="20" t="s">
        <v>1681</v>
      </c>
      <c r="S408" s="21" t="str" cm="1">
        <f t="array" ref="S408">IF(
OR(AD408="",ISERROR(AD408)),
"-",
_xlfn.UNIQUE(_xlfn._xlws.FILTER([1]Sheet1!$D$2:$D$200,ISNUMBER(SEARCH(AD408,[1]Sheet1!$D$2:$D$200))))
)</f>
        <v>율세</v>
      </c>
      <c r="T408" s="22" t="s">
        <v>1682</v>
      </c>
      <c r="U408" s="16" t="str" cm="1">
        <f t="array" ref="U408">IF(
OR(AD408="",ISERROR(AD408)),
"-",
_xlfn.UNIQUE(_xlfn._xlws.FILTER([1]Sheet1!$D$2:$D$200,ISNUMBER(SEARCH(AD408,[1]Sheet1!$D$2:$D$200))))
)</f>
        <v>율세</v>
      </c>
      <c r="V408" s="23">
        <v>852000</v>
      </c>
      <c r="W408" s="23">
        <v>754700</v>
      </c>
      <c r="X408" s="23">
        <f t="shared" si="15"/>
        <v>97300</v>
      </c>
      <c r="Y408" s="25" t="s">
        <v>1683</v>
      </c>
      <c r="Z408" s="19" t="s">
        <v>51</v>
      </c>
      <c r="AA408" s="19" t="s">
        <v>144</v>
      </c>
      <c r="AC408" s="17" t="str">
        <f t="shared" si="14"/>
        <v>Y</v>
      </c>
      <c r="AD408" s="17" t="s">
        <v>123</v>
      </c>
      <c r="AE408" s="26">
        <v>0.45833333333333331</v>
      </c>
      <c r="AF408" s="27"/>
      <c r="AG408" s="27"/>
      <c r="AI408" s="28" t="s">
        <v>57</v>
      </c>
    </row>
    <row r="409" spans="1:35" ht="34.950000000000003" customHeight="1" x14ac:dyDescent="0.4">
      <c r="A409" s="16" t="s">
        <v>71</v>
      </c>
      <c r="B409" s="16" t="s">
        <v>37</v>
      </c>
      <c r="C409" s="17">
        <v>46008</v>
      </c>
      <c r="D409" s="16" t="s">
        <v>1624</v>
      </c>
      <c r="E409" s="16" t="s">
        <v>1625</v>
      </c>
      <c r="F409" s="16">
        <v>28856</v>
      </c>
      <c r="G409" s="18" t="s">
        <v>1626</v>
      </c>
      <c r="H409" s="16" t="s">
        <v>41</v>
      </c>
      <c r="I409" s="19" t="s">
        <v>328</v>
      </c>
      <c r="J409" s="16" t="str">
        <f>IFERROR(VLOOKUP(I409,[1]Sheet1!$A$1:$B$200,2,0),"_")</f>
        <v>BT</v>
      </c>
      <c r="K409" s="19" t="s">
        <v>328</v>
      </c>
      <c r="L409" s="16" t="str">
        <f>IFERROR(VLOOKUP(K409,[1]Sheet1!$A$1:$B$200,2,0),"-")</f>
        <v>BT</v>
      </c>
      <c r="M409" s="19" t="s">
        <v>130</v>
      </c>
      <c r="N409" s="16" t="str">
        <f>IFERROR(VLOOKUP(M409,[1]Sheet1!$G$2:$H$200,2,0),"-")</f>
        <v>PCLU</v>
      </c>
      <c r="O409" s="18" t="s">
        <v>690</v>
      </c>
      <c r="P409" s="17" t="s">
        <v>690</v>
      </c>
      <c r="Q409" s="20" t="s">
        <v>1684</v>
      </c>
      <c r="R409" s="20"/>
      <c r="S409" s="21" t="str" cm="1">
        <f t="array" ref="S409">IF(
OR(AD409="",ISERROR(AD409)),
"-",
_xlfn.UNIQUE(_xlfn._xlws.FILTER([1]Sheet1!$D$2:$D$200,ISNUMBER(SEARCH(AD409,[1]Sheet1!$D$2:$D$200))))
)</f>
        <v>에스지로지스틱</v>
      </c>
      <c r="T409" s="22" t="s">
        <v>1685</v>
      </c>
      <c r="U409" s="16" t="str" cm="1">
        <f t="array" ref="U409">IF(
OR(AD409="",ISERROR(AD409)),
"-",
_xlfn.UNIQUE(_xlfn._xlws.FILTER([1]Sheet1!$D$2:$D$200,ISNUMBER(SEARCH(AD409,[1]Sheet1!$D$2:$D$200))))
)</f>
        <v>에스지로지스틱</v>
      </c>
      <c r="V409" s="23">
        <v>383000</v>
      </c>
      <c r="W409" s="23">
        <v>358300</v>
      </c>
      <c r="X409" s="23">
        <f t="shared" si="15"/>
        <v>24700</v>
      </c>
      <c r="Y409" s="25" t="s">
        <v>1629</v>
      </c>
      <c r="Z409" s="19" t="s">
        <v>51</v>
      </c>
      <c r="AA409" s="19" t="s">
        <v>144</v>
      </c>
      <c r="AC409" s="17" t="str">
        <f t="shared" si="14"/>
        <v>Y</v>
      </c>
      <c r="AD409" s="17" t="s">
        <v>184</v>
      </c>
      <c r="AE409" s="26">
        <v>0.41666666666666669</v>
      </c>
      <c r="AF409" s="27"/>
      <c r="AG409" s="27"/>
      <c r="AI409" s="28" t="s">
        <v>57</v>
      </c>
    </row>
    <row r="410" spans="1:35" s="104" customFormat="1" ht="34.950000000000003" customHeight="1" x14ac:dyDescent="0.4">
      <c r="A410" s="92" t="s">
        <v>36</v>
      </c>
      <c r="B410" s="92" t="s">
        <v>37</v>
      </c>
      <c r="C410" s="93">
        <v>46008</v>
      </c>
      <c r="D410" s="92" t="s">
        <v>126</v>
      </c>
      <c r="E410" s="92" t="s">
        <v>1686</v>
      </c>
      <c r="F410" s="92">
        <v>28889</v>
      </c>
      <c r="G410" s="94" t="s">
        <v>1687</v>
      </c>
      <c r="H410" s="92" t="s">
        <v>41</v>
      </c>
      <c r="I410" s="95" t="s">
        <v>317</v>
      </c>
      <c r="J410" s="92" t="str">
        <f>IFERROR(VLOOKUP(I410,[1]Sheet1!$A$1:$B$200,2,0),"_")</f>
        <v>HN</v>
      </c>
      <c r="K410" s="95" t="s">
        <v>86</v>
      </c>
      <c r="L410" s="92" t="str">
        <f>IFERROR(VLOOKUP(K410,[1]Sheet1!$A$1:$B$200,2,0),"-")</f>
        <v>HP</v>
      </c>
      <c r="M410" s="95" t="s">
        <v>530</v>
      </c>
      <c r="N410" s="92" t="str">
        <f>IFERROR(VLOOKUP(M410,[1]Sheet1!$G$2:$H$200,2,0),"-")</f>
        <v>YMLU</v>
      </c>
      <c r="O410" s="94" t="s">
        <v>1688</v>
      </c>
      <c r="P410" s="93">
        <v>46021</v>
      </c>
      <c r="Q410" s="96" t="s">
        <v>1689</v>
      </c>
      <c r="R410" s="96" t="s">
        <v>1690</v>
      </c>
      <c r="S410" s="97" t="str" cm="1">
        <f t="array" ref="S410">IF(
OR(AD410="",ISERROR(AD410)),
"-",
_xlfn.UNIQUE(_xlfn._xlws.FILTER([1]Sheet1!$D$2:$D$200,ISNUMBER(SEARCH(AD410,[1]Sheet1!$D$2:$D$200))))
)</f>
        <v>에스지로지스틱</v>
      </c>
      <c r="T410" s="98" t="s">
        <v>1305</v>
      </c>
      <c r="U410" s="92" t="str" cm="1">
        <f t="array" ref="U410">IF(
OR(AD410="",ISERROR(AD410)),
"-",
_xlfn.UNIQUE(_xlfn._xlws.FILTER([1]Sheet1!$D$2:$D$200,ISNUMBER(SEARCH(AD410,[1]Sheet1!$D$2:$D$200))))
)</f>
        <v>에스지로지스틱</v>
      </c>
      <c r="V410" s="99">
        <v>415000</v>
      </c>
      <c r="W410" s="99">
        <v>368900</v>
      </c>
      <c r="X410" s="99">
        <f t="shared" si="15"/>
        <v>46100</v>
      </c>
      <c r="Y410" s="100" t="s">
        <v>1691</v>
      </c>
      <c r="Z410" s="95" t="s">
        <v>51</v>
      </c>
      <c r="AA410" s="95" t="s">
        <v>81</v>
      </c>
      <c r="AB410" s="94" t="s">
        <v>1692</v>
      </c>
      <c r="AC410" s="93" t="str">
        <f t="shared" si="14"/>
        <v>Y</v>
      </c>
      <c r="AD410" s="93" t="s">
        <v>184</v>
      </c>
      <c r="AE410" s="101" t="s">
        <v>1693</v>
      </c>
      <c r="AF410" s="102"/>
      <c r="AG410" s="102"/>
      <c r="AH410" s="103"/>
      <c r="AI410" s="103" t="s">
        <v>57</v>
      </c>
    </row>
    <row r="411" spans="1:35" s="104" customFormat="1" ht="34.950000000000003" customHeight="1" x14ac:dyDescent="0.4">
      <c r="A411" s="92" t="s">
        <v>36</v>
      </c>
      <c r="B411" s="92" t="s">
        <v>37</v>
      </c>
      <c r="C411" s="93">
        <v>46008</v>
      </c>
      <c r="D411" s="92" t="s">
        <v>126</v>
      </c>
      <c r="E411" s="92" t="s">
        <v>1686</v>
      </c>
      <c r="F411" s="92">
        <v>28889</v>
      </c>
      <c r="G411" s="94" t="s">
        <v>1687</v>
      </c>
      <c r="H411" s="92" t="s">
        <v>41</v>
      </c>
      <c r="I411" s="95" t="s">
        <v>317</v>
      </c>
      <c r="J411" s="92" t="str">
        <f>IFERROR(VLOOKUP(I411,[1]Sheet1!$A$1:$B$200,2,0),"_")</f>
        <v>HN</v>
      </c>
      <c r="K411" s="95" t="s">
        <v>86</v>
      </c>
      <c r="L411" s="92" t="str">
        <f>IFERROR(VLOOKUP(K411,[1]Sheet1!$A$1:$B$200,2,0),"-")</f>
        <v>HP</v>
      </c>
      <c r="M411" s="95" t="s">
        <v>530</v>
      </c>
      <c r="N411" s="92" t="str">
        <f>IFERROR(VLOOKUP(M411,[1]Sheet1!$G$2:$H$200,2,0),"-")</f>
        <v>YMLU</v>
      </c>
      <c r="O411" s="94" t="s">
        <v>1688</v>
      </c>
      <c r="P411" s="93">
        <v>46021</v>
      </c>
      <c r="Q411" s="96" t="s">
        <v>1689</v>
      </c>
      <c r="R411" s="96" t="s">
        <v>1690</v>
      </c>
      <c r="S411" s="97" t="str" cm="1">
        <f t="array" ref="S411">IF(
OR(AD411="",ISERROR(AD411)),
"-",
_xlfn.UNIQUE(_xlfn._xlws.FILTER([1]Sheet1!$D$2:$D$200,ISNUMBER(SEARCH(AD411,[1]Sheet1!$D$2:$D$200))))
)</f>
        <v>에스지로지스틱</v>
      </c>
      <c r="T411" s="98" t="s">
        <v>1305</v>
      </c>
      <c r="U411" s="92" t="str" cm="1">
        <f t="array" ref="U411">IF(
OR(AD411="",ISERROR(AD411)),
"-",
_xlfn.UNIQUE(_xlfn._xlws.FILTER([1]Sheet1!$D$2:$D$200,ISNUMBER(SEARCH(AD411,[1]Sheet1!$D$2:$D$200))))
)</f>
        <v>에스지로지스틱</v>
      </c>
      <c r="V411" s="99">
        <v>310000</v>
      </c>
      <c r="W411" s="99">
        <v>110000</v>
      </c>
      <c r="X411" s="99">
        <f t="shared" si="15"/>
        <v>200000</v>
      </c>
      <c r="Y411" s="100" t="s">
        <v>1694</v>
      </c>
      <c r="Z411" s="95" t="s">
        <v>51</v>
      </c>
      <c r="AA411" s="95" t="s">
        <v>81</v>
      </c>
      <c r="AB411" s="94" t="s">
        <v>1695</v>
      </c>
      <c r="AC411" s="93" t="str">
        <f t="shared" si="14"/>
        <v>Y</v>
      </c>
      <c r="AD411" s="93" t="s">
        <v>184</v>
      </c>
      <c r="AE411" s="101" t="s">
        <v>1693</v>
      </c>
      <c r="AF411" s="102"/>
      <c r="AG411" s="102" t="s">
        <v>1696</v>
      </c>
      <c r="AH411" s="103"/>
      <c r="AI411" s="103" t="s">
        <v>57</v>
      </c>
    </row>
    <row r="412" spans="1:35" ht="34.950000000000003" customHeight="1" x14ac:dyDescent="0.4">
      <c r="A412" s="16" t="s">
        <v>71</v>
      </c>
      <c r="B412" s="16" t="s">
        <v>37</v>
      </c>
      <c r="C412" s="17">
        <v>46008</v>
      </c>
      <c r="D412" s="16" t="s">
        <v>109</v>
      </c>
      <c r="E412" s="16" t="s">
        <v>110</v>
      </c>
      <c r="F412" s="16">
        <v>12650</v>
      </c>
      <c r="G412" s="18" t="s">
        <v>1306</v>
      </c>
      <c r="H412" s="16" t="s">
        <v>41</v>
      </c>
      <c r="I412" s="19" t="s">
        <v>272</v>
      </c>
      <c r="J412" s="16" t="str">
        <f>IFERROR(VLOOKUP(I412,[1]Sheet1!$A$1:$B$200,2,0),"_")</f>
        <v>Z9</v>
      </c>
      <c r="K412" s="19" t="s">
        <v>272</v>
      </c>
      <c r="L412" s="16" t="str">
        <f>IFERROR(VLOOKUP(K412,[1]Sheet1!$A$1:$B$200,2,0),"-")</f>
        <v>Z9</v>
      </c>
      <c r="M412" s="19" t="s">
        <v>667</v>
      </c>
      <c r="N412" s="16" t="str">
        <f>IFERROR(VLOOKUP(M412,[1]Sheet1!$G$2:$H$200,2,0),"-")</f>
        <v>CKCO</v>
      </c>
      <c r="O412" s="18" t="s">
        <v>55</v>
      </c>
      <c r="P412" s="17" t="s">
        <v>55</v>
      </c>
      <c r="Q412" s="20" t="s">
        <v>1697</v>
      </c>
      <c r="R412" s="20"/>
      <c r="S412" s="21" t="str" cm="1">
        <f t="array" ref="S412">IF(
OR(AD412="",ISERROR(AD412)),
"-",
_xlfn.UNIQUE(_xlfn._xlws.FILTER([1]Sheet1!$D$2:$D$200,ISNUMBER(SEARCH(AD412,[1]Sheet1!$D$2:$D$200))))
)</f>
        <v>동방 익스프레스</v>
      </c>
      <c r="T412" s="22" t="s">
        <v>889</v>
      </c>
      <c r="U412" s="16" t="str" cm="1">
        <f t="array" ref="U412">IF(
OR(AD412="",ISERROR(AD412)),
"-",
_xlfn.UNIQUE(_xlfn._xlws.FILTER([1]Sheet1!$D$2:$D$200,ISNUMBER(SEARCH(AD412,[1]Sheet1!$D$2:$D$200))))
)</f>
        <v>동방 익스프레스</v>
      </c>
      <c r="V412" s="23">
        <v>415000</v>
      </c>
      <c r="W412" s="23">
        <v>388000</v>
      </c>
      <c r="X412" s="23">
        <f t="shared" si="15"/>
        <v>27000</v>
      </c>
      <c r="Y412" s="25" t="s">
        <v>1698</v>
      </c>
      <c r="Z412" s="19" t="s">
        <v>51</v>
      </c>
      <c r="AA412" s="19" t="s">
        <v>115</v>
      </c>
      <c r="AC412" s="17" t="str">
        <f t="shared" si="14"/>
        <v>Y</v>
      </c>
      <c r="AD412" s="17" t="s">
        <v>116</v>
      </c>
      <c r="AE412" s="26">
        <v>0.35416666666666669</v>
      </c>
      <c r="AF412" s="27"/>
      <c r="AG412" s="27"/>
      <c r="AI412" s="28" t="s">
        <v>57</v>
      </c>
    </row>
    <row r="413" spans="1:35" ht="34.950000000000003" customHeight="1" x14ac:dyDescent="0.4">
      <c r="A413" s="16" t="s">
        <v>71</v>
      </c>
      <c r="B413" s="16" t="s">
        <v>37</v>
      </c>
      <c r="C413" s="17">
        <v>46008</v>
      </c>
      <c r="D413" s="16" t="s">
        <v>1699</v>
      </c>
      <c r="E413" s="16" t="s">
        <v>1700</v>
      </c>
      <c r="F413" s="16">
        <v>22864</v>
      </c>
      <c r="G413" s="18" t="s">
        <v>1701</v>
      </c>
      <c r="H413" s="16" t="s">
        <v>75</v>
      </c>
      <c r="I413" s="19" t="s">
        <v>42</v>
      </c>
      <c r="J413" s="16" t="str">
        <f>IFERROR(VLOOKUP(I413,[1]Sheet1!$A$1:$B$200,2,0),"_")</f>
        <v>P</v>
      </c>
      <c r="K413" s="19" t="s">
        <v>42</v>
      </c>
      <c r="L413" s="16" t="str">
        <f>IFERROR(VLOOKUP(K413,[1]Sheet1!$A$1:$B$200,2,0),"-")</f>
        <v>P</v>
      </c>
      <c r="M413" s="19" t="s">
        <v>273</v>
      </c>
      <c r="N413" s="16" t="str">
        <f>IFERROR(VLOOKUP(M413,[1]Sheet1!$G$2:$H$200,2,0),"-")</f>
        <v>DJSC</v>
      </c>
      <c r="O413" s="18" t="s">
        <v>55</v>
      </c>
      <c r="P413" s="17" t="s">
        <v>55</v>
      </c>
      <c r="Q413" s="20" t="s">
        <v>1702</v>
      </c>
      <c r="R413" s="20"/>
      <c r="S413" s="21" t="str" cm="1">
        <f t="array" ref="S413">IF(
OR(AD413="",ISERROR(AD413)),
"-",
_xlfn.UNIQUE(_xlfn._xlws.FILTER([1]Sheet1!$D$2:$D$200,ISNUMBER(SEARCH(AD413,[1]Sheet1!$D$2:$D$200))))
)</f>
        <v>에스지로지스틱</v>
      </c>
      <c r="T413" s="22" t="s">
        <v>1703</v>
      </c>
      <c r="U413" s="16" t="str" cm="1">
        <f t="array" ref="U413">IF(
OR(AD413="",ISERROR(AD413)),
"-",
_xlfn.UNIQUE(_xlfn._xlws.FILTER([1]Sheet1!$D$2:$D$200,ISNUMBER(SEARCH(AD413,[1]Sheet1!$D$2:$D$200))))
)</f>
        <v>에스지로지스틱</v>
      </c>
      <c r="V413" s="23">
        <v>240000</v>
      </c>
      <c r="W413" s="23">
        <v>207000</v>
      </c>
      <c r="X413" s="23">
        <f t="shared" si="15"/>
        <v>33000</v>
      </c>
      <c r="Y413" s="25" t="s">
        <v>1704</v>
      </c>
      <c r="Z413" s="19" t="s">
        <v>51</v>
      </c>
      <c r="AA413" s="19" t="s">
        <v>472</v>
      </c>
      <c r="AC413" s="17" t="str">
        <f t="shared" si="14"/>
        <v>Y</v>
      </c>
      <c r="AD413" s="17" t="s">
        <v>184</v>
      </c>
      <c r="AE413" s="26">
        <v>0.33333333333333331</v>
      </c>
      <c r="AF413" s="27"/>
      <c r="AG413" s="27"/>
      <c r="AI413" s="28" t="s">
        <v>57</v>
      </c>
    </row>
    <row r="414" spans="1:35" ht="34.950000000000003" customHeight="1" x14ac:dyDescent="0.4">
      <c r="A414" s="16" t="s">
        <v>36</v>
      </c>
      <c r="B414" s="16" t="s">
        <v>37</v>
      </c>
      <c r="C414" s="17">
        <v>46008</v>
      </c>
      <c r="D414" s="16" t="s">
        <v>188</v>
      </c>
      <c r="E414" s="16" t="s">
        <v>295</v>
      </c>
      <c r="F414" s="16">
        <v>14449</v>
      </c>
      <c r="G414" s="18" t="s">
        <v>1705</v>
      </c>
      <c r="H414" s="16" t="s">
        <v>41</v>
      </c>
      <c r="I414" s="19" t="s">
        <v>42</v>
      </c>
      <c r="J414" s="16" t="str">
        <f>IFERROR(VLOOKUP(I414,[1]Sheet1!$A$1:$B$200,2,0),"_")</f>
        <v>P</v>
      </c>
      <c r="K414" s="19" t="s">
        <v>42</v>
      </c>
      <c r="L414" s="16" t="str">
        <f>IFERROR(VLOOKUP(K414,[1]Sheet1!$A$1:$B$200,2,0),"-")</f>
        <v>P</v>
      </c>
      <c r="M414" s="19" t="s">
        <v>191</v>
      </c>
      <c r="N414" s="16" t="str">
        <f>IFERROR(VLOOKUP(M414,[1]Sheet1!$G$2:$H$200,2,0),"-")</f>
        <v>HASL</v>
      </c>
      <c r="O414" s="18" t="s">
        <v>1612</v>
      </c>
      <c r="P414" s="17">
        <v>46012</v>
      </c>
      <c r="Q414" s="20" t="s">
        <v>1706</v>
      </c>
      <c r="R414" s="20" t="s">
        <v>1707</v>
      </c>
      <c r="S414" s="21" t="str" cm="1">
        <f t="array" ref="S414">IF(
OR(AD414="",ISERROR(AD414)),
"-",
_xlfn.UNIQUE(_xlfn._xlws.FILTER([1]Sheet1!$D$2:$D$200,ISNUMBER(SEARCH(AD414,[1]Sheet1!$D$2:$D$200))))
)</f>
        <v>백승운수</v>
      </c>
      <c r="T414" s="22" t="s">
        <v>434</v>
      </c>
      <c r="U414" s="16" t="str" cm="1">
        <f t="array" ref="U414">IF(
OR(AD414="",ISERROR(AD414)),
"-",
_xlfn.UNIQUE(_xlfn._xlws.FILTER([1]Sheet1!$D$2:$D$200,ISNUMBER(SEARCH(AD414,[1]Sheet1!$D$2:$D$200))))
)</f>
        <v>백승운수</v>
      </c>
      <c r="V414" s="23">
        <v>700000</v>
      </c>
      <c r="W414" s="23">
        <v>608000</v>
      </c>
      <c r="X414" s="23">
        <f t="shared" si="15"/>
        <v>92000</v>
      </c>
      <c r="Y414" s="25" t="s">
        <v>1708</v>
      </c>
      <c r="Z414" s="19" t="s">
        <v>51</v>
      </c>
      <c r="AA414" s="19" t="s">
        <v>81</v>
      </c>
      <c r="AB414" s="18" t="s">
        <v>1709</v>
      </c>
      <c r="AC414" s="17" t="str">
        <f t="shared" si="14"/>
        <v>Y</v>
      </c>
      <c r="AD414" s="17" t="s">
        <v>95</v>
      </c>
      <c r="AE414" s="26">
        <v>0.5</v>
      </c>
      <c r="AF414" s="27"/>
      <c r="AG414" s="27"/>
      <c r="AI414" s="28" t="s">
        <v>57</v>
      </c>
    </row>
    <row r="415" spans="1:35" ht="34.950000000000003" customHeight="1" x14ac:dyDescent="0.4">
      <c r="A415" s="16" t="s">
        <v>36</v>
      </c>
      <c r="B415" s="16" t="s">
        <v>37</v>
      </c>
      <c r="C415" s="17">
        <v>46009</v>
      </c>
      <c r="D415" s="16" t="s">
        <v>308</v>
      </c>
      <c r="E415" s="16" t="s">
        <v>941</v>
      </c>
      <c r="F415" s="16">
        <v>12365</v>
      </c>
      <c r="G415" s="18" t="s">
        <v>171</v>
      </c>
      <c r="H415" s="16" t="s">
        <v>41</v>
      </c>
      <c r="I415" s="19" t="s">
        <v>172</v>
      </c>
      <c r="J415" s="16" t="str">
        <f>IFERROR(VLOOKUP(I415,[1]Sheet1!$A$1:$B$200,2,0),"_")</f>
        <v>KW</v>
      </c>
      <c r="K415" s="19" t="s">
        <v>172</v>
      </c>
      <c r="L415" s="16" t="str">
        <f>IFERROR(VLOOKUP(K415,[1]Sheet1!$A$1:$B$200,2,0),"-")</f>
        <v>KW</v>
      </c>
      <c r="M415" s="19" t="s">
        <v>77</v>
      </c>
      <c r="N415" s="16" t="str">
        <f>IFERROR(VLOOKUP(M415,[1]Sheet1!$G$2:$H$200,2,0),"-")</f>
        <v>KMTC</v>
      </c>
      <c r="O415" s="18" t="s">
        <v>1710</v>
      </c>
      <c r="P415" s="17">
        <v>46015</v>
      </c>
      <c r="Q415" s="20" t="s">
        <v>1711</v>
      </c>
      <c r="R415" s="20" t="s">
        <v>1712</v>
      </c>
      <c r="S415" s="21" t="str" cm="1">
        <f t="array" ref="S415">IF(
OR(AD415="",ISERROR(AD415)),
"-",
_xlfn.UNIQUE(_xlfn._xlws.FILTER([1]Sheet1!$D$2:$D$200,ISNUMBER(SEARCH(AD415,[1]Sheet1!$D$2:$D$200))))
)</f>
        <v>(유)오식도물류</v>
      </c>
      <c r="T415" s="22" t="s">
        <v>1713</v>
      </c>
      <c r="U415" s="16" t="str" cm="1">
        <f t="array" ref="U415">IF(
OR(AD415="",ISERROR(AD415)),
"-",
_xlfn.UNIQUE(_xlfn._xlws.FILTER([1]Sheet1!$D$2:$D$200,ISNUMBER(SEARCH(AD415,[1]Sheet1!$D$2:$D$200))))
)</f>
        <v>(유)오식도물류</v>
      </c>
      <c r="V415" s="23">
        <v>890000</v>
      </c>
      <c r="W415" s="23">
        <v>809200</v>
      </c>
      <c r="X415" s="23">
        <f t="shared" si="15"/>
        <v>80800</v>
      </c>
      <c r="Y415" s="25" t="s">
        <v>1714</v>
      </c>
      <c r="Z415" s="19" t="s">
        <v>51</v>
      </c>
      <c r="AA415" s="19" t="s">
        <v>93</v>
      </c>
      <c r="AC415" s="17" t="str">
        <f t="shared" si="14"/>
        <v>Y</v>
      </c>
      <c r="AD415" s="17" t="s">
        <v>179</v>
      </c>
      <c r="AE415" s="26">
        <v>0</v>
      </c>
      <c r="AF415" s="27"/>
      <c r="AG415" s="27"/>
      <c r="AI415" s="28" t="s">
        <v>57</v>
      </c>
    </row>
    <row r="416" spans="1:35" ht="34.950000000000003" customHeight="1" x14ac:dyDescent="0.4">
      <c r="A416" s="16" t="s">
        <v>71</v>
      </c>
      <c r="B416" s="16" t="s">
        <v>99</v>
      </c>
      <c r="C416" s="17">
        <v>46009</v>
      </c>
      <c r="D416" s="16" t="s">
        <v>126</v>
      </c>
      <c r="E416" s="16" t="s">
        <v>199</v>
      </c>
      <c r="F416" s="16">
        <v>22141</v>
      </c>
      <c r="G416" s="18" t="s">
        <v>1646</v>
      </c>
      <c r="H416" s="16" t="s">
        <v>1263</v>
      </c>
      <c r="I416" s="19" t="s">
        <v>843</v>
      </c>
      <c r="J416" s="16" t="str">
        <f>IFERROR(VLOOKUP(I416,[1]Sheet1!$A$1:$B$200,2,0),"_")</f>
        <v>NJ</v>
      </c>
      <c r="K416" s="19" t="s">
        <v>843</v>
      </c>
      <c r="L416" s="16" t="str">
        <f>IFERROR(VLOOKUP(K416,[1]Sheet1!$A$1:$B$200,2,0),"-")</f>
        <v>NJ</v>
      </c>
      <c r="M416" s="19" t="s">
        <v>211</v>
      </c>
      <c r="N416" s="16" t="str">
        <f>IFERROR(VLOOKUP(M416,[1]Sheet1!$G$2:$H$200,2,0),"-")</f>
        <v>SITC</v>
      </c>
      <c r="O416" s="18" t="s">
        <v>55</v>
      </c>
      <c r="P416" s="17" t="s">
        <v>55</v>
      </c>
      <c r="Q416" s="20" t="s">
        <v>1715</v>
      </c>
      <c r="R416" s="20"/>
      <c r="S416" s="21" t="str" cm="1">
        <f t="array" ref="S416">IF(
OR(AD416="",ISERROR(AD416)),
"-",
_xlfn.UNIQUE(_xlfn._xlws.FILTER([1]Sheet1!$D$2:$D$200,ISNUMBER(SEARCH(AD416,[1]Sheet1!$D$2:$D$200))))
)</f>
        <v>로지아이솔루션</v>
      </c>
      <c r="T416" s="22" t="s">
        <v>1716</v>
      </c>
      <c r="U416" s="16" t="str" cm="1">
        <f t="array" ref="U416">IF(
OR(AD416="",ISERROR(AD416)),
"-",
_xlfn.UNIQUE(_xlfn._xlws.FILTER([1]Sheet1!$D$2:$D$200,ISNUMBER(SEARCH(AD416,[1]Sheet1!$D$2:$D$200))))
)</f>
        <v>로지아이솔루션</v>
      </c>
      <c r="V416" s="23">
        <v>270000</v>
      </c>
      <c r="W416" s="23">
        <v>259850</v>
      </c>
      <c r="X416" s="23">
        <f t="shared" si="15"/>
        <v>10150</v>
      </c>
      <c r="Y416" s="25" t="s">
        <v>1420</v>
      </c>
      <c r="Z416" s="19" t="s">
        <v>51</v>
      </c>
      <c r="AA416" s="19" t="s">
        <v>81</v>
      </c>
      <c r="AB416" s="18" t="s">
        <v>1650</v>
      </c>
      <c r="AC416" s="17" t="str">
        <f t="shared" si="14"/>
        <v>Y</v>
      </c>
      <c r="AD416" s="17" t="s">
        <v>206</v>
      </c>
      <c r="AE416" s="26">
        <v>0.35416666666666669</v>
      </c>
      <c r="AF416" s="27"/>
      <c r="AG416" s="27"/>
      <c r="AI416" s="28" t="s">
        <v>57</v>
      </c>
    </row>
    <row r="417" spans="1:35" ht="34.950000000000003" customHeight="1" x14ac:dyDescent="0.4">
      <c r="A417" s="16" t="s">
        <v>71</v>
      </c>
      <c r="B417" s="16" t="s">
        <v>99</v>
      </c>
      <c r="C417" s="17">
        <v>46009</v>
      </c>
      <c r="D417" s="16" t="s">
        <v>126</v>
      </c>
      <c r="E417" s="16" t="s">
        <v>199</v>
      </c>
      <c r="F417" s="16">
        <v>22141</v>
      </c>
      <c r="G417" s="18" t="s">
        <v>1646</v>
      </c>
      <c r="H417" s="16" t="s">
        <v>1263</v>
      </c>
      <c r="I417" s="19" t="s">
        <v>843</v>
      </c>
      <c r="J417" s="16" t="str">
        <f>IFERROR(VLOOKUP(I417,[1]Sheet1!$A$1:$B$200,2,0),"_")</f>
        <v>NJ</v>
      </c>
      <c r="K417" s="19" t="s">
        <v>843</v>
      </c>
      <c r="L417" s="16" t="str">
        <f>IFERROR(VLOOKUP(K417,[1]Sheet1!$A$1:$B$200,2,0),"-")</f>
        <v>NJ</v>
      </c>
      <c r="M417" s="19" t="s">
        <v>211</v>
      </c>
      <c r="N417" s="16" t="str">
        <f>IFERROR(VLOOKUP(M417,[1]Sheet1!$G$2:$H$200,2,0),"-")</f>
        <v>SITC</v>
      </c>
      <c r="O417" s="18" t="s">
        <v>55</v>
      </c>
      <c r="P417" s="17" t="s">
        <v>55</v>
      </c>
      <c r="Q417" s="20" t="s">
        <v>1715</v>
      </c>
      <c r="R417" s="20"/>
      <c r="S417" s="21" t="str" cm="1">
        <f t="array" ref="S417">IF(
OR(AD417="",ISERROR(AD417)),
"-",
_xlfn.UNIQUE(_xlfn._xlws.FILTER([1]Sheet1!$D$2:$D$200,ISNUMBER(SEARCH(AD417,[1]Sheet1!$D$2:$D$200))))
)</f>
        <v>로지아이솔루션</v>
      </c>
      <c r="T417" s="22" t="s">
        <v>1716</v>
      </c>
      <c r="U417" s="16" t="str" cm="1">
        <f t="array" ref="U417">IF(
OR(AD417="",ISERROR(AD417)),
"-",
_xlfn.UNIQUE(_xlfn._xlws.FILTER([1]Sheet1!$D$2:$D$200,ISNUMBER(SEARCH(AD417,[1]Sheet1!$D$2:$D$200))))
)</f>
        <v>로지아이솔루션</v>
      </c>
      <c r="V417" s="23">
        <v>27000</v>
      </c>
      <c r="W417" s="23">
        <v>25990</v>
      </c>
      <c r="X417" s="23">
        <f t="shared" si="15"/>
        <v>1010</v>
      </c>
      <c r="Y417" s="25" t="s">
        <v>1651</v>
      </c>
      <c r="Z417" s="19" t="s">
        <v>51</v>
      </c>
      <c r="AA417" s="19" t="s">
        <v>81</v>
      </c>
      <c r="AB417" s="18" t="s">
        <v>1650</v>
      </c>
      <c r="AC417" s="17" t="str">
        <f t="shared" si="14"/>
        <v>Y</v>
      </c>
      <c r="AD417" s="17" t="s">
        <v>206</v>
      </c>
      <c r="AE417" s="26">
        <v>0.35416666666666669</v>
      </c>
      <c r="AF417" s="27"/>
      <c r="AG417" s="27"/>
      <c r="AI417" s="28" t="s">
        <v>57</v>
      </c>
    </row>
    <row r="418" spans="1:35" ht="34.950000000000003" customHeight="1" x14ac:dyDescent="0.4">
      <c r="A418" s="16" t="s">
        <v>36</v>
      </c>
      <c r="B418" s="16" t="s">
        <v>37</v>
      </c>
      <c r="C418" s="17">
        <v>46009</v>
      </c>
      <c r="D418" s="16" t="s">
        <v>248</v>
      </c>
      <c r="E418" s="16" t="s">
        <v>1034</v>
      </c>
      <c r="F418" s="16">
        <v>27062</v>
      </c>
      <c r="G418" s="18" t="s">
        <v>1134</v>
      </c>
      <c r="H418" s="16" t="s">
        <v>711</v>
      </c>
      <c r="I418" s="19" t="s">
        <v>137</v>
      </c>
      <c r="J418" s="16" t="str">
        <f>IFERROR(VLOOKUP(I418,[1]Sheet1!$A$1:$B$200,2,0),"_")</f>
        <v>BE</v>
      </c>
      <c r="K418" s="19" t="s">
        <v>86</v>
      </c>
      <c r="L418" s="16" t="str">
        <f>IFERROR(VLOOKUP(K418,[1]Sheet1!$A$1:$B$200,2,0),"-")</f>
        <v>HP</v>
      </c>
      <c r="M418" s="19" t="s">
        <v>87</v>
      </c>
      <c r="N418" s="16" t="str">
        <f>IFERROR(VLOOKUP(M418,[1]Sheet1!$G$2:$H$200,2,0),"-")</f>
        <v>HDMU</v>
      </c>
      <c r="O418" s="18" t="s">
        <v>1717</v>
      </c>
      <c r="P418" s="17">
        <v>46013</v>
      </c>
      <c r="Q418" s="20" t="s">
        <v>1718</v>
      </c>
      <c r="R418" s="20" t="s">
        <v>1719</v>
      </c>
      <c r="S418" s="21" t="str" cm="1">
        <f t="array" ref="S418">IF(
OR(AD418="",ISERROR(AD418)),
"-",
_xlfn.UNIQUE(_xlfn._xlws.FILTER([1]Sheet1!$D$2:$D$200,ISNUMBER(SEARCH(AD418,[1]Sheet1!$D$2:$D$200))))
)</f>
        <v>양양운수(주)</v>
      </c>
      <c r="T418" s="22" t="s">
        <v>1601</v>
      </c>
      <c r="U418" s="16" t="str" cm="1">
        <f t="array" ref="U418">IF(
OR(AD418="",ISERROR(AD418)),
"-",
_xlfn.UNIQUE(_xlfn._xlws.FILTER([1]Sheet1!$D$2:$D$200,ISNUMBER(SEARCH(AD418,[1]Sheet1!$D$2:$D$200))))
)</f>
        <v>양양운수(주)</v>
      </c>
      <c r="V418" s="23">
        <v>684000</v>
      </c>
      <c r="W418" s="23">
        <v>645500</v>
      </c>
      <c r="X418" s="23">
        <f t="shared" si="15"/>
        <v>38500</v>
      </c>
      <c r="Y418" s="25" t="s">
        <v>1720</v>
      </c>
      <c r="Z418" s="19" t="s">
        <v>51</v>
      </c>
      <c r="AA418" s="19" t="s">
        <v>144</v>
      </c>
      <c r="AB418" s="18" t="s">
        <v>1721</v>
      </c>
      <c r="AC418" s="17" t="str">
        <f t="shared" si="14"/>
        <v>Y</v>
      </c>
      <c r="AD418" s="17" t="s">
        <v>619</v>
      </c>
      <c r="AE418" s="26">
        <v>0.41666666666666669</v>
      </c>
      <c r="AF418" s="27"/>
      <c r="AG418" s="27"/>
      <c r="AI418" s="28" t="s">
        <v>57</v>
      </c>
    </row>
    <row r="419" spans="1:35" ht="34.950000000000003" customHeight="1" x14ac:dyDescent="0.4">
      <c r="A419" s="16" t="s">
        <v>36</v>
      </c>
      <c r="B419" s="16" t="s">
        <v>37</v>
      </c>
      <c r="C419" s="17">
        <v>46009</v>
      </c>
      <c r="D419" s="16" t="s">
        <v>248</v>
      </c>
      <c r="E419" s="16" t="s">
        <v>1034</v>
      </c>
      <c r="F419" s="16">
        <v>27062</v>
      </c>
      <c r="G419" s="18" t="s">
        <v>1134</v>
      </c>
      <c r="H419" s="16" t="s">
        <v>711</v>
      </c>
      <c r="I419" s="19" t="s">
        <v>137</v>
      </c>
      <c r="J419" s="16" t="str">
        <f>IFERROR(VLOOKUP(I419,[1]Sheet1!$A$1:$B$200,2,0),"_")</f>
        <v>BE</v>
      </c>
      <c r="K419" s="19" t="s">
        <v>86</v>
      </c>
      <c r="L419" s="16" t="str">
        <f>IFERROR(VLOOKUP(K419,[1]Sheet1!$A$1:$B$200,2,0),"-")</f>
        <v>HP</v>
      </c>
      <c r="M419" s="19" t="s">
        <v>87</v>
      </c>
      <c r="N419" s="16" t="str">
        <f>IFERROR(VLOOKUP(M419,[1]Sheet1!$G$2:$H$200,2,0),"-")</f>
        <v>HDMU</v>
      </c>
      <c r="O419" s="18" t="s">
        <v>1717</v>
      </c>
      <c r="P419" s="17">
        <v>46013</v>
      </c>
      <c r="Q419" s="20" t="s">
        <v>1718</v>
      </c>
      <c r="R419" s="20" t="s">
        <v>1719</v>
      </c>
      <c r="S419" s="21" t="str" cm="1">
        <f t="array" ref="S419">IF(
OR(AD419="",ISERROR(AD419)),
"-",
_xlfn.UNIQUE(_xlfn._xlws.FILTER([1]Sheet1!$D$2:$D$200,ISNUMBER(SEARCH(AD419,[1]Sheet1!$D$2:$D$200))))
)</f>
        <v>양양운수(주)</v>
      </c>
      <c r="T419" s="22" t="s">
        <v>1601</v>
      </c>
      <c r="U419" s="16" t="str" cm="1">
        <f t="array" ref="U419">IF(
OR(AD419="",ISERROR(AD419)),
"-",
_xlfn.UNIQUE(_xlfn._xlws.FILTER([1]Sheet1!$D$2:$D$200,ISNUMBER(SEARCH(AD419,[1]Sheet1!$D$2:$D$200))))
)</f>
        <v>양양운수(주)</v>
      </c>
      <c r="V419" s="23">
        <v>10000</v>
      </c>
      <c r="W419" s="23">
        <v>10000</v>
      </c>
      <c r="X419" s="23">
        <f t="shared" si="15"/>
        <v>0</v>
      </c>
      <c r="Y419" s="25" t="s">
        <v>1722</v>
      </c>
      <c r="Z419" s="19" t="s">
        <v>51</v>
      </c>
      <c r="AA419" s="19" t="s">
        <v>144</v>
      </c>
      <c r="AC419" s="17" t="str">
        <f t="shared" si="14"/>
        <v>Y</v>
      </c>
      <c r="AD419" s="17" t="s">
        <v>619</v>
      </c>
      <c r="AE419" s="26">
        <v>0.41666666666666669</v>
      </c>
      <c r="AF419" s="27"/>
      <c r="AG419" s="27"/>
      <c r="AI419" s="28" t="s">
        <v>57</v>
      </c>
    </row>
    <row r="420" spans="1:35" ht="34.950000000000003" customHeight="1" x14ac:dyDescent="0.4">
      <c r="A420" s="16" t="s">
        <v>36</v>
      </c>
      <c r="B420" s="16" t="s">
        <v>37</v>
      </c>
      <c r="C420" s="17">
        <v>46009</v>
      </c>
      <c r="D420" s="16" t="s">
        <v>248</v>
      </c>
      <c r="E420" s="16" t="s">
        <v>1034</v>
      </c>
      <c r="F420" s="16">
        <v>27062</v>
      </c>
      <c r="G420" s="18" t="s">
        <v>1134</v>
      </c>
      <c r="H420" s="16" t="s">
        <v>75</v>
      </c>
      <c r="I420" s="19" t="s">
        <v>137</v>
      </c>
      <c r="J420" s="16" t="str">
        <f>IFERROR(VLOOKUP(I420,[1]Sheet1!$A$1:$B$200,2,0),"_")</f>
        <v>BE</v>
      </c>
      <c r="K420" s="19" t="s">
        <v>86</v>
      </c>
      <c r="L420" s="16" t="str">
        <f>IFERROR(VLOOKUP(K420,[1]Sheet1!$A$1:$B$200,2,0),"-")</f>
        <v>HP</v>
      </c>
      <c r="M420" s="19" t="s">
        <v>87</v>
      </c>
      <c r="N420" s="16" t="str">
        <f>IFERROR(VLOOKUP(M420,[1]Sheet1!$G$2:$H$200,2,0),"-")</f>
        <v>HDMU</v>
      </c>
      <c r="O420" s="18" t="s">
        <v>1717</v>
      </c>
      <c r="P420" s="17">
        <v>46013</v>
      </c>
      <c r="Q420" s="20" t="s">
        <v>1723</v>
      </c>
      <c r="R420" s="20" t="s">
        <v>1724</v>
      </c>
      <c r="S420" s="21" t="str" cm="1">
        <f t="array" ref="S420">IF(
OR(AD420="",ISERROR(AD420)),
"-",
_xlfn.UNIQUE(_xlfn._xlws.FILTER([1]Sheet1!$D$2:$D$200,ISNUMBER(SEARCH(AD420,[1]Sheet1!$D$2:$D$200))))
)</f>
        <v>양양운수(주)</v>
      </c>
      <c r="T420" s="22" t="s">
        <v>277</v>
      </c>
      <c r="U420" s="16" t="str" cm="1">
        <f t="array" ref="U420">IF(
OR(AD420="",ISERROR(AD420)),
"-",
_xlfn.UNIQUE(_xlfn._xlws.FILTER([1]Sheet1!$D$2:$D$200,ISNUMBER(SEARCH(AD420,[1]Sheet1!$D$2:$D$200))))
)</f>
        <v>양양운수(주)</v>
      </c>
      <c r="V420" s="23">
        <v>609000</v>
      </c>
      <c r="W420" s="23">
        <v>574700</v>
      </c>
      <c r="X420" s="23">
        <f t="shared" si="15"/>
        <v>34300</v>
      </c>
      <c r="Y420" s="25" t="s">
        <v>1725</v>
      </c>
      <c r="Z420" s="19" t="s">
        <v>51</v>
      </c>
      <c r="AA420" s="19" t="s">
        <v>144</v>
      </c>
      <c r="AB420" s="18" t="s">
        <v>1726</v>
      </c>
      <c r="AC420" s="17" t="str">
        <f t="shared" si="14"/>
        <v>Y</v>
      </c>
      <c r="AD420" s="17" t="s">
        <v>619</v>
      </c>
      <c r="AE420" s="26">
        <v>0.45833333333333331</v>
      </c>
      <c r="AF420" s="27"/>
      <c r="AG420" s="27"/>
      <c r="AI420" s="28" t="s">
        <v>57</v>
      </c>
    </row>
    <row r="421" spans="1:35" ht="34.950000000000003" customHeight="1" x14ac:dyDescent="0.4">
      <c r="A421" s="16" t="s">
        <v>36</v>
      </c>
      <c r="B421" s="16" t="s">
        <v>37</v>
      </c>
      <c r="C421" s="17">
        <v>46009</v>
      </c>
      <c r="D421" s="16" t="s">
        <v>248</v>
      </c>
      <c r="E421" s="16" t="s">
        <v>1034</v>
      </c>
      <c r="F421" s="16">
        <v>27062</v>
      </c>
      <c r="G421" s="18" t="s">
        <v>1134</v>
      </c>
      <c r="H421" s="16" t="s">
        <v>75</v>
      </c>
      <c r="I421" s="19" t="s">
        <v>137</v>
      </c>
      <c r="J421" s="16" t="str">
        <f>IFERROR(VLOOKUP(I421,[1]Sheet1!$A$1:$B$200,2,0),"_")</f>
        <v>BE</v>
      </c>
      <c r="K421" s="19" t="s">
        <v>86</v>
      </c>
      <c r="L421" s="16" t="str">
        <f>IFERROR(VLOOKUP(K421,[1]Sheet1!$A$1:$B$200,2,0),"-")</f>
        <v>HP</v>
      </c>
      <c r="M421" s="19" t="s">
        <v>87</v>
      </c>
      <c r="N421" s="16" t="str">
        <f>IFERROR(VLOOKUP(M421,[1]Sheet1!$G$2:$H$200,2,0),"-")</f>
        <v>HDMU</v>
      </c>
      <c r="O421" s="18" t="s">
        <v>1717</v>
      </c>
      <c r="P421" s="17">
        <v>46013</v>
      </c>
      <c r="Q421" s="20" t="s">
        <v>1723</v>
      </c>
      <c r="R421" s="20" t="s">
        <v>1724</v>
      </c>
      <c r="S421" s="21" t="str" cm="1">
        <f t="array" ref="S421">IF(
OR(AD421="",ISERROR(AD421)),
"-",
_xlfn.UNIQUE(_xlfn._xlws.FILTER([1]Sheet1!$D$2:$D$200,ISNUMBER(SEARCH(AD421,[1]Sheet1!$D$2:$D$200))))
)</f>
        <v>양양운수(주)</v>
      </c>
      <c r="T421" s="22" t="s">
        <v>277</v>
      </c>
      <c r="U421" s="16" t="str" cm="1">
        <f t="array" ref="U421">IF(
OR(AD421="",ISERROR(AD421)),
"-",
_xlfn.UNIQUE(_xlfn._xlws.FILTER([1]Sheet1!$D$2:$D$200,ISNUMBER(SEARCH(AD421,[1]Sheet1!$D$2:$D$200))))
)</f>
        <v>양양운수(주)</v>
      </c>
      <c r="V421" s="23">
        <v>10000</v>
      </c>
      <c r="W421" s="23">
        <v>10000</v>
      </c>
      <c r="X421" s="23">
        <f t="shared" si="15"/>
        <v>0</v>
      </c>
      <c r="Y421" s="25" t="s">
        <v>1727</v>
      </c>
      <c r="Z421" s="19" t="s">
        <v>51</v>
      </c>
      <c r="AA421" s="19" t="s">
        <v>144</v>
      </c>
      <c r="AC421" s="17" t="str">
        <f t="shared" si="14"/>
        <v>Y</v>
      </c>
      <c r="AD421" s="17" t="s">
        <v>619</v>
      </c>
      <c r="AE421" s="26">
        <v>0.45833333333333331</v>
      </c>
      <c r="AF421" s="27"/>
      <c r="AG421" s="27"/>
      <c r="AI421" s="28" t="s">
        <v>57</v>
      </c>
    </row>
    <row r="422" spans="1:35" ht="34.950000000000003" customHeight="1" x14ac:dyDescent="0.4">
      <c r="A422" s="16" t="s">
        <v>36</v>
      </c>
      <c r="B422" s="16" t="s">
        <v>37</v>
      </c>
      <c r="C422" s="17">
        <v>46009</v>
      </c>
      <c r="D422" s="16" t="s">
        <v>248</v>
      </c>
      <c r="E422" s="16" t="s">
        <v>536</v>
      </c>
      <c r="F422" s="16">
        <v>8577</v>
      </c>
      <c r="G422" s="18" t="s">
        <v>1728</v>
      </c>
      <c r="H422" s="16" t="s">
        <v>59</v>
      </c>
      <c r="I422" s="19" t="s">
        <v>538</v>
      </c>
      <c r="J422" s="16" t="str">
        <f>IFERROR(VLOOKUP(I422,[1]Sheet1!$A$1:$B$200,2,0),"_")</f>
        <v>OS</v>
      </c>
      <c r="K422" s="19" t="s">
        <v>730</v>
      </c>
      <c r="L422" s="16" t="str">
        <f>IFERROR(VLOOKUP(K422,[1]Sheet1!$A$1:$B$200,2,0),"-")</f>
        <v>TG</v>
      </c>
      <c r="M422" s="19" t="s">
        <v>64</v>
      </c>
      <c r="N422" s="16" t="str">
        <f>IFERROR(VLOOKUP(M422,[1]Sheet1!$G$2:$H$200,2,0),"-")</f>
        <v>XXXX</v>
      </c>
      <c r="O422" s="16" t="s">
        <v>55</v>
      </c>
      <c r="P422" s="16" t="s">
        <v>55</v>
      </c>
      <c r="Q422" s="20" t="s">
        <v>1729</v>
      </c>
      <c r="R422" s="20"/>
      <c r="S422" s="21" t="str" cm="1">
        <f t="array" ref="S422">IF(
OR(AD422="",ISERROR(AD422)),
"-",
_xlfn.UNIQUE(_xlfn._xlws.FILTER([1]Sheet1!$D$2:$D$200,ISNUMBER(SEARCH(AD422,[1]Sheet1!$D$2:$D$200))))
)</f>
        <v>(주)유진로직스</v>
      </c>
      <c r="T422" s="22" t="s">
        <v>1730</v>
      </c>
      <c r="U422" s="16" t="str" cm="1">
        <f t="array" ref="U422">IF(
OR(AD422="",ISERROR(AD422)),
"-",
_xlfn.UNIQUE(_xlfn._xlws.FILTER([1]Sheet1!$D$2:$D$200,ISNUMBER(SEARCH(AD422,[1]Sheet1!$D$2:$D$200))))
)</f>
        <v>(주)유진로직스</v>
      </c>
      <c r="V422" s="23">
        <v>440000</v>
      </c>
      <c r="W422" s="23">
        <v>420000</v>
      </c>
      <c r="X422" s="23">
        <f t="shared" si="15"/>
        <v>20000</v>
      </c>
      <c r="Y422" s="25" t="s">
        <v>1731</v>
      </c>
      <c r="Z422" s="19" t="s">
        <v>51</v>
      </c>
      <c r="AA422" s="19" t="s">
        <v>144</v>
      </c>
      <c r="AB422" s="105" t="s">
        <v>1732</v>
      </c>
      <c r="AC422" s="17" t="str">
        <f t="shared" si="14"/>
        <v>Y</v>
      </c>
      <c r="AD422" s="17" t="s">
        <v>70</v>
      </c>
      <c r="AE422" s="26" t="s">
        <v>1733</v>
      </c>
      <c r="AF422" s="27" t="s">
        <v>1734</v>
      </c>
      <c r="AG422" s="27"/>
      <c r="AI422" s="28" t="s">
        <v>57</v>
      </c>
    </row>
    <row r="423" spans="1:35" ht="34.950000000000003" customHeight="1" x14ac:dyDescent="0.4">
      <c r="A423" s="16" t="s">
        <v>36</v>
      </c>
      <c r="B423" s="16" t="s">
        <v>37</v>
      </c>
      <c r="C423" s="17">
        <v>46009</v>
      </c>
      <c r="D423" s="16" t="s">
        <v>642</v>
      </c>
      <c r="E423" s="16" t="s">
        <v>1735</v>
      </c>
      <c r="F423" s="16">
        <v>24901</v>
      </c>
      <c r="G423" s="18" t="s">
        <v>1736</v>
      </c>
      <c r="H423" s="16" t="s">
        <v>41</v>
      </c>
      <c r="I423" s="19" t="s">
        <v>272</v>
      </c>
      <c r="J423" s="16" t="str">
        <f>IFERROR(VLOOKUP(I423,[1]Sheet1!$A$1:$B$200,2,0),"_")</f>
        <v>Z9</v>
      </c>
      <c r="K423" s="19" t="s">
        <v>272</v>
      </c>
      <c r="L423" s="16" t="str">
        <f>IFERROR(VLOOKUP(K423,[1]Sheet1!$A$1:$B$200,2,0),"-")</f>
        <v>Z9</v>
      </c>
      <c r="M423" s="19" t="s">
        <v>77</v>
      </c>
      <c r="N423" s="16" t="str">
        <f>IFERROR(VLOOKUP(M423,[1]Sheet1!$G$2:$H$200,2,0),"-")</f>
        <v>KMTC</v>
      </c>
      <c r="O423" s="18" t="s">
        <v>1737</v>
      </c>
      <c r="P423" s="17">
        <v>46010</v>
      </c>
      <c r="Q423" s="20" t="s">
        <v>1738</v>
      </c>
      <c r="R423" s="20" t="s">
        <v>1739</v>
      </c>
      <c r="S423" s="21" t="str" cm="1">
        <f t="array" ref="S423">IF(
OR(AD423="",ISERROR(AD423)),
"-",
_xlfn.UNIQUE(_xlfn._xlws.FILTER([1]Sheet1!$D$2:$D$200,ISNUMBER(SEARCH(AD423,[1]Sheet1!$D$2:$D$200))))
)</f>
        <v>에스지로지스틱</v>
      </c>
      <c r="T423" s="22" t="s">
        <v>1685</v>
      </c>
      <c r="U423" s="16" t="str" cm="1">
        <f t="array" ref="U423">IF(
OR(AD423="",ISERROR(AD423)),
"-",
_xlfn.UNIQUE(_xlfn._xlws.FILTER([1]Sheet1!$D$2:$D$200,ISNUMBER(SEARCH(AD423,[1]Sheet1!$D$2:$D$200))))
)</f>
        <v>에스지로지스틱</v>
      </c>
      <c r="V423" s="23">
        <v>319000</v>
      </c>
      <c r="W423" s="23">
        <v>295600</v>
      </c>
      <c r="X423" s="23">
        <f t="shared" si="15"/>
        <v>23400</v>
      </c>
      <c r="Y423" s="25" t="s">
        <v>1740</v>
      </c>
      <c r="Z423" s="19" t="s">
        <v>51</v>
      </c>
      <c r="AA423" s="19" t="s">
        <v>93</v>
      </c>
      <c r="AC423" s="17" t="str">
        <f t="shared" si="14"/>
        <v>Y</v>
      </c>
      <c r="AD423" s="17" t="s">
        <v>184</v>
      </c>
      <c r="AE423" s="26">
        <v>0.33333333333333331</v>
      </c>
      <c r="AF423" s="27"/>
      <c r="AG423" s="27"/>
      <c r="AI423" s="28" t="s">
        <v>57</v>
      </c>
    </row>
    <row r="424" spans="1:35" ht="34.950000000000003" customHeight="1" x14ac:dyDescent="0.4">
      <c r="A424" s="16" t="s">
        <v>36</v>
      </c>
      <c r="B424" s="16" t="s">
        <v>37</v>
      </c>
      <c r="C424" s="17">
        <v>46009</v>
      </c>
      <c r="D424" s="16" t="s">
        <v>642</v>
      </c>
      <c r="E424" s="16" t="s">
        <v>1735</v>
      </c>
      <c r="F424" s="16">
        <v>24901</v>
      </c>
      <c r="G424" s="18" t="s">
        <v>1736</v>
      </c>
      <c r="H424" s="16" t="s">
        <v>41</v>
      </c>
      <c r="I424" s="19" t="s">
        <v>272</v>
      </c>
      <c r="J424" s="16" t="str">
        <f>IFERROR(VLOOKUP(I424,[1]Sheet1!$A$1:$B$200,2,0),"_")</f>
        <v>Z9</v>
      </c>
      <c r="K424" s="19" t="s">
        <v>272</v>
      </c>
      <c r="L424" s="16" t="str">
        <f>IFERROR(VLOOKUP(K424,[1]Sheet1!$A$1:$B$200,2,0),"-")</f>
        <v>Z9</v>
      </c>
      <c r="M424" s="19" t="s">
        <v>77</v>
      </c>
      <c r="N424" s="16" t="str">
        <f>IFERROR(VLOOKUP(M424,[1]Sheet1!$G$2:$H$200,2,0),"-")</f>
        <v>KMTC</v>
      </c>
      <c r="O424" s="18" t="s">
        <v>1737</v>
      </c>
      <c r="P424" s="17">
        <v>46010</v>
      </c>
      <c r="Q424" s="20" t="s">
        <v>1741</v>
      </c>
      <c r="R424" s="20" t="s">
        <v>1742</v>
      </c>
      <c r="S424" s="21" t="str" cm="1">
        <f t="array" ref="S424">IF(
OR(AD424="",ISERROR(AD424)),
"-",
_xlfn.UNIQUE(_xlfn._xlws.FILTER([1]Sheet1!$D$2:$D$200,ISNUMBER(SEARCH(AD424,[1]Sheet1!$D$2:$D$200))))
)</f>
        <v>에스지로지스틱</v>
      </c>
      <c r="T424" s="22" t="s">
        <v>255</v>
      </c>
      <c r="U424" s="16" t="str" cm="1">
        <f t="array" ref="U424">IF(
OR(AD424="",ISERROR(AD424)),
"-",
_xlfn.UNIQUE(_xlfn._xlws.FILTER([1]Sheet1!$D$2:$D$200,ISNUMBER(SEARCH(AD424,[1]Sheet1!$D$2:$D$200))))
)</f>
        <v>에스지로지스틱</v>
      </c>
      <c r="V424" s="23">
        <v>319000</v>
      </c>
      <c r="W424" s="23">
        <v>296000</v>
      </c>
      <c r="X424" s="23">
        <f t="shared" si="15"/>
        <v>23000</v>
      </c>
      <c r="Y424" s="25" t="s">
        <v>1740</v>
      </c>
      <c r="Z424" s="19" t="s">
        <v>51</v>
      </c>
      <c r="AA424" s="19" t="s">
        <v>93</v>
      </c>
      <c r="AC424" s="17" t="str">
        <f t="shared" si="14"/>
        <v>Y</v>
      </c>
      <c r="AD424" s="17" t="s">
        <v>184</v>
      </c>
      <c r="AE424" s="26">
        <v>0.34722222222222227</v>
      </c>
      <c r="AF424" s="27"/>
      <c r="AG424" s="27"/>
      <c r="AI424" s="28" t="s">
        <v>57</v>
      </c>
    </row>
    <row r="425" spans="1:35" ht="34.950000000000003" customHeight="1" x14ac:dyDescent="0.4">
      <c r="A425" s="16" t="s">
        <v>36</v>
      </c>
      <c r="B425" s="16" t="s">
        <v>99</v>
      </c>
      <c r="C425" s="17">
        <v>46009</v>
      </c>
      <c r="D425" s="16" t="s">
        <v>261</v>
      </c>
      <c r="E425" s="16" t="s">
        <v>1743</v>
      </c>
      <c r="F425" s="16">
        <v>28891</v>
      </c>
      <c r="G425" s="18" t="s">
        <v>1744</v>
      </c>
      <c r="H425" s="16" t="s">
        <v>41</v>
      </c>
      <c r="I425" s="19" t="s">
        <v>129</v>
      </c>
      <c r="J425" s="16" t="str">
        <f>IFERROR(VLOOKUP(I425,[1]Sheet1!$A$1:$B$200,2,0),"_")</f>
        <v>E1</v>
      </c>
      <c r="K425" s="19" t="s">
        <v>129</v>
      </c>
      <c r="L425" s="16" t="str">
        <f>IFERROR(VLOOKUP(K425,[1]Sheet1!$A$1:$B$200,2,0),"-")</f>
        <v>E1</v>
      </c>
      <c r="M425" s="19" t="s">
        <v>191</v>
      </c>
      <c r="N425" s="16" t="str">
        <f>IFERROR(VLOOKUP(M425,[1]Sheet1!$G$2:$H$200,2,0),"-")</f>
        <v>HASL</v>
      </c>
      <c r="O425" s="18" t="s">
        <v>1745</v>
      </c>
      <c r="P425" s="17">
        <v>46011</v>
      </c>
      <c r="Q425" s="20" t="s">
        <v>1746</v>
      </c>
      <c r="R425" s="20" t="s">
        <v>1747</v>
      </c>
      <c r="S425" s="21" t="str" cm="1">
        <f t="array" ref="S425">IF(
OR(AD425="",ISERROR(AD425)),
"-",
_xlfn.UNIQUE(_xlfn._xlws.FILTER([1]Sheet1!$D$2:$D$200,ISNUMBER(SEARCH(AD425,[1]Sheet1!$D$2:$D$200))))
)</f>
        <v>태성종합물류</v>
      </c>
      <c r="T425" s="22" t="s">
        <v>225</v>
      </c>
      <c r="U425" s="16" t="str" cm="1">
        <f t="array" ref="U425">IF(
OR(AD425="",ISERROR(AD425)),
"-",
_xlfn.UNIQUE(_xlfn._xlws.FILTER([1]Sheet1!$D$2:$D$200,ISNUMBER(SEARCH(AD425,[1]Sheet1!$D$2:$D$200))))
)</f>
        <v>태성종합물류</v>
      </c>
      <c r="V425" s="23">
        <v>513000</v>
      </c>
      <c r="W425" s="23">
        <v>477000</v>
      </c>
      <c r="X425" s="23">
        <f t="shared" si="15"/>
        <v>36000</v>
      </c>
      <c r="Y425" s="25" t="s">
        <v>1748</v>
      </c>
      <c r="Z425" s="19" t="s">
        <v>51</v>
      </c>
      <c r="AA425" s="19" t="s">
        <v>93</v>
      </c>
      <c r="AB425" s="18" t="s">
        <v>1709</v>
      </c>
      <c r="AC425" s="17" t="str">
        <f t="shared" si="14"/>
        <v>Y</v>
      </c>
      <c r="AD425" s="17" t="s">
        <v>82</v>
      </c>
      <c r="AE425" s="26">
        <v>0.33333333333333331</v>
      </c>
      <c r="AF425" s="27"/>
      <c r="AG425" s="27"/>
      <c r="AI425" s="28" t="s">
        <v>57</v>
      </c>
    </row>
    <row r="426" spans="1:35" ht="34.950000000000003" customHeight="1" x14ac:dyDescent="0.4">
      <c r="A426" s="16" t="s">
        <v>71</v>
      </c>
      <c r="B426" s="16" t="s">
        <v>37</v>
      </c>
      <c r="C426" s="17">
        <v>46009</v>
      </c>
      <c r="D426" s="16" t="s">
        <v>1749</v>
      </c>
      <c r="E426" s="16" t="s">
        <v>1750</v>
      </c>
      <c r="F426" s="16">
        <v>26168</v>
      </c>
      <c r="G426" s="18" t="s">
        <v>1751</v>
      </c>
      <c r="H426" s="16" t="s">
        <v>75</v>
      </c>
      <c r="I426" s="19" t="s">
        <v>730</v>
      </c>
      <c r="J426" s="16" t="str">
        <f>IFERROR(VLOOKUP(I426,[1]Sheet1!$A$1:$B$200,2,0),"_")</f>
        <v>TG</v>
      </c>
      <c r="K426" s="19" t="s">
        <v>730</v>
      </c>
      <c r="L426" s="16" t="str">
        <f>IFERROR(VLOOKUP(K426,[1]Sheet1!$A$1:$B$200,2,0),"-")</f>
        <v>TG</v>
      </c>
      <c r="M426" s="19" t="s">
        <v>180</v>
      </c>
      <c r="N426" s="16" t="str">
        <f>IFERROR(VLOOKUP(M426,[1]Sheet1!$G$2:$H$200,2,0),"-")</f>
        <v>TSL</v>
      </c>
      <c r="O426" s="18" t="s">
        <v>55</v>
      </c>
      <c r="P426" s="17" t="s">
        <v>55</v>
      </c>
      <c r="Q426" s="20" t="s">
        <v>1752</v>
      </c>
      <c r="R426" s="20"/>
      <c r="S426" s="21" t="str" cm="1">
        <f t="array" ref="S426">IF(
OR(AD426="",ISERROR(AD426)),
"-",
_xlfn.UNIQUE(_xlfn._xlws.FILTER([1]Sheet1!$D$2:$D$200,ISNUMBER(SEARCH(AD426,[1]Sheet1!$D$2:$D$200))))
)</f>
        <v>백승운수</v>
      </c>
      <c r="T426" s="22" t="s">
        <v>883</v>
      </c>
      <c r="U426" s="16" t="str" cm="1">
        <f t="array" ref="U426">IF(
OR(AD426="",ISERROR(AD426)),
"-",
_xlfn.UNIQUE(_xlfn._xlws.FILTER([1]Sheet1!$D$2:$D$200,ISNUMBER(SEARCH(AD426,[1]Sheet1!$D$2:$D$200))))
)</f>
        <v>백승운수</v>
      </c>
      <c r="V426" s="23">
        <v>666000</v>
      </c>
      <c r="W426" s="23">
        <v>467000</v>
      </c>
      <c r="X426" s="23">
        <f t="shared" si="15"/>
        <v>199000</v>
      </c>
      <c r="Y426" s="25" t="s">
        <v>1753</v>
      </c>
      <c r="Z426" s="19" t="s">
        <v>51</v>
      </c>
      <c r="AA426" s="19" t="s">
        <v>144</v>
      </c>
      <c r="AB426" s="18" t="s">
        <v>1754</v>
      </c>
      <c r="AC426" s="17" t="str">
        <f t="shared" si="14"/>
        <v>Y</v>
      </c>
      <c r="AD426" s="17" t="s">
        <v>95</v>
      </c>
      <c r="AE426" s="26">
        <v>0.41666666666666669</v>
      </c>
      <c r="AF426" s="27"/>
      <c r="AG426" s="27"/>
      <c r="AI426" s="28" t="s">
        <v>57</v>
      </c>
    </row>
    <row r="427" spans="1:35" ht="34.950000000000003" customHeight="1" x14ac:dyDescent="0.4">
      <c r="A427" s="16" t="s">
        <v>36</v>
      </c>
      <c r="B427" s="16" t="s">
        <v>37</v>
      </c>
      <c r="C427" s="17">
        <v>46009</v>
      </c>
      <c r="D427" s="16" t="s">
        <v>280</v>
      </c>
      <c r="E427" s="16" t="s">
        <v>281</v>
      </c>
      <c r="F427" s="16">
        <v>25997</v>
      </c>
      <c r="G427" s="18" t="s">
        <v>1755</v>
      </c>
      <c r="H427" s="16" t="s">
        <v>41</v>
      </c>
      <c r="I427" s="19" t="s">
        <v>328</v>
      </c>
      <c r="J427" s="16" t="str">
        <f>IFERROR(VLOOKUP(I427,[1]Sheet1!$A$1:$B$200,2,0),"_")</f>
        <v>BT</v>
      </c>
      <c r="K427" s="19" t="s">
        <v>328</v>
      </c>
      <c r="L427" s="16" t="str">
        <f>IFERROR(VLOOKUP(K427,[1]Sheet1!$A$1:$B$200,2,0),"-")</f>
        <v>BT</v>
      </c>
      <c r="M427" s="19" t="s">
        <v>1756</v>
      </c>
      <c r="N427" s="16" t="str">
        <f>IFERROR(VLOOKUP(M427,[1]Sheet1!$G$2:$H$200,2,0),"-")</f>
        <v>SNLS</v>
      </c>
      <c r="O427" s="18" t="s">
        <v>1757</v>
      </c>
      <c r="P427" s="17">
        <v>46013</v>
      </c>
      <c r="Q427" s="20" t="s">
        <v>1758</v>
      </c>
      <c r="R427" s="20" t="s">
        <v>1759</v>
      </c>
      <c r="S427" s="21" t="str" cm="1">
        <f t="array" ref="S427">IF(
OR(AD427="",ISERROR(AD427)),
"-",
_xlfn.UNIQUE(_xlfn._xlws.FILTER([1]Sheet1!$D$2:$D$200,ISNUMBER(SEARCH(AD427,[1]Sheet1!$D$2:$D$200))))
)</f>
        <v>동방 익스프레스</v>
      </c>
      <c r="T427" s="22" t="s">
        <v>402</v>
      </c>
      <c r="U427" s="16" t="str" cm="1">
        <f t="array" ref="U427">IF(
OR(AD427="",ISERROR(AD427)),
"-",
_xlfn.UNIQUE(_xlfn._xlws.FILTER([1]Sheet1!$D$2:$D$200,ISNUMBER(SEARCH(AD427,[1]Sheet1!$D$2:$D$200))))
)</f>
        <v>동방 익스프레스</v>
      </c>
      <c r="V427" s="23">
        <v>770000</v>
      </c>
      <c r="W427" s="23">
        <v>732000</v>
      </c>
      <c r="X427" s="23">
        <f t="shared" si="15"/>
        <v>38000</v>
      </c>
      <c r="Y427" s="25" t="s">
        <v>1760</v>
      </c>
      <c r="Z427" s="19" t="s">
        <v>51</v>
      </c>
      <c r="AA427" s="19" t="s">
        <v>115</v>
      </c>
      <c r="AB427" s="18" t="s">
        <v>1709</v>
      </c>
      <c r="AC427" s="17" t="str">
        <f t="shared" si="14"/>
        <v>Y</v>
      </c>
      <c r="AD427" s="17" t="s">
        <v>116</v>
      </c>
      <c r="AE427" s="26">
        <v>0.58333333333333337</v>
      </c>
      <c r="AF427" s="27"/>
      <c r="AG427" s="27"/>
      <c r="AI427" s="28" t="s">
        <v>57</v>
      </c>
    </row>
    <row r="428" spans="1:35" ht="34.950000000000003" customHeight="1" x14ac:dyDescent="0.4">
      <c r="A428" s="16" t="s">
        <v>36</v>
      </c>
      <c r="B428" s="16" t="s">
        <v>37</v>
      </c>
      <c r="C428" s="17">
        <v>46009</v>
      </c>
      <c r="D428" s="16" t="s">
        <v>642</v>
      </c>
      <c r="E428" s="16" t="s">
        <v>1761</v>
      </c>
      <c r="F428" s="16">
        <v>28893</v>
      </c>
      <c r="G428" s="18" t="s">
        <v>1762</v>
      </c>
      <c r="H428" s="16" t="s">
        <v>59</v>
      </c>
      <c r="I428" s="19" t="s">
        <v>1073</v>
      </c>
      <c r="J428" s="16" t="str">
        <f>IFERROR(VLOOKUP(I428,[1]Sheet1!$A$1:$B$200,2,0),"_")</f>
        <v>HWA</v>
      </c>
      <c r="K428" s="19" t="s">
        <v>317</v>
      </c>
      <c r="L428" s="16" t="str">
        <f>IFERROR(VLOOKUP(K428,[1]Sheet1!$A$1:$B$200,2,0),"-")</f>
        <v>HN</v>
      </c>
      <c r="M428" s="19" t="s">
        <v>64</v>
      </c>
      <c r="N428" s="16" t="str">
        <f>IFERROR(VLOOKUP(M428,[1]Sheet1!$G$2:$H$200,2,0),"-")</f>
        <v>XXXX</v>
      </c>
      <c r="O428" s="18" t="s">
        <v>55</v>
      </c>
      <c r="P428" s="17" t="s">
        <v>55</v>
      </c>
      <c r="Q428" s="20" t="s">
        <v>799</v>
      </c>
      <c r="R428" s="20"/>
      <c r="S428" s="21" t="str" cm="1">
        <f t="array" ref="S428">IF(
OR(AD428="",ISERROR(AD428)),
"-",
_xlfn.UNIQUE(_xlfn._xlws.FILTER([1]Sheet1!$D$2:$D$200,ISNUMBER(SEARCH(AD428,[1]Sheet1!$D$2:$D$200))))
)</f>
        <v>디티씨</v>
      </c>
      <c r="T428" s="22" t="s">
        <v>1763</v>
      </c>
      <c r="U428" s="16" t="str" cm="1">
        <f t="array" ref="U428">IF(
OR(AD428="",ISERROR(AD428)),
"-",
_xlfn.UNIQUE(_xlfn._xlws.FILTER([1]Sheet1!$D$2:$D$200,ISNUMBER(SEARCH(AD428,[1]Sheet1!$D$2:$D$200))))
)</f>
        <v>디티씨</v>
      </c>
      <c r="V428" s="23">
        <v>530000</v>
      </c>
      <c r="W428" s="23">
        <v>500000</v>
      </c>
      <c r="X428" s="23">
        <f t="shared" si="15"/>
        <v>30000</v>
      </c>
      <c r="Y428" s="25" t="s">
        <v>1764</v>
      </c>
      <c r="Z428" s="19" t="s">
        <v>51</v>
      </c>
      <c r="AA428" s="19" t="s">
        <v>93</v>
      </c>
      <c r="AB428" s="105" t="s">
        <v>1765</v>
      </c>
      <c r="AC428" s="17" t="str">
        <f t="shared" si="14"/>
        <v>Y</v>
      </c>
      <c r="AD428" s="17" t="s">
        <v>1766</v>
      </c>
      <c r="AE428" s="26">
        <v>0.54166666666666663</v>
      </c>
      <c r="AF428" s="27"/>
      <c r="AG428" s="27"/>
      <c r="AI428" s="28" t="s">
        <v>57</v>
      </c>
    </row>
    <row r="429" spans="1:35" ht="34.950000000000003" customHeight="1" x14ac:dyDescent="0.4">
      <c r="A429" s="16" t="s">
        <v>36</v>
      </c>
      <c r="B429" s="16" t="s">
        <v>37</v>
      </c>
      <c r="C429" s="17">
        <v>46009</v>
      </c>
      <c r="D429" s="16" t="s">
        <v>72</v>
      </c>
      <c r="E429" s="16" t="s">
        <v>1099</v>
      </c>
      <c r="F429" s="16">
        <v>13305</v>
      </c>
      <c r="G429" s="18" t="s">
        <v>1100</v>
      </c>
      <c r="H429" s="16" t="s">
        <v>41</v>
      </c>
      <c r="I429" s="19" t="s">
        <v>137</v>
      </c>
      <c r="J429" s="16" t="str">
        <f>IFERROR(VLOOKUP(I429,[1]Sheet1!$A$1:$B$200,2,0),"_")</f>
        <v>BE</v>
      </c>
      <c r="K429" s="19" t="s">
        <v>86</v>
      </c>
      <c r="L429" s="16" t="str">
        <f>IFERROR(VLOOKUP(K429,[1]Sheet1!$A$1:$B$200,2,0),"-")</f>
        <v>HP</v>
      </c>
      <c r="M429" s="19" t="s">
        <v>87</v>
      </c>
      <c r="N429" s="16" t="str">
        <f>IFERROR(VLOOKUP(M429,[1]Sheet1!$G$2:$H$200,2,0),"-")</f>
        <v>HDMU</v>
      </c>
      <c r="O429" s="18" t="s">
        <v>1767</v>
      </c>
      <c r="P429" s="17">
        <v>46015</v>
      </c>
      <c r="Q429" s="20" t="s">
        <v>1768</v>
      </c>
      <c r="R429" s="20" t="s">
        <v>1769</v>
      </c>
      <c r="S429" s="21" t="str" cm="1">
        <f t="array" ref="S429">IF(
OR(AD429="",ISERROR(AD429)),
"-",
_xlfn.UNIQUE(_xlfn._xlws.FILTER([1]Sheet1!$D$2:$D$200,ISNUMBER(SEARCH(AD429,[1]Sheet1!$D$2:$D$200))))
)</f>
        <v>양양운수(주)</v>
      </c>
      <c r="T429" s="22" t="s">
        <v>1601</v>
      </c>
      <c r="U429" s="16" t="str" cm="1">
        <f t="array" ref="U429">IF(
OR(AD429="",ISERROR(AD429)),
"-",
_xlfn.UNIQUE(_xlfn._xlws.FILTER([1]Sheet1!$D$2:$D$200,ISNUMBER(SEARCH(AD429,[1]Sheet1!$D$2:$D$200))))
)</f>
        <v>양양운수(주)</v>
      </c>
      <c r="V429" s="23">
        <v>750000</v>
      </c>
      <c r="W429" s="23">
        <v>702600</v>
      </c>
      <c r="X429" s="23">
        <f t="shared" si="15"/>
        <v>47400</v>
      </c>
      <c r="Y429" s="25" t="s">
        <v>1770</v>
      </c>
      <c r="Z429" s="19" t="s">
        <v>51</v>
      </c>
      <c r="AA429" s="19" t="s">
        <v>81</v>
      </c>
      <c r="AB429" s="18" t="s">
        <v>1709</v>
      </c>
      <c r="AC429" s="17" t="str">
        <f t="shared" si="14"/>
        <v>Y</v>
      </c>
      <c r="AD429" s="17" t="s">
        <v>619</v>
      </c>
      <c r="AE429" s="26">
        <v>0.58333333333333337</v>
      </c>
      <c r="AF429" s="27"/>
      <c r="AG429" s="27"/>
      <c r="AI429" s="28" t="s">
        <v>57</v>
      </c>
    </row>
    <row r="430" spans="1:35" ht="34.950000000000003" customHeight="1" x14ac:dyDescent="0.4">
      <c r="A430" s="16" t="s">
        <v>71</v>
      </c>
      <c r="B430" s="16" t="s">
        <v>99</v>
      </c>
      <c r="C430" s="17">
        <v>46009</v>
      </c>
      <c r="D430" s="16" t="s">
        <v>216</v>
      </c>
      <c r="E430" s="16" t="s">
        <v>1771</v>
      </c>
      <c r="F430" s="16">
        <v>28892</v>
      </c>
      <c r="G430" s="18" t="s">
        <v>1772</v>
      </c>
      <c r="H430" s="16" t="s">
        <v>41</v>
      </c>
      <c r="I430" s="19" t="s">
        <v>220</v>
      </c>
      <c r="J430" s="16">
        <f>IFERROR(VLOOKUP(I430,[1]Sheet1!$A$1:$B$200,2,0),"_")</f>
        <v>81</v>
      </c>
      <c r="K430" s="19" t="s">
        <v>219</v>
      </c>
      <c r="L430" s="16" t="str">
        <f>IFERROR(VLOOKUP(K430,[1]Sheet1!$A$1:$B$200,2,0),"-")</f>
        <v>NN</v>
      </c>
      <c r="M430" s="19" t="s">
        <v>221</v>
      </c>
      <c r="N430" s="16" t="str">
        <f>IFERROR(VLOOKUP(M430,[1]Sheet1!$G$2:$H$200,2,0),"-")</f>
        <v>DOOW</v>
      </c>
      <c r="O430" s="18" t="s">
        <v>55</v>
      </c>
      <c r="P430" s="17" t="s">
        <v>55</v>
      </c>
      <c r="Q430" s="20" t="s">
        <v>1773</v>
      </c>
      <c r="R430" s="20"/>
      <c r="S430" s="21" t="str" cm="1">
        <f t="array" ref="S430">IF(
OR(AD430="",ISERROR(AD430)),
"-",
_xlfn.UNIQUE(_xlfn._xlws.FILTER([1]Sheet1!$D$2:$D$200,ISNUMBER(SEARCH(AD430,[1]Sheet1!$D$2:$D$200))))
)</f>
        <v>태성종합물류</v>
      </c>
      <c r="T430" s="22" t="s">
        <v>1774</v>
      </c>
      <c r="U430" s="16" t="str" cm="1">
        <f t="array" ref="U430">IF(
OR(AD430="",ISERROR(AD430)),
"-",
_xlfn.UNIQUE(_xlfn._xlws.FILTER([1]Sheet1!$D$2:$D$200,ISNUMBER(SEARCH(AD430,[1]Sheet1!$D$2:$D$200))))
)</f>
        <v>태성종합물류</v>
      </c>
      <c r="V430" s="23">
        <v>930000</v>
      </c>
      <c r="W430" s="23">
        <v>874000</v>
      </c>
      <c r="X430" s="23">
        <f t="shared" si="15"/>
        <v>56000</v>
      </c>
      <c r="Y430" s="25" t="s">
        <v>1775</v>
      </c>
      <c r="Z430" s="19" t="s">
        <v>51</v>
      </c>
      <c r="AA430" s="19" t="s">
        <v>93</v>
      </c>
      <c r="AC430" s="17" t="str">
        <f t="shared" si="14"/>
        <v>Y</v>
      </c>
      <c r="AD430" s="17" t="s">
        <v>82</v>
      </c>
      <c r="AE430" s="26">
        <v>0.35416666666666669</v>
      </c>
      <c r="AF430" s="27"/>
      <c r="AG430" s="27"/>
      <c r="AI430" s="28" t="s">
        <v>57</v>
      </c>
    </row>
    <row r="431" spans="1:35" ht="34.950000000000003" customHeight="1" x14ac:dyDescent="0.4">
      <c r="A431" s="16" t="s">
        <v>71</v>
      </c>
      <c r="B431" s="16" t="s">
        <v>99</v>
      </c>
      <c r="C431" s="17">
        <v>46009</v>
      </c>
      <c r="D431" s="16" t="s">
        <v>72</v>
      </c>
      <c r="E431" s="16" t="s">
        <v>565</v>
      </c>
      <c r="F431" s="16">
        <v>22108</v>
      </c>
      <c r="G431" s="18" t="s">
        <v>1776</v>
      </c>
      <c r="H431" s="16" t="s">
        <v>41</v>
      </c>
      <c r="I431" s="19" t="s">
        <v>219</v>
      </c>
      <c r="J431" s="16" t="str">
        <f>IFERROR(VLOOKUP(I431,[1]Sheet1!$A$1:$B$200,2,0),"_")</f>
        <v>NN</v>
      </c>
      <c r="K431" s="19" t="s">
        <v>219</v>
      </c>
      <c r="L431" s="16" t="str">
        <f>IFERROR(VLOOKUP(K431,[1]Sheet1!$A$1:$B$200,2,0),"-")</f>
        <v>NN</v>
      </c>
      <c r="M431" s="19" t="s">
        <v>87</v>
      </c>
      <c r="N431" s="16" t="str">
        <f>IFERROR(VLOOKUP(M431,[1]Sheet1!$G$2:$H$200,2,0),"-")</f>
        <v>HDMU</v>
      </c>
      <c r="O431" s="18" t="s">
        <v>55</v>
      </c>
      <c r="P431" s="17" t="s">
        <v>55</v>
      </c>
      <c r="Q431" s="20" t="s">
        <v>1777</v>
      </c>
      <c r="R431" s="20"/>
      <c r="S431" s="21" t="str" cm="1">
        <f t="array" ref="S431">IF(
OR(AD431="",ISERROR(AD431)),
"-",
_xlfn.UNIQUE(_xlfn._xlws.FILTER([1]Sheet1!$D$2:$D$200,ISNUMBER(SEARCH(AD431,[1]Sheet1!$D$2:$D$200))))
)</f>
        <v>태성종합물류</v>
      </c>
      <c r="T431" s="22" t="s">
        <v>1778</v>
      </c>
      <c r="U431" s="16" t="str" cm="1">
        <f t="array" ref="U431">IF(
OR(AD431="",ISERROR(AD431)),
"-",
_xlfn.UNIQUE(_xlfn._xlws.FILTER([1]Sheet1!$D$2:$D$200,ISNUMBER(SEARCH(AD431,[1]Sheet1!$D$2:$D$200))))
)</f>
        <v>태성종합물류</v>
      </c>
      <c r="V431" s="23">
        <v>498000</v>
      </c>
      <c r="W431" s="23">
        <v>481900</v>
      </c>
      <c r="X431" s="23">
        <f t="shared" si="15"/>
        <v>16100</v>
      </c>
      <c r="Y431" s="25" t="s">
        <v>1779</v>
      </c>
      <c r="Z431" s="19" t="s">
        <v>51</v>
      </c>
      <c r="AA431" s="19" t="s">
        <v>81</v>
      </c>
      <c r="AC431" s="17" t="str">
        <f t="shared" si="14"/>
        <v>Y</v>
      </c>
      <c r="AD431" s="17" t="s">
        <v>82</v>
      </c>
      <c r="AE431" s="26">
        <v>0.33333333333333331</v>
      </c>
      <c r="AF431" s="27"/>
      <c r="AG431" s="27"/>
      <c r="AI431" s="28" t="s">
        <v>57</v>
      </c>
    </row>
    <row r="432" spans="1:35" ht="34.950000000000003" customHeight="1" x14ac:dyDescent="0.4">
      <c r="A432" s="16" t="s">
        <v>71</v>
      </c>
      <c r="B432" s="16" t="s">
        <v>37</v>
      </c>
      <c r="C432" s="17">
        <v>46009</v>
      </c>
      <c r="D432" s="16" t="s">
        <v>109</v>
      </c>
      <c r="E432" s="16" t="s">
        <v>110</v>
      </c>
      <c r="F432" s="16">
        <v>12650</v>
      </c>
      <c r="G432" s="18" t="s">
        <v>1306</v>
      </c>
      <c r="H432" s="16" t="s">
        <v>41</v>
      </c>
      <c r="I432" s="19" t="s">
        <v>272</v>
      </c>
      <c r="J432" s="16" t="str">
        <f>IFERROR(VLOOKUP(I432,[1]Sheet1!$A$1:$B$200,2,0),"_")</f>
        <v>Z9</v>
      </c>
      <c r="K432" s="19" t="s">
        <v>272</v>
      </c>
      <c r="L432" s="16" t="str">
        <f>IFERROR(VLOOKUP(K432,[1]Sheet1!$A$1:$B$200,2,0),"-")</f>
        <v>Z9</v>
      </c>
      <c r="M432" s="19" t="s">
        <v>667</v>
      </c>
      <c r="N432" s="16" t="str">
        <f>IFERROR(VLOOKUP(M432,[1]Sheet1!$G$2:$H$200,2,0),"-")</f>
        <v>CKCO</v>
      </c>
      <c r="O432" s="18" t="s">
        <v>55</v>
      </c>
      <c r="P432" s="17" t="s">
        <v>55</v>
      </c>
      <c r="Q432" s="20" t="s">
        <v>1780</v>
      </c>
      <c r="R432" s="20"/>
      <c r="S432" s="21" t="str" cm="1">
        <f t="array" ref="S432">IF(
OR(AD432="",ISERROR(AD432)),
"-",
_xlfn.UNIQUE(_xlfn._xlws.FILTER([1]Sheet1!$D$2:$D$200,ISNUMBER(SEARCH(AD432,[1]Sheet1!$D$2:$D$200))))
)</f>
        <v>에스지로지스틱</v>
      </c>
      <c r="T432" s="22" t="s">
        <v>699</v>
      </c>
      <c r="U432" s="16" t="str" cm="1">
        <f t="array" ref="U432">IF(
OR(AD432="",ISERROR(AD432)),
"-",
_xlfn.UNIQUE(_xlfn._xlws.FILTER([1]Sheet1!$D$2:$D$200,ISNUMBER(SEARCH(AD432,[1]Sheet1!$D$2:$D$200))))
)</f>
        <v>에스지로지스틱</v>
      </c>
      <c r="V432" s="23">
        <v>415000</v>
      </c>
      <c r="W432" s="23">
        <v>388000</v>
      </c>
      <c r="X432" s="23">
        <f t="shared" si="15"/>
        <v>27000</v>
      </c>
      <c r="Y432" s="25" t="s">
        <v>1781</v>
      </c>
      <c r="Z432" s="19" t="s">
        <v>51</v>
      </c>
      <c r="AA432" s="19" t="s">
        <v>115</v>
      </c>
      <c r="AC432" s="17" t="str">
        <f t="shared" si="14"/>
        <v>Y</v>
      </c>
      <c r="AD432" s="17" t="s">
        <v>184</v>
      </c>
      <c r="AE432" s="26">
        <v>0.35416666666666669</v>
      </c>
      <c r="AF432" s="27"/>
      <c r="AG432" s="27"/>
      <c r="AI432" s="28" t="s">
        <v>57</v>
      </c>
    </row>
    <row r="433" spans="1:35" ht="34.950000000000003" customHeight="1" x14ac:dyDescent="0.4">
      <c r="A433" s="16" t="s">
        <v>36</v>
      </c>
      <c r="B433" s="16" t="s">
        <v>37</v>
      </c>
      <c r="C433" s="17">
        <v>46009</v>
      </c>
      <c r="D433" s="16" t="s">
        <v>325</v>
      </c>
      <c r="E433" s="16" t="s">
        <v>1106</v>
      </c>
      <c r="F433" s="16">
        <v>13881</v>
      </c>
      <c r="G433" s="18" t="s">
        <v>1107</v>
      </c>
      <c r="H433" s="16" t="s">
        <v>41</v>
      </c>
      <c r="I433" s="19" t="s">
        <v>328</v>
      </c>
      <c r="J433" s="16" t="str">
        <f>IFERROR(VLOOKUP(I433,[1]Sheet1!$A$1:$B$200,2,0),"_")</f>
        <v>BT</v>
      </c>
      <c r="K433" s="19" t="s">
        <v>328</v>
      </c>
      <c r="L433" s="16" t="str">
        <f>IFERROR(VLOOKUP(K433,[1]Sheet1!$A$1:$B$200,2,0),"-")</f>
        <v>BT</v>
      </c>
      <c r="M433" s="19" t="s">
        <v>211</v>
      </c>
      <c r="N433" s="16" t="str">
        <f>IFERROR(VLOOKUP(M433,[1]Sheet1!$G$2:$H$200,2,0),"-")</f>
        <v>SITC</v>
      </c>
      <c r="O433" s="18" t="s">
        <v>1782</v>
      </c>
      <c r="P433" s="17">
        <v>46015</v>
      </c>
      <c r="Q433" s="20" t="s">
        <v>1783</v>
      </c>
      <c r="R433" s="20" t="s">
        <v>1784</v>
      </c>
      <c r="S433" s="21" t="str" cm="1">
        <f t="array" ref="S433">IF(
OR(AD433="",ISERROR(AD433)),
"-",
_xlfn.UNIQUE(_xlfn._xlws.FILTER([1]Sheet1!$D$2:$D$200,ISNUMBER(SEARCH(AD433,[1]Sheet1!$D$2:$D$200))))
)</f>
        <v>에스지로지스틱</v>
      </c>
      <c r="T433" s="22" t="s">
        <v>674</v>
      </c>
      <c r="U433" s="16" t="str" cm="1">
        <f t="array" ref="U433">IF(
OR(AD433="",ISERROR(AD433)),
"-",
_xlfn.UNIQUE(_xlfn._xlws.FILTER([1]Sheet1!$D$2:$D$200,ISNUMBER(SEARCH(AD433,[1]Sheet1!$D$2:$D$200))))
)</f>
        <v>에스지로지스틱</v>
      </c>
      <c r="V433" s="23">
        <v>510000</v>
      </c>
      <c r="W433" s="23">
        <v>369000</v>
      </c>
      <c r="X433" s="23">
        <f t="shared" si="15"/>
        <v>141000</v>
      </c>
      <c r="Y433" s="25" t="s">
        <v>1785</v>
      </c>
      <c r="Z433" s="19" t="s">
        <v>51</v>
      </c>
      <c r="AA433" s="19" t="s">
        <v>93</v>
      </c>
      <c r="AB433" s="18" t="s">
        <v>1786</v>
      </c>
      <c r="AC433" s="17" t="str">
        <f t="shared" si="14"/>
        <v>Y</v>
      </c>
      <c r="AD433" s="17" t="s">
        <v>184</v>
      </c>
      <c r="AE433" s="26" t="s">
        <v>1787</v>
      </c>
      <c r="AF433" s="27"/>
      <c r="AG433" s="27"/>
      <c r="AI433" s="28" t="s">
        <v>57</v>
      </c>
    </row>
    <row r="434" spans="1:35" ht="34.950000000000003" customHeight="1" x14ac:dyDescent="0.4">
      <c r="A434" s="16" t="s">
        <v>36</v>
      </c>
      <c r="B434" s="16" t="s">
        <v>99</v>
      </c>
      <c r="C434" s="17">
        <v>46009</v>
      </c>
      <c r="D434" s="16" t="s">
        <v>261</v>
      </c>
      <c r="E434" s="16" t="s">
        <v>1788</v>
      </c>
      <c r="F434" s="16">
        <v>23528</v>
      </c>
      <c r="G434" s="18" t="s">
        <v>1789</v>
      </c>
      <c r="H434" s="16" t="s">
        <v>41</v>
      </c>
      <c r="I434" s="19" t="s">
        <v>219</v>
      </c>
      <c r="J434" s="16" t="str">
        <f>IFERROR(VLOOKUP(I434,[1]Sheet1!$A$1:$B$200,2,0),"_")</f>
        <v>NN</v>
      </c>
      <c r="K434" s="19" t="s">
        <v>219</v>
      </c>
      <c r="L434" s="16" t="str">
        <f>IFERROR(VLOOKUP(K434,[1]Sheet1!$A$1:$B$200,2,0),"-")</f>
        <v>NN</v>
      </c>
      <c r="M434" s="19" t="s">
        <v>77</v>
      </c>
      <c r="N434" s="16" t="str">
        <f>IFERROR(VLOOKUP(M434,[1]Sheet1!$G$2:$H$200,2,0),"-")</f>
        <v>KMTC</v>
      </c>
      <c r="O434" s="18" t="s">
        <v>1790</v>
      </c>
      <c r="P434" s="17">
        <v>46013</v>
      </c>
      <c r="Q434" s="20" t="s">
        <v>1791</v>
      </c>
      <c r="R434" s="20" t="s">
        <v>1792</v>
      </c>
      <c r="S434" s="21" t="str" cm="1">
        <f t="array" ref="S434">IF(
OR(AD434="",ISERROR(AD434)),
"-",
_xlfn.UNIQUE(_xlfn._xlws.FILTER([1]Sheet1!$D$2:$D$200,ISNUMBER(SEARCH(AD434,[1]Sheet1!$D$2:$D$200))))
)</f>
        <v>태성종합물류</v>
      </c>
      <c r="T434" s="22" t="s">
        <v>1793</v>
      </c>
      <c r="U434" s="16" t="str" cm="1">
        <f t="array" ref="U434">IF(
OR(AD434="",ISERROR(AD434)),
"-",
_xlfn.UNIQUE(_xlfn._xlws.FILTER([1]Sheet1!$D$2:$D$200,ISNUMBER(SEARCH(AD434,[1]Sheet1!$D$2:$D$200))))
)</f>
        <v>태성종합물류</v>
      </c>
      <c r="V434" s="23">
        <v>289000</v>
      </c>
      <c r="W434" s="23">
        <v>269400</v>
      </c>
      <c r="X434" s="23">
        <f t="shared" si="15"/>
        <v>19600</v>
      </c>
      <c r="Y434" s="25" t="s">
        <v>1794</v>
      </c>
      <c r="Z434" s="19" t="s">
        <v>51</v>
      </c>
      <c r="AA434" s="19" t="s">
        <v>93</v>
      </c>
      <c r="AC434" s="17" t="str">
        <f t="shared" si="14"/>
        <v>Y</v>
      </c>
      <c r="AD434" s="17" t="s">
        <v>82</v>
      </c>
      <c r="AE434" s="26">
        <v>0.375</v>
      </c>
      <c r="AF434" s="27"/>
      <c r="AG434" s="27"/>
      <c r="AI434" s="28" t="s">
        <v>57</v>
      </c>
    </row>
    <row r="435" spans="1:35" ht="34.950000000000003" customHeight="1" x14ac:dyDescent="0.4">
      <c r="A435" s="16" t="s">
        <v>36</v>
      </c>
      <c r="B435" s="16" t="s">
        <v>99</v>
      </c>
      <c r="C435" s="17">
        <v>46009</v>
      </c>
      <c r="D435" s="16" t="s">
        <v>261</v>
      </c>
      <c r="E435" s="16" t="s">
        <v>1788</v>
      </c>
      <c r="F435" s="16">
        <v>23528</v>
      </c>
      <c r="G435" s="18" t="s">
        <v>1789</v>
      </c>
      <c r="H435" s="16" t="s">
        <v>41</v>
      </c>
      <c r="I435" s="19" t="s">
        <v>219</v>
      </c>
      <c r="J435" s="16" t="str">
        <f>IFERROR(VLOOKUP(I435,[1]Sheet1!$A$1:$B$200,2,0),"_")</f>
        <v>NN</v>
      </c>
      <c r="K435" s="19" t="s">
        <v>219</v>
      </c>
      <c r="L435" s="16" t="str">
        <f>IFERROR(VLOOKUP(K435,[1]Sheet1!$A$1:$B$200,2,0),"-")</f>
        <v>NN</v>
      </c>
      <c r="M435" s="19" t="s">
        <v>77</v>
      </c>
      <c r="N435" s="16" t="str">
        <f>IFERROR(VLOOKUP(M435,[1]Sheet1!$G$2:$H$200,2,0),"-")</f>
        <v>KMTC</v>
      </c>
      <c r="O435" s="18" t="s">
        <v>1790</v>
      </c>
      <c r="P435" s="17">
        <v>46013</v>
      </c>
      <c r="Q435" s="20" t="s">
        <v>1795</v>
      </c>
      <c r="R435" s="20" t="s">
        <v>1796</v>
      </c>
      <c r="S435" s="21" t="str" cm="1">
        <f t="array" ref="S435">IF(
OR(AD435="",ISERROR(AD435)),
"-",
_xlfn.UNIQUE(_xlfn._xlws.FILTER([1]Sheet1!$D$2:$D$200,ISNUMBER(SEARCH(AD435,[1]Sheet1!$D$2:$D$200))))
)</f>
        <v>태성종합물류</v>
      </c>
      <c r="T435" s="22" t="s">
        <v>1797</v>
      </c>
      <c r="U435" s="16" t="str" cm="1">
        <f t="array" ref="U435">IF(
OR(AD435="",ISERROR(AD435)),
"-",
_xlfn.UNIQUE(_xlfn._xlws.FILTER([1]Sheet1!$D$2:$D$200,ISNUMBER(SEARCH(AD435,[1]Sheet1!$D$2:$D$200))))
)</f>
        <v>태성종합물류</v>
      </c>
      <c r="V435" s="23">
        <v>289000</v>
      </c>
      <c r="W435" s="23">
        <v>269400</v>
      </c>
      <c r="X435" s="23">
        <f t="shared" si="15"/>
        <v>19600</v>
      </c>
      <c r="Y435" s="25" t="s">
        <v>1794</v>
      </c>
      <c r="Z435" s="19" t="s">
        <v>51</v>
      </c>
      <c r="AA435" s="19" t="s">
        <v>93</v>
      </c>
      <c r="AC435" s="17" t="str">
        <f t="shared" si="14"/>
        <v>Y</v>
      </c>
      <c r="AD435" s="17" t="s">
        <v>82</v>
      </c>
      <c r="AE435" s="26">
        <v>0.41666666666666669</v>
      </c>
      <c r="AF435" s="27"/>
      <c r="AG435" s="27"/>
      <c r="AI435" s="28" t="s">
        <v>57</v>
      </c>
    </row>
    <row r="436" spans="1:35" ht="34.950000000000003" customHeight="1" x14ac:dyDescent="0.4">
      <c r="A436" s="16" t="s">
        <v>36</v>
      </c>
      <c r="B436" s="16" t="s">
        <v>37</v>
      </c>
      <c r="C436" s="17">
        <v>46009</v>
      </c>
      <c r="D436" s="16" t="s">
        <v>38</v>
      </c>
      <c r="E436" s="16" t="s">
        <v>39</v>
      </c>
      <c r="F436" s="16">
        <v>27636</v>
      </c>
      <c r="G436" s="18" t="s">
        <v>1798</v>
      </c>
      <c r="H436" s="16" t="s">
        <v>59</v>
      </c>
      <c r="I436" s="19" t="s">
        <v>60</v>
      </c>
      <c r="J436" s="16" t="str">
        <f>IFERROR(VLOOKUP(I436,[1]Sheet1!$A$1:$B$200,2,0),"_")</f>
        <v>KQ</v>
      </c>
      <c r="K436" s="19" t="s">
        <v>730</v>
      </c>
      <c r="L436" s="16" t="str">
        <f>IFERROR(VLOOKUP(K436,[1]Sheet1!$A$1:$B$200,2,0),"-")</f>
        <v>TG</v>
      </c>
      <c r="M436" s="19" t="s">
        <v>64</v>
      </c>
      <c r="N436" s="16" t="str">
        <f>IFERROR(VLOOKUP(M436,[1]Sheet1!$G$2:$H$200,2,0),"-")</f>
        <v>XXXX</v>
      </c>
      <c r="O436" s="18" t="s">
        <v>55</v>
      </c>
      <c r="P436" s="17" t="s">
        <v>55</v>
      </c>
      <c r="Q436" s="20" t="s">
        <v>830</v>
      </c>
      <c r="R436" s="20"/>
      <c r="S436" s="21" t="str" cm="1">
        <f t="array" ref="S436">IF(
OR(AD436="",ISERROR(AD436)),
"-",
_xlfn.UNIQUE(_xlfn._xlws.FILTER([1]Sheet1!$D$2:$D$200,ISNUMBER(SEARCH(AD436,[1]Sheet1!$D$2:$D$200))))
)</f>
        <v>(주)유진로직스</v>
      </c>
      <c r="T436" s="22" t="s">
        <v>1799</v>
      </c>
      <c r="U436" s="16" t="str" cm="1">
        <f t="array" ref="U436">IF(
OR(AD436="",ISERROR(AD436)),
"-",
_xlfn.UNIQUE(_xlfn._xlws.FILTER([1]Sheet1!$D$2:$D$200,ISNUMBER(SEARCH(AD436,[1]Sheet1!$D$2:$D$200))))
)</f>
        <v>(주)유진로직스</v>
      </c>
      <c r="V436" s="23">
        <v>90000</v>
      </c>
      <c r="W436" s="23">
        <v>60000</v>
      </c>
      <c r="X436" s="23">
        <f t="shared" si="15"/>
        <v>30000</v>
      </c>
      <c r="Y436" s="25" t="s">
        <v>1800</v>
      </c>
      <c r="Z436" s="19" t="s">
        <v>51</v>
      </c>
      <c r="AA436" s="19" t="s">
        <v>52</v>
      </c>
      <c r="AB436" s="18" t="s">
        <v>1801</v>
      </c>
      <c r="AC436" s="17" t="str">
        <f t="shared" si="14"/>
        <v>Y</v>
      </c>
      <c r="AD436" s="17" t="s">
        <v>70</v>
      </c>
      <c r="AE436" s="26">
        <v>0.41666666666666669</v>
      </c>
      <c r="AF436" s="27"/>
      <c r="AG436" s="27"/>
      <c r="AI436" s="28" t="s">
        <v>57</v>
      </c>
    </row>
    <row r="437" spans="1:35" ht="34.950000000000003" customHeight="1" x14ac:dyDescent="0.4">
      <c r="A437" s="16" t="s">
        <v>36</v>
      </c>
      <c r="B437" s="16" t="s">
        <v>37</v>
      </c>
      <c r="C437" s="17">
        <v>46009</v>
      </c>
      <c r="D437" s="16" t="s">
        <v>188</v>
      </c>
      <c r="E437" s="16" t="s">
        <v>189</v>
      </c>
      <c r="F437" s="16">
        <v>727</v>
      </c>
      <c r="G437" s="18" t="s">
        <v>998</v>
      </c>
      <c r="H437" s="16" t="s">
        <v>41</v>
      </c>
      <c r="I437" s="19" t="s">
        <v>42</v>
      </c>
      <c r="J437" s="16" t="str">
        <f>IFERROR(VLOOKUP(I437,[1]Sheet1!$A$1:$B$200,2,0),"_")</f>
        <v>P</v>
      </c>
      <c r="K437" s="19" t="s">
        <v>328</v>
      </c>
      <c r="L437" s="16" t="str">
        <f>IFERROR(VLOOKUP(K437,[1]Sheet1!$A$1:$B$200,2,0),"-")</f>
        <v>BT</v>
      </c>
      <c r="M437" s="19" t="s">
        <v>273</v>
      </c>
      <c r="N437" s="16" t="str">
        <f>IFERROR(VLOOKUP(M437,[1]Sheet1!$G$2:$H$200,2,0),"-")</f>
        <v>DJSC</v>
      </c>
      <c r="O437" s="18" t="s">
        <v>1604</v>
      </c>
      <c r="P437" s="17">
        <v>46010</v>
      </c>
      <c r="Q437" s="20" t="s">
        <v>1802</v>
      </c>
      <c r="R437" s="20" t="s">
        <v>1803</v>
      </c>
      <c r="S437" s="21" t="str" cm="1">
        <f t="array" ref="S437">IF(
OR(AD437="",ISERROR(AD437)),
"-",
_xlfn.UNIQUE(_xlfn._xlws.FILTER([1]Sheet1!$D$2:$D$200,ISNUMBER(SEARCH(AD437,[1]Sheet1!$D$2:$D$200))))
)</f>
        <v>(주)부강에너지</v>
      </c>
      <c r="T437" s="22" t="s">
        <v>426</v>
      </c>
      <c r="U437" s="16" t="str" cm="1">
        <f t="array" ref="U437">IF(
OR(AD437="",ISERROR(AD437)),
"-",
_xlfn.UNIQUE(_xlfn._xlws.FILTER([1]Sheet1!$D$2:$D$200,ISNUMBER(SEARCH(AD437,[1]Sheet1!$D$2:$D$200))))
)</f>
        <v>(주)부강에너지</v>
      </c>
      <c r="V437" s="23">
        <v>250000</v>
      </c>
      <c r="W437" s="23">
        <v>220000</v>
      </c>
      <c r="X437" s="23">
        <f t="shared" si="15"/>
        <v>30000</v>
      </c>
      <c r="Y437" s="25" t="s">
        <v>1608</v>
      </c>
      <c r="Z437" s="19" t="s">
        <v>51</v>
      </c>
      <c r="AA437" s="19" t="s">
        <v>81</v>
      </c>
      <c r="AB437" s="18" t="s">
        <v>846</v>
      </c>
      <c r="AC437" s="17" t="str">
        <f t="shared" si="14"/>
        <v>Y</v>
      </c>
      <c r="AD437" s="17" t="s">
        <v>197</v>
      </c>
      <c r="AE437" s="26">
        <v>0.41666666666666669</v>
      </c>
      <c r="AF437" s="27"/>
      <c r="AG437" s="27"/>
      <c r="AI437" s="28" t="s">
        <v>57</v>
      </c>
    </row>
    <row r="438" spans="1:35" ht="34.950000000000003" customHeight="1" x14ac:dyDescent="0.4">
      <c r="A438" s="16" t="s">
        <v>36</v>
      </c>
      <c r="B438" s="16" t="s">
        <v>37</v>
      </c>
      <c r="C438" s="17">
        <v>46009</v>
      </c>
      <c r="D438" s="16" t="s">
        <v>229</v>
      </c>
      <c r="E438" s="16" t="s">
        <v>229</v>
      </c>
      <c r="F438" s="16">
        <v>3641</v>
      </c>
      <c r="G438" s="18" t="s">
        <v>1461</v>
      </c>
      <c r="H438" s="16" t="s">
        <v>41</v>
      </c>
      <c r="I438" s="19" t="s">
        <v>328</v>
      </c>
      <c r="J438" s="16" t="str">
        <f>IFERROR(VLOOKUP(I438,[1]Sheet1!$A$1:$B$200,2,0),"_")</f>
        <v>BT</v>
      </c>
      <c r="K438" s="19" t="s">
        <v>328</v>
      </c>
      <c r="L438" s="16" t="str">
        <f>IFERROR(VLOOKUP(K438,[1]Sheet1!$A$1:$B$200,2,0),"-")</f>
        <v>BT</v>
      </c>
      <c r="M438" s="19" t="s">
        <v>1804</v>
      </c>
      <c r="N438" s="16" t="str">
        <f>IFERROR(VLOOKUP(M438,[1]Sheet1!$G$2:$H$200,2,0),"-")</f>
        <v>KRC</v>
      </c>
      <c r="O438" s="18" t="s">
        <v>1805</v>
      </c>
      <c r="P438" s="17">
        <v>46013</v>
      </c>
      <c r="Q438" s="20" t="s">
        <v>1806</v>
      </c>
      <c r="R438" s="20" t="s">
        <v>1807</v>
      </c>
      <c r="S438" s="21" t="str" cm="1">
        <f t="array" ref="S438">IF(
OR(AD438="",ISERROR(AD438)),
"-",
_xlfn.UNIQUE(_xlfn._xlws.FILTER([1]Sheet1!$D$2:$D$200,ISNUMBER(SEARCH(AD438,[1]Sheet1!$D$2:$D$200))))
)</f>
        <v>(주)부강에너지</v>
      </c>
      <c r="T438" s="22" t="s">
        <v>851</v>
      </c>
      <c r="U438" s="16" t="str" cm="1">
        <f t="array" ref="U438">IF(
OR(AD438="",ISERROR(AD438)),
"-",
_xlfn.UNIQUE(_xlfn._xlws.FILTER([1]Sheet1!$D$2:$D$200,ISNUMBER(SEARCH(AD438,[1]Sheet1!$D$2:$D$200))))
)</f>
        <v>(주)부강에너지</v>
      </c>
      <c r="V438" s="23">
        <v>860000</v>
      </c>
      <c r="W438" s="23">
        <v>774300</v>
      </c>
      <c r="X438" s="23">
        <f t="shared" si="15"/>
        <v>85700</v>
      </c>
      <c r="Y438" s="25" t="s">
        <v>1808</v>
      </c>
      <c r="Z438" s="19" t="s">
        <v>51</v>
      </c>
      <c r="AA438" s="19" t="s">
        <v>81</v>
      </c>
      <c r="AB438" s="18" t="s">
        <v>1809</v>
      </c>
      <c r="AC438" s="17" t="str">
        <f t="shared" si="14"/>
        <v>Y</v>
      </c>
      <c r="AD438" s="17" t="s">
        <v>197</v>
      </c>
      <c r="AE438" s="26">
        <v>0.4375</v>
      </c>
      <c r="AF438" s="27"/>
      <c r="AG438" s="27"/>
      <c r="AI438" s="28" t="s">
        <v>57</v>
      </c>
    </row>
    <row r="439" spans="1:35" ht="34.950000000000003" customHeight="1" x14ac:dyDescent="0.4">
      <c r="A439" s="16" t="s">
        <v>36</v>
      </c>
      <c r="B439" s="16" t="s">
        <v>37</v>
      </c>
      <c r="C439" s="17">
        <v>46009</v>
      </c>
      <c r="D439" s="16" t="s">
        <v>229</v>
      </c>
      <c r="E439" s="16" t="s">
        <v>229</v>
      </c>
      <c r="F439" s="16">
        <v>3641</v>
      </c>
      <c r="G439" s="18" t="s">
        <v>1461</v>
      </c>
      <c r="H439" s="16" t="s">
        <v>41</v>
      </c>
      <c r="I439" s="19" t="s">
        <v>328</v>
      </c>
      <c r="J439" s="16" t="str">
        <f>IFERROR(VLOOKUP(I439,[1]Sheet1!$A$1:$B$200,2,0),"_")</f>
        <v>BT</v>
      </c>
      <c r="K439" s="19" t="s">
        <v>328</v>
      </c>
      <c r="L439" s="16" t="str">
        <f>IFERROR(VLOOKUP(K439,[1]Sheet1!$A$1:$B$200,2,0),"-")</f>
        <v>BT</v>
      </c>
      <c r="M439" s="19" t="s">
        <v>1804</v>
      </c>
      <c r="N439" s="16" t="str">
        <f>IFERROR(VLOOKUP(M439,[1]Sheet1!$G$2:$H$200,2,0),"-")</f>
        <v>KRC</v>
      </c>
      <c r="O439" s="18" t="s">
        <v>1805</v>
      </c>
      <c r="P439" s="17">
        <v>46013</v>
      </c>
      <c r="Q439" s="20" t="s">
        <v>1806</v>
      </c>
      <c r="R439" s="20" t="s">
        <v>1807</v>
      </c>
      <c r="S439" s="21" t="str" cm="1">
        <f t="array" ref="S439">IF(
OR(AD439="",ISERROR(AD439)),
"-",
_xlfn.UNIQUE(_xlfn._xlws.FILTER([1]Sheet1!$D$2:$D$200,ISNUMBER(SEARCH(AD439,[1]Sheet1!$D$2:$D$200))))
)</f>
        <v>디앤케이물류</v>
      </c>
      <c r="T439" s="22" t="s">
        <v>851</v>
      </c>
      <c r="U439" s="16" t="str" cm="1">
        <f t="array" ref="U439">IF(
OR(AD439="",ISERROR(AD439)),
"-",
_xlfn.UNIQUE(_xlfn._xlws.FILTER([1]Sheet1!$D$2:$D$200,ISNUMBER(SEARCH(AD439,[1]Sheet1!$D$2:$D$200))))
)</f>
        <v>디앤케이물류</v>
      </c>
      <c r="V439" s="23">
        <v>125000</v>
      </c>
      <c r="W439" s="23">
        <v>115000</v>
      </c>
      <c r="X439" s="23">
        <f t="shared" si="15"/>
        <v>10000</v>
      </c>
      <c r="Y439" s="25" t="s">
        <v>1810</v>
      </c>
      <c r="Z439" s="19" t="s">
        <v>51</v>
      </c>
      <c r="AA439" s="19" t="s">
        <v>81</v>
      </c>
      <c r="AB439" s="18" t="s">
        <v>1811</v>
      </c>
      <c r="AC439" s="17" t="str">
        <f t="shared" si="14"/>
        <v>Y</v>
      </c>
      <c r="AD439" s="17" t="s">
        <v>292</v>
      </c>
      <c r="AE439" s="26">
        <v>0.4375</v>
      </c>
      <c r="AF439" s="27"/>
      <c r="AG439" s="27" t="s">
        <v>1812</v>
      </c>
      <c r="AI439" s="28" t="s">
        <v>57</v>
      </c>
    </row>
    <row r="440" spans="1:35" ht="35.4" customHeight="1" x14ac:dyDescent="0.4">
      <c r="A440" s="16" t="s">
        <v>36</v>
      </c>
      <c r="B440" s="16" t="s">
        <v>37</v>
      </c>
      <c r="C440" s="17">
        <v>46009</v>
      </c>
      <c r="D440" s="16" t="s">
        <v>38</v>
      </c>
      <c r="E440" s="16" t="s">
        <v>39</v>
      </c>
      <c r="F440" s="16">
        <v>27636</v>
      </c>
      <c r="G440" s="18" t="s">
        <v>1798</v>
      </c>
      <c r="H440" s="16" t="s">
        <v>75</v>
      </c>
      <c r="I440" s="19" t="s">
        <v>42</v>
      </c>
      <c r="J440" s="16" t="str">
        <f>IFERROR(VLOOKUP(I440,[1]Sheet1!$A$1:$B$200,2,0),"_")</f>
        <v>P</v>
      </c>
      <c r="K440" s="19" t="s">
        <v>42</v>
      </c>
      <c r="L440" s="16" t="str">
        <f>IFERROR(VLOOKUP(K440,[1]Sheet1!$A$1:$B$200,2,0),"-")</f>
        <v>P</v>
      </c>
      <c r="M440" s="19" t="s">
        <v>44</v>
      </c>
      <c r="N440" s="16" t="str">
        <f>IFERROR(VLOOKUP(M440,[1]Sheet1!$G$2:$H$200,2,0),"-")</f>
        <v>HSLI</v>
      </c>
      <c r="O440" s="18" t="s">
        <v>1813</v>
      </c>
      <c r="P440" s="17">
        <v>46010</v>
      </c>
      <c r="Q440" s="20" t="s">
        <v>1814</v>
      </c>
      <c r="R440" s="20" t="s">
        <v>1815</v>
      </c>
      <c r="S440" s="21" t="str" cm="1">
        <f t="array" ref="S440">IF(
OR(AD440="",ISERROR(AD440)),
"-",
_xlfn.UNIQUE(_xlfn._xlws.FILTER([1]Sheet1!$D$2:$D$200,ISNUMBER(SEARCH(AD440,[1]Sheet1!$D$2:$D$200))))
)</f>
        <v>에스더블유로지스틱스</v>
      </c>
      <c r="T440" s="22" t="s">
        <v>1816</v>
      </c>
      <c r="U440" s="16" t="str" cm="1">
        <f t="array" ref="U440">IF(
OR(AD440="",ISERROR(AD440)),
"-",
_xlfn.UNIQUE(_xlfn._xlws.FILTER([1]Sheet1!$D$2:$D$200,ISNUMBER(SEARCH(AD440,[1]Sheet1!$D$2:$D$200))))
)</f>
        <v>에스더블유로지스틱스</v>
      </c>
      <c r="V440" s="23">
        <v>223800</v>
      </c>
      <c r="W440" s="23">
        <v>187000</v>
      </c>
      <c r="X440" s="23">
        <f t="shared" si="15"/>
        <v>36800</v>
      </c>
      <c r="Y440" s="25" t="s">
        <v>1817</v>
      </c>
      <c r="Z440" s="19" t="s">
        <v>51</v>
      </c>
      <c r="AA440" s="19" t="s">
        <v>52</v>
      </c>
      <c r="AB440" s="18" t="s">
        <v>1818</v>
      </c>
      <c r="AC440" s="17" t="str">
        <f t="shared" si="14"/>
        <v>Y</v>
      </c>
      <c r="AD440" s="17" t="s">
        <v>1200</v>
      </c>
      <c r="AE440" s="26">
        <v>0.41666666666666669</v>
      </c>
      <c r="AF440" s="27"/>
      <c r="AG440" s="27"/>
      <c r="AI440" s="28" t="s">
        <v>57</v>
      </c>
    </row>
    <row r="441" spans="1:35" ht="34.950000000000003" customHeight="1" x14ac:dyDescent="0.4">
      <c r="A441" s="16" t="s">
        <v>71</v>
      </c>
      <c r="B441" s="16" t="s">
        <v>37</v>
      </c>
      <c r="C441" s="17">
        <v>46009</v>
      </c>
      <c r="D441" s="16" t="s">
        <v>216</v>
      </c>
      <c r="E441" s="16" t="s">
        <v>1049</v>
      </c>
      <c r="F441" s="16">
        <v>27880</v>
      </c>
      <c r="G441" s="18" t="s">
        <v>1819</v>
      </c>
      <c r="H441" s="16" t="s">
        <v>41</v>
      </c>
      <c r="I441" s="19" t="s">
        <v>86</v>
      </c>
      <c r="J441" s="16" t="str">
        <f>IFERROR(VLOOKUP(I441,[1]Sheet1!$A$1:$B$200,2,0),"_")</f>
        <v>HP</v>
      </c>
      <c r="K441" s="19" t="s">
        <v>86</v>
      </c>
      <c r="L441" s="16" t="str">
        <f>IFERROR(VLOOKUP(K441,[1]Sheet1!$A$1:$B$200,2,0),"-")</f>
        <v>HP</v>
      </c>
      <c r="M441" s="19" t="s">
        <v>752</v>
      </c>
      <c r="N441" s="16" t="str">
        <f>IFERROR(VLOOKUP(M441,[1]Sheet1!$G$2:$H$200,2,0),"-")</f>
        <v>ONE</v>
      </c>
      <c r="O441" s="18" t="s">
        <v>55</v>
      </c>
      <c r="P441" s="17" t="s">
        <v>55</v>
      </c>
      <c r="Q441" s="20" t="s">
        <v>1820</v>
      </c>
      <c r="R441" s="20"/>
      <c r="S441" s="21" t="str" cm="1">
        <f t="array" ref="S441">IF(
OR(AD441="",ISERROR(AD441)),
"-",
_xlfn.UNIQUE(_xlfn._xlws.FILTER([1]Sheet1!$D$2:$D$200,ISNUMBER(SEARCH(AD441,[1]Sheet1!$D$2:$D$200))))
)</f>
        <v>에스지로지스틱</v>
      </c>
      <c r="T441" s="22" t="s">
        <v>1056</v>
      </c>
      <c r="U441" s="16" t="str" cm="1">
        <f t="array" ref="U441">IF(
OR(AD441="",ISERROR(AD441)),
"-",
_xlfn.UNIQUE(_xlfn._xlws.FILTER([1]Sheet1!$D$2:$D$200,ISNUMBER(SEARCH(AD441,[1]Sheet1!$D$2:$D$200))))
)</f>
        <v>에스지로지스틱</v>
      </c>
      <c r="V441" s="23">
        <v>216000</v>
      </c>
      <c r="W441" s="23">
        <v>196000</v>
      </c>
      <c r="X441" s="23">
        <f t="shared" si="15"/>
        <v>20000</v>
      </c>
      <c r="Y441" s="25" t="s">
        <v>1821</v>
      </c>
      <c r="Z441" s="19" t="s">
        <v>51</v>
      </c>
      <c r="AA441" s="19" t="s">
        <v>93</v>
      </c>
      <c r="AC441" s="17" t="str">
        <f t="shared" si="14"/>
        <v>Y</v>
      </c>
      <c r="AD441" s="17" t="s">
        <v>184</v>
      </c>
      <c r="AE441" s="26">
        <v>0.45833333333333331</v>
      </c>
      <c r="AF441" s="27"/>
      <c r="AG441" s="27"/>
      <c r="AI441" s="28" t="s">
        <v>57</v>
      </c>
    </row>
    <row r="442" spans="1:35" ht="34.950000000000003" customHeight="1" x14ac:dyDescent="0.4">
      <c r="A442" s="16" t="s">
        <v>71</v>
      </c>
      <c r="B442" s="16" t="s">
        <v>37</v>
      </c>
      <c r="C442" s="17">
        <v>46009</v>
      </c>
      <c r="D442" s="16" t="s">
        <v>216</v>
      </c>
      <c r="E442" s="16" t="s">
        <v>1049</v>
      </c>
      <c r="F442" s="16">
        <v>27880</v>
      </c>
      <c r="G442" s="18" t="s">
        <v>1819</v>
      </c>
      <c r="H442" s="16" t="s">
        <v>41</v>
      </c>
      <c r="I442" s="19" t="s">
        <v>86</v>
      </c>
      <c r="J442" s="16" t="str">
        <f>IFERROR(VLOOKUP(I442,[1]Sheet1!$A$1:$B$200,2,0),"_")</f>
        <v>HP</v>
      </c>
      <c r="K442" s="19" t="s">
        <v>86</v>
      </c>
      <c r="L442" s="16" t="str">
        <f>IFERROR(VLOOKUP(K442,[1]Sheet1!$A$1:$B$200,2,0),"-")</f>
        <v>HP</v>
      </c>
      <c r="M442" s="19" t="s">
        <v>752</v>
      </c>
      <c r="N442" s="16" t="str">
        <f>IFERROR(VLOOKUP(M442,[1]Sheet1!$G$2:$H$200,2,0),"-")</f>
        <v>ONE</v>
      </c>
      <c r="O442" s="18" t="s">
        <v>55</v>
      </c>
      <c r="P442" s="17" t="s">
        <v>55</v>
      </c>
      <c r="Q442" s="20" t="s">
        <v>1822</v>
      </c>
      <c r="R442" s="20"/>
      <c r="S442" s="21" t="str" cm="1">
        <f t="array" ref="S442">IF(
OR(AD442="",ISERROR(AD442)),
"-",
_xlfn.UNIQUE(_xlfn._xlws.FILTER([1]Sheet1!$D$2:$D$200,ISNUMBER(SEARCH(AD442,[1]Sheet1!$D$2:$D$200))))
)</f>
        <v>에스지로지스틱</v>
      </c>
      <c r="T442" s="22" t="s">
        <v>1823</v>
      </c>
      <c r="U442" s="16" t="str" cm="1">
        <f t="array" ref="U442">IF(
OR(AD442="",ISERROR(AD442)),
"-",
_xlfn.UNIQUE(_xlfn._xlws.FILTER([1]Sheet1!$D$2:$D$200,ISNUMBER(SEARCH(AD442,[1]Sheet1!$D$2:$D$200))))
)</f>
        <v>에스지로지스틱</v>
      </c>
      <c r="V442" s="23">
        <v>216000</v>
      </c>
      <c r="W442" s="23">
        <v>196000</v>
      </c>
      <c r="X442" s="23">
        <f t="shared" si="15"/>
        <v>20000</v>
      </c>
      <c r="Y442" s="25" t="s">
        <v>1821</v>
      </c>
      <c r="Z442" s="19" t="s">
        <v>51</v>
      </c>
      <c r="AA442" s="19" t="s">
        <v>93</v>
      </c>
      <c r="AC442" s="17" t="str">
        <f t="shared" si="14"/>
        <v>Y</v>
      </c>
      <c r="AD442" s="17" t="s">
        <v>184</v>
      </c>
      <c r="AE442" s="26">
        <v>0.54166666666666663</v>
      </c>
      <c r="AF442" s="27"/>
      <c r="AG442" s="27"/>
      <c r="AI442" s="28" t="s">
        <v>57</v>
      </c>
    </row>
    <row r="443" spans="1:35" ht="34.950000000000003" customHeight="1" x14ac:dyDescent="0.4">
      <c r="A443" s="16" t="s">
        <v>36</v>
      </c>
      <c r="B443" s="16" t="s">
        <v>37</v>
      </c>
      <c r="C443" s="17">
        <v>46010</v>
      </c>
      <c r="D443" s="16" t="s">
        <v>442</v>
      </c>
      <c r="E443" s="16" t="s">
        <v>442</v>
      </c>
      <c r="F443" s="16">
        <v>2707</v>
      </c>
      <c r="G443" s="18" t="s">
        <v>1824</v>
      </c>
      <c r="H443" s="16" t="s">
        <v>41</v>
      </c>
      <c r="I443" s="19" t="s">
        <v>817</v>
      </c>
      <c r="J443" s="16" t="str">
        <f>IFERROR(VLOOKUP(I443,[1]Sheet1!$A$1:$B$200,2,0),"_")</f>
        <v>PP</v>
      </c>
      <c r="K443" s="19" t="s">
        <v>42</v>
      </c>
      <c r="L443" s="16" t="str">
        <f>IFERROR(VLOOKUP(K443,[1]Sheet1!$A$1:$B$200,2,0),"-")</f>
        <v>P</v>
      </c>
      <c r="M443" s="19" t="s">
        <v>1825</v>
      </c>
      <c r="N443" s="16" t="str">
        <f>IFERROR(VLOOKUP(M443,[1]Sheet1!$G$2:$H$200,2,0),"-")</f>
        <v>NSSL</v>
      </c>
      <c r="O443" s="18" t="s">
        <v>1826</v>
      </c>
      <c r="P443" s="17">
        <v>46015</v>
      </c>
      <c r="Q443" s="20" t="s">
        <v>1827</v>
      </c>
      <c r="R443" s="20" t="s">
        <v>1828</v>
      </c>
      <c r="S443" s="21" t="str" cm="1">
        <f t="array" ref="S443">IF(
OR(AD443="",ISERROR(AD443)),
"-",
_xlfn.UNIQUE(_xlfn._xlws.FILTER([1]Sheet1!$D$2:$D$200,ISNUMBER(SEARCH(AD443,[1]Sheet1!$D$2:$D$200))))
)</f>
        <v>(주)부강에너지</v>
      </c>
      <c r="T443" s="22" t="s">
        <v>851</v>
      </c>
      <c r="U443" s="16" t="str" cm="1">
        <f t="array" ref="U443">IF(
OR(AD443="",ISERROR(AD443)),
"-",
_xlfn.UNIQUE(_xlfn._xlws.FILTER([1]Sheet1!$D$2:$D$200,ISNUMBER(SEARCH(AD443,[1]Sheet1!$D$2:$D$200))))
)</f>
        <v>(주)부강에너지</v>
      </c>
      <c r="V443" s="23">
        <v>1200000</v>
      </c>
      <c r="W443" s="23">
        <v>963900</v>
      </c>
      <c r="X443" s="23">
        <f t="shared" si="15"/>
        <v>236100</v>
      </c>
      <c r="Y443" s="25" t="s">
        <v>1829</v>
      </c>
      <c r="Z443" s="19" t="s">
        <v>51</v>
      </c>
      <c r="AA443" s="19" t="s">
        <v>81</v>
      </c>
      <c r="AB443" s="18" t="s">
        <v>1830</v>
      </c>
      <c r="AC443" s="17" t="str">
        <f t="shared" si="14"/>
        <v>Y</v>
      </c>
      <c r="AD443" s="17" t="s">
        <v>197</v>
      </c>
      <c r="AE443" s="26">
        <v>0.375</v>
      </c>
      <c r="AF443" s="27"/>
      <c r="AG443" s="27"/>
      <c r="AI443" s="28" t="s">
        <v>57</v>
      </c>
    </row>
    <row r="444" spans="1:35" ht="34.950000000000003" customHeight="1" x14ac:dyDescent="0.4">
      <c r="A444" s="16" t="s">
        <v>71</v>
      </c>
      <c r="B444" s="16" t="s">
        <v>37</v>
      </c>
      <c r="C444" s="17">
        <v>46010</v>
      </c>
      <c r="D444" s="16" t="s">
        <v>109</v>
      </c>
      <c r="E444" s="16" t="s">
        <v>1831</v>
      </c>
      <c r="F444" s="16">
        <v>28702</v>
      </c>
      <c r="G444" s="18" t="s">
        <v>1832</v>
      </c>
      <c r="H444" s="16" t="s">
        <v>711</v>
      </c>
      <c r="I444" s="19" t="s">
        <v>751</v>
      </c>
      <c r="J444" s="16" t="str">
        <f>IFERROR(VLOOKUP(I444,[1]Sheet1!$A$1:$B$200,2,0),"_")</f>
        <v>PN</v>
      </c>
      <c r="K444" s="19" t="s">
        <v>137</v>
      </c>
      <c r="L444" s="16" t="str">
        <f>IFERROR(VLOOKUP(K444,[1]Sheet1!$A$1:$B$200,2,0),"-")</f>
        <v>BE</v>
      </c>
      <c r="M444" s="19" t="s">
        <v>159</v>
      </c>
      <c r="N444" s="16" t="str">
        <f>IFERROR(VLOOKUP(M444,[1]Sheet1!$G$2:$H$200,2,0),"-")</f>
        <v>MAEU</v>
      </c>
      <c r="O444" s="18" t="s">
        <v>55</v>
      </c>
      <c r="P444" s="17" t="s">
        <v>55</v>
      </c>
      <c r="Q444" s="20" t="s">
        <v>1833</v>
      </c>
      <c r="R444" s="20"/>
      <c r="S444" s="21" t="str" cm="1">
        <f t="array" ref="S444">IF(
OR(AD444="",ISERROR(AD444)),
"-",
_xlfn.UNIQUE(_xlfn._xlws.FILTER([1]Sheet1!$D$2:$D$200,ISNUMBER(SEARCH(AD444,[1]Sheet1!$D$2:$D$200))))
)</f>
        <v>(주)한울로직스</v>
      </c>
      <c r="T444" s="22" t="s">
        <v>1834</v>
      </c>
      <c r="U444" s="16" t="str" cm="1">
        <f t="array" ref="U444">IF(
OR(AD444="",ISERROR(AD444)),
"-",
_xlfn.UNIQUE(_xlfn._xlws.FILTER([1]Sheet1!$D$2:$D$200,ISNUMBER(SEARCH(AD444,[1]Sheet1!$D$2:$D$200))))
)</f>
        <v>(주)한울로직스</v>
      </c>
      <c r="V444" s="23">
        <v>600000</v>
      </c>
      <c r="W444" s="23">
        <v>551500</v>
      </c>
      <c r="X444" s="23">
        <f t="shared" si="15"/>
        <v>48500</v>
      </c>
      <c r="Y444" s="25" t="s">
        <v>1835</v>
      </c>
      <c r="Z444" s="19" t="s">
        <v>51</v>
      </c>
      <c r="AA444" s="19" t="s">
        <v>115</v>
      </c>
      <c r="AB444" s="18" t="s">
        <v>1836</v>
      </c>
      <c r="AC444" s="17" t="str">
        <f t="shared" si="14"/>
        <v>Y</v>
      </c>
      <c r="AD444" s="17" t="s">
        <v>1837</v>
      </c>
      <c r="AE444" s="26">
        <v>0.28472222222222221</v>
      </c>
      <c r="AF444" s="27"/>
      <c r="AG444" s="27"/>
      <c r="AI444" s="28" t="s">
        <v>57</v>
      </c>
    </row>
    <row r="445" spans="1:35" ht="34.950000000000003" customHeight="1" x14ac:dyDescent="0.4">
      <c r="A445" s="16" t="s">
        <v>71</v>
      </c>
      <c r="B445" s="16" t="s">
        <v>37</v>
      </c>
      <c r="C445" s="17">
        <v>46010</v>
      </c>
      <c r="D445" s="16" t="s">
        <v>109</v>
      </c>
      <c r="E445" s="16" t="s">
        <v>1831</v>
      </c>
      <c r="F445" s="16">
        <v>28702</v>
      </c>
      <c r="G445" s="18" t="s">
        <v>1832</v>
      </c>
      <c r="H445" s="16" t="s">
        <v>711</v>
      </c>
      <c r="I445" s="19" t="s">
        <v>751</v>
      </c>
      <c r="J445" s="16" t="str">
        <f>IFERROR(VLOOKUP(I445,[1]Sheet1!$A$1:$B$200,2,0),"_")</f>
        <v>PN</v>
      </c>
      <c r="K445" s="19" t="s">
        <v>137</v>
      </c>
      <c r="L445" s="16" t="str">
        <f>IFERROR(VLOOKUP(K445,[1]Sheet1!$A$1:$B$200,2,0),"-")</f>
        <v>BE</v>
      </c>
      <c r="M445" s="19" t="s">
        <v>159</v>
      </c>
      <c r="N445" s="16" t="str">
        <f>IFERROR(VLOOKUP(M445,[1]Sheet1!$G$2:$H$200,2,0),"-")</f>
        <v>MAEU</v>
      </c>
      <c r="O445" s="18" t="s">
        <v>55</v>
      </c>
      <c r="P445" s="17" t="s">
        <v>55</v>
      </c>
      <c r="Q445" s="20" t="s">
        <v>1833</v>
      </c>
      <c r="R445" s="20"/>
      <c r="S445" s="21" t="str" cm="1">
        <f t="array" ref="S445">IF(
OR(AD445="",ISERROR(AD445)),
"-",
_xlfn.UNIQUE(_xlfn._xlws.FILTER([1]Sheet1!$D$2:$D$200,ISNUMBER(SEARCH(AD445,[1]Sheet1!$D$2:$D$200))))
)</f>
        <v>(주)한울로직스</v>
      </c>
      <c r="T445" s="22" t="s">
        <v>1834</v>
      </c>
      <c r="U445" s="16" t="str" cm="1">
        <f t="array" ref="U445">IF(
OR(AD445="",ISERROR(AD445)),
"-",
_xlfn.UNIQUE(_xlfn._xlws.FILTER([1]Sheet1!$D$2:$D$200,ISNUMBER(SEARCH(AD445,[1]Sheet1!$D$2:$D$200))))
)</f>
        <v>(주)한울로직스</v>
      </c>
      <c r="V445" s="23">
        <v>70000</v>
      </c>
      <c r="W445" s="23">
        <v>70000</v>
      </c>
      <c r="X445" s="23">
        <f t="shared" si="15"/>
        <v>0</v>
      </c>
      <c r="Y445" s="25" t="s">
        <v>1838</v>
      </c>
      <c r="Z445" s="19" t="s">
        <v>51</v>
      </c>
      <c r="AA445" s="19" t="s">
        <v>115</v>
      </c>
      <c r="AB445" s="18" t="s">
        <v>1836</v>
      </c>
      <c r="AC445" s="17" t="str">
        <f t="shared" si="14"/>
        <v>Y</v>
      </c>
      <c r="AD445" s="17" t="s">
        <v>1837</v>
      </c>
      <c r="AE445" s="26">
        <v>0.28472222222222221</v>
      </c>
      <c r="AF445" s="27"/>
      <c r="AG445" s="27"/>
      <c r="AI445" s="28" t="s">
        <v>57</v>
      </c>
    </row>
    <row r="446" spans="1:35" ht="34.950000000000003" customHeight="1" x14ac:dyDescent="0.4">
      <c r="A446" s="16" t="s">
        <v>36</v>
      </c>
      <c r="B446" s="16" t="s">
        <v>37</v>
      </c>
      <c r="C446" s="17">
        <v>46010</v>
      </c>
      <c r="D446" s="16" t="s">
        <v>1839</v>
      </c>
      <c r="E446" s="16" t="s">
        <v>1839</v>
      </c>
      <c r="F446" s="16">
        <v>28894</v>
      </c>
      <c r="G446" s="18" t="s">
        <v>1840</v>
      </c>
      <c r="H446" s="16" t="s">
        <v>41</v>
      </c>
      <c r="I446" s="19" t="s">
        <v>86</v>
      </c>
      <c r="J446" s="16" t="str">
        <f>IFERROR(VLOOKUP(I446,[1]Sheet1!$A$1:$B$200,2,0),"_")</f>
        <v>HP</v>
      </c>
      <c r="K446" s="19" t="s">
        <v>86</v>
      </c>
      <c r="L446" s="16" t="str">
        <f>IFERROR(VLOOKUP(K446,[1]Sheet1!$A$1:$B$200,2,0),"-")</f>
        <v>HP</v>
      </c>
      <c r="M446" s="19" t="s">
        <v>87</v>
      </c>
      <c r="N446" s="16" t="str">
        <f>IFERROR(VLOOKUP(M446,[1]Sheet1!$G$2:$H$200,2,0),"-")</f>
        <v>HDMU</v>
      </c>
      <c r="O446" s="18" t="s">
        <v>1841</v>
      </c>
      <c r="P446" s="17">
        <v>46014</v>
      </c>
      <c r="Q446" s="20" t="s">
        <v>1842</v>
      </c>
      <c r="R446" s="20" t="s">
        <v>1843</v>
      </c>
      <c r="S446" s="21" t="str" cm="1">
        <f t="array" ref="S446">IF(
OR(AD446="",ISERROR(AD446)),
"-",
_xlfn.UNIQUE(_xlfn._xlws.FILTER([1]Sheet1!$D$2:$D$200,ISNUMBER(SEARCH(AD446,[1]Sheet1!$D$2:$D$200))))
)</f>
        <v>(주)부강에너지</v>
      </c>
      <c r="T446" s="22" t="s">
        <v>1844</v>
      </c>
      <c r="U446" s="16" t="str" cm="1">
        <f t="array" ref="U446">IF(
OR(AD446="",ISERROR(AD446)),
"-",
_xlfn.UNIQUE(_xlfn._xlws.FILTER([1]Sheet1!$D$2:$D$200,ISNUMBER(SEARCH(AD446,[1]Sheet1!$D$2:$D$200))))
)</f>
        <v>(주)부강에너지</v>
      </c>
      <c r="V446" s="23">
        <v>290000</v>
      </c>
      <c r="W446" s="23">
        <v>256100</v>
      </c>
      <c r="X446" s="23">
        <f t="shared" si="15"/>
        <v>33900</v>
      </c>
      <c r="Y446" s="25" t="s">
        <v>1845</v>
      </c>
      <c r="Z446" s="19" t="s">
        <v>51</v>
      </c>
      <c r="AA446" s="19" t="s">
        <v>51</v>
      </c>
      <c r="AB446" s="18" t="s">
        <v>1846</v>
      </c>
      <c r="AC446" s="17" t="str">
        <f t="shared" si="14"/>
        <v>Y</v>
      </c>
      <c r="AD446" s="17" t="s">
        <v>197</v>
      </c>
      <c r="AE446" s="26">
        <v>0.41666666666666669</v>
      </c>
      <c r="AF446" s="27"/>
      <c r="AG446" s="27"/>
      <c r="AI446" s="28" t="s">
        <v>57</v>
      </c>
    </row>
    <row r="447" spans="1:35" ht="34.950000000000003" customHeight="1" x14ac:dyDescent="0.4">
      <c r="A447" s="16" t="s">
        <v>36</v>
      </c>
      <c r="B447" s="16" t="s">
        <v>37</v>
      </c>
      <c r="C447" s="17">
        <v>46010</v>
      </c>
      <c r="D447" s="16" t="s">
        <v>1839</v>
      </c>
      <c r="E447" s="16" t="s">
        <v>1839</v>
      </c>
      <c r="F447" s="16">
        <v>28894</v>
      </c>
      <c r="G447" s="18" t="s">
        <v>1840</v>
      </c>
      <c r="H447" s="16" t="s">
        <v>41</v>
      </c>
      <c r="I447" s="19" t="s">
        <v>86</v>
      </c>
      <c r="J447" s="16" t="str">
        <f>IFERROR(VLOOKUP(I447,[1]Sheet1!$A$1:$B$200,2,0),"_")</f>
        <v>HP</v>
      </c>
      <c r="K447" s="19" t="s">
        <v>86</v>
      </c>
      <c r="L447" s="16" t="str">
        <f>IFERROR(VLOOKUP(K447,[1]Sheet1!$A$1:$B$200,2,0),"-")</f>
        <v>HP</v>
      </c>
      <c r="M447" s="19" t="s">
        <v>87</v>
      </c>
      <c r="N447" s="16" t="str">
        <f>IFERROR(VLOOKUP(M447,[1]Sheet1!$G$2:$H$200,2,0),"-")</f>
        <v>HDMU</v>
      </c>
      <c r="O447" s="18" t="s">
        <v>1841</v>
      </c>
      <c r="P447" s="17">
        <v>46014</v>
      </c>
      <c r="Q447" s="20" t="s">
        <v>1842</v>
      </c>
      <c r="R447" s="20" t="s">
        <v>1843</v>
      </c>
      <c r="S447" s="21" t="str" cm="1">
        <f t="array" ref="S447">IF(
OR(AD447="",ISERROR(AD447)),
"-",
_xlfn.UNIQUE(_xlfn._xlws.FILTER([1]Sheet1!$D$2:$D$200,ISNUMBER(SEARCH(AD447,[1]Sheet1!$D$2:$D$200))))
)</f>
        <v>(주)부강에너지</v>
      </c>
      <c r="T447" s="22" t="s">
        <v>1844</v>
      </c>
      <c r="U447" s="16" t="str" cm="1">
        <f t="array" ref="U447">IF(
OR(AD447="",ISERROR(AD447)),
"-",
_xlfn.UNIQUE(_xlfn._xlws.FILTER([1]Sheet1!$D$2:$D$200,ISNUMBER(SEARCH(AD447,[1]Sheet1!$D$2:$D$200))))
)</f>
        <v>(주)부강에너지</v>
      </c>
      <c r="V447" s="23">
        <v>15000</v>
      </c>
      <c r="W447" s="23">
        <v>10000</v>
      </c>
      <c r="X447" s="23">
        <f t="shared" si="15"/>
        <v>5000</v>
      </c>
      <c r="Y447" s="25" t="s">
        <v>1847</v>
      </c>
      <c r="Z447" s="19" t="s">
        <v>51</v>
      </c>
      <c r="AA447" s="19" t="s">
        <v>51</v>
      </c>
      <c r="AB447" s="18" t="s">
        <v>1846</v>
      </c>
      <c r="AC447" s="17" t="str">
        <f t="shared" si="14"/>
        <v>Y</v>
      </c>
      <c r="AD447" s="17" t="s">
        <v>197</v>
      </c>
      <c r="AE447" s="26">
        <v>0.41666666666666669</v>
      </c>
      <c r="AF447" s="27"/>
      <c r="AG447" s="27"/>
      <c r="AI447" s="28" t="s">
        <v>57</v>
      </c>
    </row>
    <row r="448" spans="1:35" ht="34.799999999999997" customHeight="1" x14ac:dyDescent="0.4">
      <c r="A448" s="16" t="s">
        <v>36</v>
      </c>
      <c r="B448" s="16" t="s">
        <v>37</v>
      </c>
      <c r="C448" s="17">
        <v>46010</v>
      </c>
      <c r="D448" s="16" t="s">
        <v>248</v>
      </c>
      <c r="E448" s="16" t="s">
        <v>315</v>
      </c>
      <c r="F448" s="16">
        <v>24022</v>
      </c>
      <c r="G448" s="18" t="s">
        <v>1848</v>
      </c>
      <c r="H448" s="16" t="s">
        <v>41</v>
      </c>
      <c r="I448" s="19" t="s">
        <v>86</v>
      </c>
      <c r="J448" s="16" t="str">
        <f>IFERROR(VLOOKUP(I448,[1]Sheet1!$A$1:$B$200,2,0),"_")</f>
        <v>HP</v>
      </c>
      <c r="K448" s="19" t="s">
        <v>86</v>
      </c>
      <c r="L448" s="16" t="str">
        <f>IFERROR(VLOOKUP(K448,[1]Sheet1!$A$1:$B$200,2,0),"-")</f>
        <v>HP</v>
      </c>
      <c r="M448" s="19" t="s">
        <v>318</v>
      </c>
      <c r="N448" s="16" t="str">
        <f>IFERROR(VLOOKUP(M448,[1]Sheet1!$G$2:$H$200,2,0),"-")</f>
        <v>SM</v>
      </c>
      <c r="O448" s="18" t="s">
        <v>1849</v>
      </c>
      <c r="P448" s="17">
        <v>46016</v>
      </c>
      <c r="Q448" s="20" t="s">
        <v>1850</v>
      </c>
      <c r="R448" s="20" t="s">
        <v>1851</v>
      </c>
      <c r="S448" s="21" t="str" cm="1">
        <f t="array" ref="S448">IF(
OR(AD448="",ISERROR(AD448)),
"-",
_xlfn.UNIQUE(_xlfn._xlws.FILTER([1]Sheet1!$D$2:$D$200,ISNUMBER(SEARCH(AD448,[1]Sheet1!$D$2:$D$200))))
)</f>
        <v>에이치엔엘트랜스</v>
      </c>
      <c r="T448" s="22" t="s">
        <v>322</v>
      </c>
      <c r="U448" s="16" t="str" cm="1">
        <f t="array" ref="U448">IF(
OR(AD448="",ISERROR(AD448)),
"-",
_xlfn.UNIQUE(_xlfn._xlws.FILTER([1]Sheet1!$D$2:$D$200,ISNUMBER(SEARCH(AD448,[1]Sheet1!$D$2:$D$200))))
)</f>
        <v>에이치엔엘트랜스</v>
      </c>
      <c r="V448" s="23">
        <v>418000</v>
      </c>
      <c r="W448" s="23">
        <v>385000</v>
      </c>
      <c r="X448" s="23">
        <f t="shared" si="15"/>
        <v>33000</v>
      </c>
      <c r="Y448" s="25" t="s">
        <v>1852</v>
      </c>
      <c r="Z448" s="19" t="s">
        <v>51</v>
      </c>
      <c r="AA448" s="19" t="s">
        <v>144</v>
      </c>
      <c r="AB448" s="18" t="s">
        <v>1853</v>
      </c>
      <c r="AC448" s="17" t="str">
        <f t="shared" si="14"/>
        <v>Y</v>
      </c>
      <c r="AD448" s="17" t="s">
        <v>324</v>
      </c>
      <c r="AF448" s="27"/>
      <c r="AG448" s="27"/>
      <c r="AI448" s="28" t="s">
        <v>57</v>
      </c>
    </row>
    <row r="449" spans="1:35" ht="34.950000000000003" customHeight="1" x14ac:dyDescent="0.4">
      <c r="A449" s="16" t="s">
        <v>36</v>
      </c>
      <c r="B449" s="16" t="s">
        <v>37</v>
      </c>
      <c r="C449" s="17">
        <v>46010</v>
      </c>
      <c r="D449" s="16" t="s">
        <v>1854</v>
      </c>
      <c r="E449" s="16" t="s">
        <v>1855</v>
      </c>
      <c r="F449" s="16">
        <v>14688</v>
      </c>
      <c r="G449" s="18" t="s">
        <v>1856</v>
      </c>
      <c r="H449" s="16" t="s">
        <v>41</v>
      </c>
      <c r="I449" s="19" t="s">
        <v>42</v>
      </c>
      <c r="J449" s="16" t="str">
        <f>IFERROR(VLOOKUP(I449,[1]Sheet1!$A$1:$B$200,2,0),"_")</f>
        <v>P</v>
      </c>
      <c r="K449" s="19" t="s">
        <v>42</v>
      </c>
      <c r="L449" s="16" t="str">
        <f>IFERROR(VLOOKUP(K449,[1]Sheet1!$A$1:$B$200,2,0),"-")</f>
        <v>P</v>
      </c>
      <c r="M449" s="19" t="s">
        <v>251</v>
      </c>
      <c r="N449" s="16" t="str">
        <f>IFERROR(VLOOKUP(M449,[1]Sheet1!$G$2:$H$200,2,0),"-")</f>
        <v>SNKO</v>
      </c>
      <c r="O449" s="18" t="s">
        <v>1857</v>
      </c>
      <c r="P449" s="17">
        <v>46014</v>
      </c>
      <c r="Q449" s="20" t="s">
        <v>1858</v>
      </c>
      <c r="R449" s="20" t="s">
        <v>1859</v>
      </c>
      <c r="S449" s="21" t="str" cm="1">
        <f t="array" ref="S449">IF(
OR(AD449="",ISERROR(AD449)),
"-",
_xlfn.UNIQUE(_xlfn._xlws.FILTER([1]Sheet1!$D$2:$D$200,ISNUMBER(SEARCH(AD449,[1]Sheet1!$D$2:$D$200))))
)</f>
        <v>에스지로지스틱</v>
      </c>
      <c r="T449" s="22" t="s">
        <v>674</v>
      </c>
      <c r="U449" s="16" t="str" cm="1">
        <f t="array" ref="U449">IF(
OR(AD449="",ISERROR(AD449)),
"-",
_xlfn.UNIQUE(_xlfn._xlws.FILTER([1]Sheet1!$D$2:$D$200,ISNUMBER(SEARCH(AD449,[1]Sheet1!$D$2:$D$200))))
)</f>
        <v>에스지로지스틱</v>
      </c>
      <c r="V449" s="23">
        <v>425000</v>
      </c>
      <c r="W449" s="23">
        <v>388000</v>
      </c>
      <c r="X449" s="23">
        <f t="shared" si="15"/>
        <v>37000</v>
      </c>
      <c r="Y449" s="25" t="s">
        <v>1860</v>
      </c>
      <c r="Z449" s="19" t="s">
        <v>51</v>
      </c>
      <c r="AA449" s="19" t="s">
        <v>115</v>
      </c>
      <c r="AC449" s="17" t="str">
        <f t="shared" si="14"/>
        <v>Y</v>
      </c>
      <c r="AD449" s="17" t="s">
        <v>184</v>
      </c>
      <c r="AE449" s="26">
        <v>0.58333333333333337</v>
      </c>
      <c r="AF449" s="27"/>
      <c r="AG449" s="27"/>
      <c r="AI449" s="28" t="s">
        <v>57</v>
      </c>
    </row>
    <row r="450" spans="1:35" ht="34.950000000000003" customHeight="1" x14ac:dyDescent="0.4">
      <c r="A450" s="16" t="s">
        <v>71</v>
      </c>
      <c r="B450" s="16" t="s">
        <v>99</v>
      </c>
      <c r="C450" s="17">
        <v>46010</v>
      </c>
      <c r="D450" s="16" t="s">
        <v>126</v>
      </c>
      <c r="E450" s="16" t="s">
        <v>199</v>
      </c>
      <c r="F450" s="16">
        <v>27434</v>
      </c>
      <c r="G450" s="18" t="s">
        <v>1861</v>
      </c>
      <c r="H450" s="16" t="s">
        <v>41</v>
      </c>
      <c r="I450" s="19" t="s">
        <v>1862</v>
      </c>
      <c r="J450" s="16" t="str">
        <f>IFERROR(VLOOKUP(I450,[1]Sheet1!$A$1:$B$200,2,0),"_")</f>
        <v>Y25</v>
      </c>
      <c r="K450" s="19" t="s">
        <v>76</v>
      </c>
      <c r="L450" s="16" t="str">
        <f>IFERROR(VLOOKUP(K450,[1]Sheet1!$A$1:$B$200,2,0),"-")</f>
        <v>NJ</v>
      </c>
      <c r="M450" s="19" t="s">
        <v>211</v>
      </c>
      <c r="N450" s="16" t="str">
        <f>IFERROR(VLOOKUP(M450,[1]Sheet1!$G$2:$H$200,2,0),"-")</f>
        <v>SITC</v>
      </c>
      <c r="O450" s="18" t="s">
        <v>55</v>
      </c>
      <c r="P450" s="17" t="s">
        <v>55</v>
      </c>
      <c r="Q450" s="20" t="s">
        <v>1863</v>
      </c>
      <c r="R450" s="20"/>
      <c r="S450" s="21" t="str" cm="1">
        <f t="array" ref="S450">IF(
OR(AD450="",ISERROR(AD450)),
"-",
_xlfn.UNIQUE(_xlfn._xlws.FILTER([1]Sheet1!$D$2:$D$200,ISNUMBER(SEARCH(AD450,[1]Sheet1!$D$2:$D$200))))
)</f>
        <v>로지아이솔루션</v>
      </c>
      <c r="T450" s="22" t="s">
        <v>1716</v>
      </c>
      <c r="U450" s="16" t="str" cm="1">
        <f t="array" ref="U450">IF(
OR(AD450="",ISERROR(AD450)),
"-",
_xlfn.UNIQUE(_xlfn._xlws.FILTER([1]Sheet1!$D$2:$D$200,ISNUMBER(SEARCH(AD450,[1]Sheet1!$D$2:$D$200))))
)</f>
        <v>로지아이솔루션</v>
      </c>
      <c r="V450" s="23">
        <v>390000</v>
      </c>
      <c r="W450" s="23">
        <v>377050</v>
      </c>
      <c r="X450" s="23">
        <f t="shared" si="15"/>
        <v>12950</v>
      </c>
      <c r="Y450" s="25" t="s">
        <v>1864</v>
      </c>
      <c r="Z450" s="19" t="s">
        <v>51</v>
      </c>
      <c r="AA450" s="19" t="s">
        <v>81</v>
      </c>
      <c r="AC450" s="17" t="str">
        <f t="shared" si="14"/>
        <v>Y</v>
      </c>
      <c r="AD450" s="17" t="s">
        <v>206</v>
      </c>
      <c r="AE450" s="26">
        <v>0.375</v>
      </c>
      <c r="AF450" s="27"/>
      <c r="AG450" s="27"/>
      <c r="AI450" s="28" t="s">
        <v>57</v>
      </c>
    </row>
    <row r="451" spans="1:35" ht="34.950000000000003" customHeight="1" x14ac:dyDescent="0.4">
      <c r="A451" s="16" t="s">
        <v>71</v>
      </c>
      <c r="B451" s="16" t="s">
        <v>37</v>
      </c>
      <c r="C451" s="17">
        <v>46010</v>
      </c>
      <c r="D451" s="16" t="s">
        <v>452</v>
      </c>
      <c r="E451" s="16" t="s">
        <v>453</v>
      </c>
      <c r="F451" s="16">
        <v>28143</v>
      </c>
      <c r="G451" s="18" t="s">
        <v>1865</v>
      </c>
      <c r="H451" s="16" t="s">
        <v>41</v>
      </c>
      <c r="I451" s="19" t="s">
        <v>328</v>
      </c>
      <c r="J451" s="16" t="str">
        <f>IFERROR(VLOOKUP(I451,[1]Sheet1!$A$1:$B$200,2,0),"_")</f>
        <v>BT</v>
      </c>
      <c r="K451" s="19" t="s">
        <v>328</v>
      </c>
      <c r="L451" s="16" t="str">
        <f>IFERROR(VLOOKUP(K451,[1]Sheet1!$A$1:$B$200,2,0),"-")</f>
        <v>BT</v>
      </c>
      <c r="M451" s="19" t="s">
        <v>382</v>
      </c>
      <c r="N451" s="16" t="str">
        <f>IFERROR(VLOOKUP(M451,[1]Sheet1!$G$2:$H$200,2,0),"-")</f>
        <v>EASL</v>
      </c>
      <c r="O451" s="18" t="s">
        <v>55</v>
      </c>
      <c r="P451" s="17" t="s">
        <v>55</v>
      </c>
      <c r="Q451" s="20" t="s">
        <v>1866</v>
      </c>
      <c r="R451" s="20"/>
      <c r="S451" s="21" t="str" cm="1">
        <f t="array" ref="S451">IF(
OR(AD451="",ISERROR(AD451)),
"-",
_xlfn.UNIQUE(_xlfn._xlws.FILTER([1]Sheet1!$D$2:$D$200,ISNUMBER(SEARCH(AD451,[1]Sheet1!$D$2:$D$200))))
)</f>
        <v>에스지로지스틱</v>
      </c>
      <c r="T451" s="22" t="s">
        <v>1867</v>
      </c>
      <c r="U451" s="16" t="str" cm="1">
        <f t="array" ref="U451">IF(
OR(AD451="",ISERROR(AD451)),
"-",
_xlfn.UNIQUE(_xlfn._xlws.FILTER([1]Sheet1!$D$2:$D$200,ISNUMBER(SEARCH(AD451,[1]Sheet1!$D$2:$D$200))))
)</f>
        <v>에스지로지스틱</v>
      </c>
      <c r="V451" s="23">
        <v>225000</v>
      </c>
      <c r="W451" s="23">
        <v>205000</v>
      </c>
      <c r="X451" s="23">
        <f t="shared" si="15"/>
        <v>20000</v>
      </c>
      <c r="Y451" s="25" t="s">
        <v>1868</v>
      </c>
      <c r="Z451" s="19" t="s">
        <v>51</v>
      </c>
      <c r="AA451" s="19" t="s">
        <v>115</v>
      </c>
      <c r="AC451" s="17" t="str">
        <f t="shared" si="14"/>
        <v>Y</v>
      </c>
      <c r="AD451" s="17" t="s">
        <v>184</v>
      </c>
      <c r="AE451" s="26">
        <v>0.375</v>
      </c>
      <c r="AF451" s="27"/>
      <c r="AG451" s="27"/>
      <c r="AI451" s="28" t="s">
        <v>57</v>
      </c>
    </row>
    <row r="452" spans="1:35" ht="34.950000000000003" customHeight="1" x14ac:dyDescent="0.4">
      <c r="A452" s="16" t="s">
        <v>36</v>
      </c>
      <c r="B452" s="16" t="s">
        <v>99</v>
      </c>
      <c r="C452" s="17">
        <v>46010</v>
      </c>
      <c r="D452" s="16" t="s">
        <v>1854</v>
      </c>
      <c r="E452" s="16" t="s">
        <v>1869</v>
      </c>
      <c r="F452" s="16">
        <v>15290</v>
      </c>
      <c r="G452" s="18" t="s">
        <v>1870</v>
      </c>
      <c r="H452" s="16" t="s">
        <v>41</v>
      </c>
      <c r="I452" s="19" t="s">
        <v>129</v>
      </c>
      <c r="J452" s="16" t="str">
        <f>IFERROR(VLOOKUP(I452,[1]Sheet1!$A$1:$B$200,2,0),"_")</f>
        <v>E1</v>
      </c>
      <c r="K452" s="19" t="s">
        <v>129</v>
      </c>
      <c r="L452" s="16" t="str">
        <f>IFERROR(VLOOKUP(K452,[1]Sheet1!$A$1:$B$200,2,0),"-")</f>
        <v>E1</v>
      </c>
      <c r="M452" s="19" t="s">
        <v>77</v>
      </c>
      <c r="N452" s="16" t="str">
        <f>IFERROR(VLOOKUP(M452,[1]Sheet1!$G$2:$H$200,2,0),"-")</f>
        <v>KMTC</v>
      </c>
      <c r="O452" s="18" t="s">
        <v>1871</v>
      </c>
      <c r="P452" s="17">
        <v>46012</v>
      </c>
      <c r="Q452" s="20" t="s">
        <v>1872</v>
      </c>
      <c r="R452" s="20" t="s">
        <v>1873</v>
      </c>
      <c r="S452" s="21" t="str" cm="1">
        <f t="array" ref="S452">IF(
OR(AD452="",ISERROR(AD452)),
"-",
_xlfn.UNIQUE(_xlfn._xlws.FILTER([1]Sheet1!$D$2:$D$200,ISNUMBER(SEARCH(AD452,[1]Sheet1!$D$2:$D$200))))
)</f>
        <v>태성종합물류</v>
      </c>
      <c r="T452" s="22" t="s">
        <v>1793</v>
      </c>
      <c r="U452" s="16" t="str" cm="1">
        <f t="array" ref="U452">IF(
OR(AD452="",ISERROR(AD452)),
"-",
_xlfn.UNIQUE(_xlfn._xlws.FILTER([1]Sheet1!$D$2:$D$200,ISNUMBER(SEARCH(AD452,[1]Sheet1!$D$2:$D$200))))
)</f>
        <v>태성종합물류</v>
      </c>
      <c r="V452" s="23">
        <v>240000</v>
      </c>
      <c r="W452" s="23">
        <v>223000</v>
      </c>
      <c r="X452" s="23">
        <f t="shared" si="15"/>
        <v>17000</v>
      </c>
      <c r="Y452" s="25" t="s">
        <v>1874</v>
      </c>
      <c r="Z452" s="19" t="s">
        <v>51</v>
      </c>
      <c r="AA452" s="19" t="s">
        <v>115</v>
      </c>
      <c r="AC452" s="17" t="str">
        <f t="shared" ref="AC452:AC515" si="16">IF(AI452="ㅇ", "Y", IF(Z452="강다영", "", "Y"))</f>
        <v>Y</v>
      </c>
      <c r="AD452" s="17" t="s">
        <v>82</v>
      </c>
      <c r="AE452" s="26">
        <v>0.375</v>
      </c>
      <c r="AF452" s="27"/>
      <c r="AG452" s="27"/>
      <c r="AI452" s="28" t="s">
        <v>57</v>
      </c>
    </row>
    <row r="453" spans="1:35" ht="34.950000000000003" customHeight="1" x14ac:dyDescent="0.4">
      <c r="A453" s="16" t="s">
        <v>36</v>
      </c>
      <c r="B453" s="16" t="s">
        <v>37</v>
      </c>
      <c r="C453" s="17">
        <v>46010</v>
      </c>
      <c r="D453" s="16" t="s">
        <v>248</v>
      </c>
      <c r="E453" s="16" t="s">
        <v>787</v>
      </c>
      <c r="F453" s="16">
        <v>24339</v>
      </c>
      <c r="G453" s="18" t="s">
        <v>1875</v>
      </c>
      <c r="H453" s="16" t="s">
        <v>75</v>
      </c>
      <c r="I453" s="19" t="s">
        <v>730</v>
      </c>
      <c r="J453" s="16" t="str">
        <f>IFERROR(VLOOKUP(I453,[1]Sheet1!$A$1:$B$200,2,0),"_")</f>
        <v>TG</v>
      </c>
      <c r="K453" s="19" t="s">
        <v>730</v>
      </c>
      <c r="L453" s="16" t="str">
        <f>IFERROR(VLOOKUP(K453,[1]Sheet1!$A$1:$B$200,2,0),"-")</f>
        <v>TG</v>
      </c>
      <c r="M453" s="19" t="s">
        <v>1160</v>
      </c>
      <c r="N453" s="16" t="str">
        <f>IFERROR(VLOOKUP(M453,[1]Sheet1!$G$2:$H$200,2,0),"-")</f>
        <v>RSA</v>
      </c>
      <c r="O453" s="18" t="s">
        <v>1876</v>
      </c>
      <c r="P453" s="17">
        <v>46014</v>
      </c>
      <c r="Q453" s="20" t="s">
        <v>1877</v>
      </c>
      <c r="R453" s="20" t="s">
        <v>1878</v>
      </c>
      <c r="S453" s="21" t="str" cm="1">
        <f t="array" ref="S453">IF(
OR(AD453="",ISERROR(AD453)),
"-",
_xlfn.UNIQUE(_xlfn._xlws.FILTER([1]Sheet1!$D$2:$D$200,ISNUMBER(SEARCH(AD453,[1]Sheet1!$D$2:$D$200))))
)</f>
        <v>에스더블유로지스틱스</v>
      </c>
      <c r="T453" s="22" t="s">
        <v>1879</v>
      </c>
      <c r="U453" s="16" t="str" cm="1">
        <f t="array" ref="U453">IF(
OR(AD453="",ISERROR(AD453)),
"-",
_xlfn.UNIQUE(_xlfn._xlws.FILTER([1]Sheet1!$D$2:$D$200,ISNUMBER(SEARCH(AD453,[1]Sheet1!$D$2:$D$200))))
)</f>
        <v>에스더블유로지스틱스</v>
      </c>
      <c r="V453" s="23">
        <v>333000</v>
      </c>
      <c r="W453" s="23">
        <v>313300</v>
      </c>
      <c r="X453" s="23">
        <f t="shared" si="15"/>
        <v>19700</v>
      </c>
      <c r="Y453" s="25" t="s">
        <v>1880</v>
      </c>
      <c r="Z453" s="19" t="s">
        <v>51</v>
      </c>
      <c r="AA453" s="19" t="s">
        <v>144</v>
      </c>
      <c r="AB453" s="18" t="s">
        <v>1881</v>
      </c>
      <c r="AC453" s="17" t="str">
        <f t="shared" si="16"/>
        <v>Y</v>
      </c>
      <c r="AD453" s="17" t="s">
        <v>1200</v>
      </c>
      <c r="AE453" s="26">
        <v>0.41666666666666669</v>
      </c>
      <c r="AF453" s="27"/>
      <c r="AG453" s="27"/>
      <c r="AI453" s="28" t="s">
        <v>57</v>
      </c>
    </row>
    <row r="454" spans="1:35" ht="34.950000000000003" customHeight="1" x14ac:dyDescent="0.4">
      <c r="A454" s="16" t="s">
        <v>71</v>
      </c>
      <c r="B454" s="16" t="s">
        <v>37</v>
      </c>
      <c r="C454" s="17">
        <v>46010</v>
      </c>
      <c r="D454" s="16" t="s">
        <v>855</v>
      </c>
      <c r="E454" s="16" t="s">
        <v>934</v>
      </c>
      <c r="F454" s="16">
        <v>26896</v>
      </c>
      <c r="G454" s="18" t="s">
        <v>1882</v>
      </c>
      <c r="H454" s="16" t="s">
        <v>41</v>
      </c>
      <c r="I454" s="19" t="s">
        <v>42</v>
      </c>
      <c r="J454" s="16" t="str">
        <f>IFERROR(VLOOKUP(I454,[1]Sheet1!$A$1:$B$200,2,0),"_")</f>
        <v>P</v>
      </c>
      <c r="K454" s="19" t="s">
        <v>42</v>
      </c>
      <c r="L454" s="16" t="str">
        <f>IFERROR(VLOOKUP(K454,[1]Sheet1!$A$1:$B$200,2,0),"-")</f>
        <v>P</v>
      </c>
      <c r="M454" s="19" t="s">
        <v>151</v>
      </c>
      <c r="N454" s="16" t="str">
        <f>IFERROR(VLOOKUP(M454,[1]Sheet1!$G$2:$H$200,2,0),"-")</f>
        <v>NSSL</v>
      </c>
      <c r="O454" s="18" t="s">
        <v>55</v>
      </c>
      <c r="P454" s="17" t="s">
        <v>55</v>
      </c>
      <c r="Q454" s="20" t="s">
        <v>1883</v>
      </c>
      <c r="R454" s="20"/>
      <c r="S454" s="21" t="str" cm="1">
        <f t="array" ref="S454">IF(
OR(AD454="",ISERROR(AD454)),
"-",
_xlfn.UNIQUE(_xlfn._xlws.FILTER([1]Sheet1!$D$2:$D$200,ISNUMBER(SEARCH(AD454,[1]Sheet1!$D$2:$D$200))))
)</f>
        <v>에스지로지스틱</v>
      </c>
      <c r="T454" s="22" t="s">
        <v>699</v>
      </c>
      <c r="U454" s="16" t="str" cm="1">
        <f t="array" ref="U454">IF(
OR(AD454="",ISERROR(AD454)),
"-",
_xlfn.UNIQUE(_xlfn._xlws.FILTER([1]Sheet1!$D$2:$D$200,ISNUMBER(SEARCH(AD454,[1]Sheet1!$D$2:$D$200))))
)</f>
        <v>에스지로지스틱</v>
      </c>
      <c r="V454" s="23">
        <v>840000</v>
      </c>
      <c r="W454" s="23">
        <v>800000</v>
      </c>
      <c r="X454" s="23">
        <f t="shared" ref="X454:X517" si="17">V454-W454</f>
        <v>40000</v>
      </c>
      <c r="Y454" s="25" t="s">
        <v>1884</v>
      </c>
      <c r="Z454" s="19" t="s">
        <v>51</v>
      </c>
      <c r="AA454" s="19" t="s">
        <v>144</v>
      </c>
      <c r="AC454" s="17" t="str">
        <f t="shared" si="16"/>
        <v>Y</v>
      </c>
      <c r="AD454" s="17" t="s">
        <v>184</v>
      </c>
      <c r="AE454" s="26">
        <v>0.33333333333333331</v>
      </c>
      <c r="AF454" s="27"/>
      <c r="AG454" s="27"/>
      <c r="AI454" s="28" t="s">
        <v>57</v>
      </c>
    </row>
    <row r="455" spans="1:35" ht="34.950000000000003" customHeight="1" x14ac:dyDescent="0.4">
      <c r="A455" s="16" t="s">
        <v>71</v>
      </c>
      <c r="B455" s="16" t="s">
        <v>37</v>
      </c>
      <c r="C455" s="17">
        <v>46010</v>
      </c>
      <c r="D455" s="16" t="s">
        <v>855</v>
      </c>
      <c r="E455" s="16" t="s">
        <v>934</v>
      </c>
      <c r="F455" s="16">
        <v>26896</v>
      </c>
      <c r="G455" s="18" t="s">
        <v>1882</v>
      </c>
      <c r="H455" s="16" t="s">
        <v>41</v>
      </c>
      <c r="I455" s="19" t="s">
        <v>42</v>
      </c>
      <c r="J455" s="16" t="str">
        <f>IFERROR(VLOOKUP(I455,[1]Sheet1!$A$1:$B$200,2,0),"_")</f>
        <v>P</v>
      </c>
      <c r="K455" s="19" t="s">
        <v>42</v>
      </c>
      <c r="L455" s="16" t="str">
        <f>IFERROR(VLOOKUP(K455,[1]Sheet1!$A$1:$B$200,2,0),"-")</f>
        <v>P</v>
      </c>
      <c r="M455" s="19" t="s">
        <v>151</v>
      </c>
      <c r="N455" s="16" t="str">
        <f>IFERROR(VLOOKUP(M455,[1]Sheet1!$G$2:$H$200,2,0),"-")</f>
        <v>NSSL</v>
      </c>
      <c r="O455" s="18" t="s">
        <v>55</v>
      </c>
      <c r="P455" s="17" t="s">
        <v>55</v>
      </c>
      <c r="Q455" s="20" t="s">
        <v>1883</v>
      </c>
      <c r="R455" s="20"/>
      <c r="S455" s="21" t="str" cm="1">
        <f t="array" ref="S455">IF(
OR(AD455="",ISERROR(AD455)),
"-",
_xlfn.UNIQUE(_xlfn._xlws.FILTER([1]Sheet1!$D$2:$D$200,ISNUMBER(SEARCH(AD455,[1]Sheet1!$D$2:$D$200))))
)</f>
        <v>에스지로지스틱</v>
      </c>
      <c r="T455" s="22" t="s">
        <v>699</v>
      </c>
      <c r="U455" s="16" t="str" cm="1">
        <f t="array" ref="U455">IF(
OR(AD455="",ISERROR(AD455)),
"-",
_xlfn.UNIQUE(_xlfn._xlws.FILTER([1]Sheet1!$D$2:$D$200,ISNUMBER(SEARCH(AD455,[1]Sheet1!$D$2:$D$200))))
)</f>
        <v>에스지로지스틱</v>
      </c>
      <c r="V455" s="23">
        <v>164400</v>
      </c>
      <c r="W455" s="23">
        <v>164400</v>
      </c>
      <c r="X455" s="23">
        <f t="shared" si="17"/>
        <v>0</v>
      </c>
      <c r="Y455" s="25" t="s">
        <v>1885</v>
      </c>
      <c r="Z455" s="19" t="s">
        <v>51</v>
      </c>
      <c r="AA455" s="19" t="s">
        <v>144</v>
      </c>
      <c r="AC455" s="17" t="str">
        <f t="shared" si="16"/>
        <v>Y</v>
      </c>
      <c r="AD455" s="17" t="s">
        <v>184</v>
      </c>
      <c r="AE455" s="26">
        <v>0.33333333333333331</v>
      </c>
      <c r="AF455" s="27"/>
      <c r="AG455" s="27"/>
      <c r="AI455" s="28" t="s">
        <v>57</v>
      </c>
    </row>
    <row r="456" spans="1:35" ht="34.950000000000003" customHeight="1" x14ac:dyDescent="0.4">
      <c r="A456" s="16" t="s">
        <v>71</v>
      </c>
      <c r="B456" s="16" t="s">
        <v>37</v>
      </c>
      <c r="C456" s="17">
        <v>46010</v>
      </c>
      <c r="D456" s="16" t="s">
        <v>109</v>
      </c>
      <c r="E456" s="16" t="s">
        <v>110</v>
      </c>
      <c r="F456" s="16">
        <v>12650</v>
      </c>
      <c r="G456" s="18" t="s">
        <v>1306</v>
      </c>
      <c r="H456" s="16" t="s">
        <v>75</v>
      </c>
      <c r="I456" s="19" t="s">
        <v>272</v>
      </c>
      <c r="J456" s="16" t="str">
        <f>IFERROR(VLOOKUP(I456,[1]Sheet1!$A$1:$B$200,2,0),"_")</f>
        <v>Z9</v>
      </c>
      <c r="K456" s="19" t="s">
        <v>272</v>
      </c>
      <c r="L456" s="16" t="str">
        <f>IFERROR(VLOOKUP(K456,[1]Sheet1!$A$1:$B$200,2,0),"-")</f>
        <v>Z9</v>
      </c>
      <c r="M456" s="19" t="s">
        <v>77</v>
      </c>
      <c r="N456" s="16" t="str">
        <f>IFERROR(VLOOKUP(M456,[1]Sheet1!$G$2:$H$200,2,0),"-")</f>
        <v>KMTC</v>
      </c>
      <c r="O456" s="18" t="s">
        <v>55</v>
      </c>
      <c r="P456" s="17" t="s">
        <v>55</v>
      </c>
      <c r="Q456" s="20" t="s">
        <v>1886</v>
      </c>
      <c r="R456" s="20"/>
      <c r="S456" s="21" t="str" cm="1">
        <f t="array" ref="S456">IF(
OR(AD456="",ISERROR(AD456)),
"-",
_xlfn.UNIQUE(_xlfn._xlws.FILTER([1]Sheet1!$D$2:$D$200,ISNUMBER(SEARCH(AD456,[1]Sheet1!$D$2:$D$200))))
)</f>
        <v>백승운수</v>
      </c>
      <c r="T456" s="22" t="s">
        <v>434</v>
      </c>
      <c r="U456" s="16" t="str" cm="1">
        <f t="array" ref="U456">IF(
OR(AD456="",ISERROR(AD456)),
"-",
_xlfn.UNIQUE(_xlfn._xlws.FILTER([1]Sheet1!$D$2:$D$200,ISNUMBER(SEARCH(AD456,[1]Sheet1!$D$2:$D$200))))
)</f>
        <v>백승운수</v>
      </c>
      <c r="V456" s="23">
        <v>365000</v>
      </c>
      <c r="W456" s="23">
        <v>342000</v>
      </c>
      <c r="X456" s="23">
        <f t="shared" si="17"/>
        <v>23000</v>
      </c>
      <c r="Y456" s="25" t="s">
        <v>1887</v>
      </c>
      <c r="Z456" s="19" t="s">
        <v>51</v>
      </c>
      <c r="AA456" s="19" t="s">
        <v>115</v>
      </c>
      <c r="AC456" s="17" t="str">
        <f t="shared" si="16"/>
        <v>Y</v>
      </c>
      <c r="AD456" s="17" t="s">
        <v>95</v>
      </c>
      <c r="AE456" s="26">
        <v>0.35416666666666669</v>
      </c>
      <c r="AF456" s="27"/>
      <c r="AG456" s="27"/>
      <c r="AI456" s="28" t="s">
        <v>57</v>
      </c>
    </row>
    <row r="457" spans="1:35" ht="34.950000000000003" customHeight="1" x14ac:dyDescent="0.4">
      <c r="A457" s="16" t="s">
        <v>71</v>
      </c>
      <c r="B457" s="16" t="s">
        <v>37</v>
      </c>
      <c r="C457" s="17">
        <v>46010</v>
      </c>
      <c r="D457" s="16" t="s">
        <v>188</v>
      </c>
      <c r="E457" s="16" t="s">
        <v>1888</v>
      </c>
      <c r="F457" s="16">
        <v>1670</v>
      </c>
      <c r="G457" s="18" t="s">
        <v>1889</v>
      </c>
      <c r="H457" s="16" t="s">
        <v>75</v>
      </c>
      <c r="I457" s="19" t="s">
        <v>42</v>
      </c>
      <c r="J457" s="16" t="str">
        <f>IFERROR(VLOOKUP(I457,[1]Sheet1!$A$1:$B$200,2,0),"_")</f>
        <v>P</v>
      </c>
      <c r="K457" s="19" t="s">
        <v>42</v>
      </c>
      <c r="L457" s="16" t="str">
        <f>IFERROR(VLOOKUP(K457,[1]Sheet1!$A$1:$B$200,2,0),"-")</f>
        <v>P</v>
      </c>
      <c r="M457" s="19" t="s">
        <v>191</v>
      </c>
      <c r="N457" s="16" t="str">
        <f>IFERROR(VLOOKUP(M457,[1]Sheet1!$G$2:$H$200,2,0),"-")</f>
        <v>HASL</v>
      </c>
      <c r="O457" s="18" t="s">
        <v>55</v>
      </c>
      <c r="P457" s="17" t="s">
        <v>55</v>
      </c>
      <c r="Q457" s="20" t="s">
        <v>1890</v>
      </c>
      <c r="R457" s="20"/>
      <c r="S457" s="21" t="str" cm="1">
        <f t="array" ref="S457">IF(
OR(AD457="",ISERROR(AD457)),
"-",
_xlfn.UNIQUE(_xlfn._xlws.FILTER([1]Sheet1!$D$2:$D$200,ISNUMBER(SEARCH(AD457,[1]Sheet1!$D$2:$D$200))))
)</f>
        <v>백승운수</v>
      </c>
      <c r="T457" s="22" t="s">
        <v>434</v>
      </c>
      <c r="U457" s="16" t="str" cm="1">
        <f t="array" ref="U457">IF(
OR(AD457="",ISERROR(AD457)),
"-",
_xlfn.UNIQUE(_xlfn._xlws.FILTER([1]Sheet1!$D$2:$D$200,ISNUMBER(SEARCH(AD457,[1]Sheet1!$D$2:$D$200))))
)</f>
        <v>백승운수</v>
      </c>
      <c r="V457" s="23">
        <v>380000</v>
      </c>
      <c r="W457" s="23">
        <v>318000</v>
      </c>
      <c r="X457" s="23">
        <f t="shared" si="17"/>
        <v>62000</v>
      </c>
      <c r="Y457" s="25" t="s">
        <v>1891</v>
      </c>
      <c r="Z457" s="19" t="s">
        <v>51</v>
      </c>
      <c r="AA457" s="19" t="s">
        <v>81</v>
      </c>
      <c r="AC457" s="17" t="str">
        <f t="shared" si="16"/>
        <v>Y</v>
      </c>
      <c r="AD457" s="17" t="s">
        <v>95</v>
      </c>
      <c r="AE457" s="26">
        <v>0.4375</v>
      </c>
      <c r="AF457" s="27"/>
      <c r="AG457" s="27"/>
      <c r="AI457" s="28" t="s">
        <v>57</v>
      </c>
    </row>
    <row r="458" spans="1:35" ht="34.799999999999997" customHeight="1" x14ac:dyDescent="0.4">
      <c r="A458" s="16" t="s">
        <v>71</v>
      </c>
      <c r="B458" s="16" t="s">
        <v>37</v>
      </c>
      <c r="C458" s="17">
        <v>46010</v>
      </c>
      <c r="D458" s="16" t="s">
        <v>1624</v>
      </c>
      <c r="E458" s="16" t="s">
        <v>1892</v>
      </c>
      <c r="F458" s="16">
        <v>28895</v>
      </c>
      <c r="G458" s="18" t="s">
        <v>1893</v>
      </c>
      <c r="H458" s="16" t="s">
        <v>59</v>
      </c>
      <c r="I458" s="19" t="s">
        <v>817</v>
      </c>
      <c r="J458" s="16" t="str">
        <f>IFERROR(VLOOKUP(I458,[1]Sheet1!$A$1:$B$200,2,0),"_")</f>
        <v>PP</v>
      </c>
      <c r="K458" s="19" t="s">
        <v>1894</v>
      </c>
      <c r="L458" s="16" t="str">
        <f>IFERROR(VLOOKUP(K458,[1]Sheet1!$A$1:$B$200,2,0),"-")</f>
        <v>WS</v>
      </c>
      <c r="M458" s="19" t="s">
        <v>752</v>
      </c>
      <c r="N458" s="16" t="str">
        <f>IFERROR(VLOOKUP(M458,[1]Sheet1!$G$2:$H$200,2,0),"-")</f>
        <v>ONE</v>
      </c>
      <c r="O458" s="18" t="s">
        <v>55</v>
      </c>
      <c r="P458" s="17" t="s">
        <v>55</v>
      </c>
      <c r="Q458" s="20" t="s">
        <v>1895</v>
      </c>
      <c r="R458" s="20"/>
      <c r="S458" s="21" t="str" cm="1">
        <f t="array" ref="S458">IF(
OR(AD458="",ISERROR(AD458)),
"-",
_xlfn.UNIQUE(_xlfn._xlws.FILTER([1]Sheet1!$D$2:$D$200,ISNUMBER(SEARCH(AD458,[1]Sheet1!$D$2:$D$200))))
)</f>
        <v>(주)유진로직스</v>
      </c>
      <c r="T458" s="22" t="s">
        <v>1896</v>
      </c>
      <c r="U458" s="16" t="str" cm="1">
        <f t="array" ref="U458">IF(
OR(AD458="",ISERROR(AD458)),
"-",
_xlfn.UNIQUE(_xlfn._xlws.FILTER([1]Sheet1!$D$2:$D$200,ISNUMBER(SEARCH(AD458,[1]Sheet1!$D$2:$D$200))))
)</f>
        <v>(주)유진로직스</v>
      </c>
      <c r="V458" s="23">
        <v>160000</v>
      </c>
      <c r="W458" s="23">
        <v>140000</v>
      </c>
      <c r="X458" s="23">
        <f t="shared" si="17"/>
        <v>20000</v>
      </c>
      <c r="Y458" s="25" t="s">
        <v>1897</v>
      </c>
      <c r="Z458" s="19" t="s">
        <v>51</v>
      </c>
      <c r="AA458" s="19" t="s">
        <v>144</v>
      </c>
      <c r="AC458" s="17" t="str">
        <f t="shared" si="16"/>
        <v>Y</v>
      </c>
      <c r="AD458" s="17" t="s">
        <v>70</v>
      </c>
      <c r="AE458" s="26">
        <v>0.58333333333333337</v>
      </c>
      <c r="AF458" s="27">
        <v>46010</v>
      </c>
      <c r="AG458" s="27">
        <v>46010</v>
      </c>
      <c r="AI458" s="28" t="s">
        <v>57</v>
      </c>
    </row>
    <row r="459" spans="1:35" ht="34.950000000000003" customHeight="1" x14ac:dyDescent="0.4">
      <c r="A459" s="16" t="s">
        <v>36</v>
      </c>
      <c r="B459" s="16" t="s">
        <v>99</v>
      </c>
      <c r="C459" s="17">
        <v>46010</v>
      </c>
      <c r="D459" s="16" t="s">
        <v>216</v>
      </c>
      <c r="E459" s="16" t="s">
        <v>1898</v>
      </c>
      <c r="F459" s="16">
        <v>28896</v>
      </c>
      <c r="G459" s="18" t="s">
        <v>1899</v>
      </c>
      <c r="H459" s="16" t="s">
        <v>75</v>
      </c>
      <c r="I459" s="19" t="s">
        <v>1900</v>
      </c>
      <c r="J459" s="16" t="str">
        <f>IFERROR(VLOOKUP(I459,[1]Sheet1!$A$1:$B$200,2,0),"_")</f>
        <v>NN</v>
      </c>
      <c r="K459" s="19" t="s">
        <v>1900</v>
      </c>
      <c r="L459" s="16" t="str">
        <f>IFERROR(VLOOKUP(K459,[1]Sheet1!$A$1:$B$200,2,0),"-")</f>
        <v>NN</v>
      </c>
      <c r="M459" s="19" t="s">
        <v>825</v>
      </c>
      <c r="N459" s="16" t="str">
        <f>IFERROR(VLOOKUP(M459,[1]Sheet1!$G$2:$H$200,2,0),"-")</f>
        <v>DOOW</v>
      </c>
      <c r="O459" s="18" t="s">
        <v>1901</v>
      </c>
      <c r="P459" s="17">
        <v>46015</v>
      </c>
      <c r="Q459" s="20" t="s">
        <v>1902</v>
      </c>
      <c r="R459" s="20" t="s">
        <v>1903</v>
      </c>
      <c r="S459" s="21" t="str" cm="1">
        <f t="array" ref="S459">IF(
OR(AD459="",ISERROR(AD459)),
"-",
_xlfn.UNIQUE(_xlfn._xlws.FILTER([1]Sheet1!$D$2:$D$200,ISNUMBER(SEARCH(AD459,[1]Sheet1!$D$2:$D$200))))
)</f>
        <v>태성종합물류</v>
      </c>
      <c r="T459" s="22" t="s">
        <v>1904</v>
      </c>
      <c r="U459" s="16" t="str" cm="1">
        <f t="array" ref="U459">IF(
OR(AD459="",ISERROR(AD459)),
"-",
_xlfn.UNIQUE(_xlfn._xlws.FILTER([1]Sheet1!$D$2:$D$200,ISNUMBER(SEARCH(AD459,[1]Sheet1!$D$2:$D$200))))
)</f>
        <v>태성종합물류</v>
      </c>
      <c r="V459" s="23">
        <v>217000</v>
      </c>
      <c r="W459" s="23">
        <v>176800</v>
      </c>
      <c r="X459" s="23">
        <f t="shared" si="17"/>
        <v>40200</v>
      </c>
      <c r="Y459" s="25" t="s">
        <v>1905</v>
      </c>
      <c r="Z459" s="19" t="s">
        <v>51</v>
      </c>
      <c r="AA459" s="19" t="s">
        <v>93</v>
      </c>
      <c r="AB459" s="18" t="s">
        <v>1906</v>
      </c>
      <c r="AC459" s="17" t="str">
        <f t="shared" si="16"/>
        <v>Y</v>
      </c>
      <c r="AD459" s="17" t="s">
        <v>82</v>
      </c>
      <c r="AF459" s="27"/>
      <c r="AG459" s="27"/>
      <c r="AI459" s="28" t="s">
        <v>57</v>
      </c>
    </row>
    <row r="460" spans="1:35" ht="34.950000000000003" customHeight="1" x14ac:dyDescent="0.4">
      <c r="A460" s="16" t="s">
        <v>36</v>
      </c>
      <c r="B460" s="16" t="s">
        <v>99</v>
      </c>
      <c r="C460" s="17">
        <v>46010</v>
      </c>
      <c r="D460" s="16" t="s">
        <v>216</v>
      </c>
      <c r="E460" s="16" t="s">
        <v>1898</v>
      </c>
      <c r="F460" s="16">
        <v>28896</v>
      </c>
      <c r="G460" s="18" t="s">
        <v>1899</v>
      </c>
      <c r="H460" s="16" t="s">
        <v>75</v>
      </c>
      <c r="I460" s="19" t="s">
        <v>1900</v>
      </c>
      <c r="J460" s="16" t="str">
        <f>IFERROR(VLOOKUP(I460,[1]Sheet1!$A$1:$B$200,2,0),"_")</f>
        <v>NN</v>
      </c>
      <c r="K460" s="19" t="s">
        <v>1900</v>
      </c>
      <c r="L460" s="16" t="str">
        <f>IFERROR(VLOOKUP(K460,[1]Sheet1!$A$1:$B$200,2,0),"-")</f>
        <v>NN</v>
      </c>
      <c r="M460" s="19" t="s">
        <v>825</v>
      </c>
      <c r="N460" s="16" t="str">
        <f>IFERROR(VLOOKUP(M460,[1]Sheet1!$G$2:$H$200,2,0),"-")</f>
        <v>DOOW</v>
      </c>
      <c r="O460" s="18" t="s">
        <v>1901</v>
      </c>
      <c r="P460" s="17">
        <v>46015</v>
      </c>
      <c r="Q460" s="20" t="s">
        <v>1907</v>
      </c>
      <c r="R460" s="20" t="s">
        <v>1908</v>
      </c>
      <c r="S460" s="21" t="str" cm="1">
        <f t="array" ref="S460">IF(
OR(AD460="",ISERROR(AD460)),
"-",
_xlfn.UNIQUE(_xlfn._xlws.FILTER([1]Sheet1!$D$2:$D$200,ISNUMBER(SEARCH(AD460,[1]Sheet1!$D$2:$D$200))))
)</f>
        <v>태성종합물류</v>
      </c>
      <c r="T460" s="22" t="s">
        <v>1904</v>
      </c>
      <c r="U460" s="16" t="str" cm="1">
        <f t="array" ref="U460">IF(
OR(AD460="",ISERROR(AD460)),
"-",
_xlfn.UNIQUE(_xlfn._xlws.FILTER([1]Sheet1!$D$2:$D$200,ISNUMBER(SEARCH(AD460,[1]Sheet1!$D$2:$D$200))))
)</f>
        <v>태성종합물류</v>
      </c>
      <c r="V460" s="23">
        <v>217000</v>
      </c>
      <c r="W460" s="23">
        <v>176800</v>
      </c>
      <c r="X460" s="23">
        <f t="shared" si="17"/>
        <v>40200</v>
      </c>
      <c r="Y460" s="25" t="s">
        <v>1905</v>
      </c>
      <c r="Z460" s="19" t="s">
        <v>51</v>
      </c>
      <c r="AA460" s="19" t="s">
        <v>93</v>
      </c>
      <c r="AB460" s="18" t="s">
        <v>1906</v>
      </c>
      <c r="AC460" s="17" t="str">
        <f t="shared" si="16"/>
        <v>Y</v>
      </c>
      <c r="AD460" s="17" t="s">
        <v>82</v>
      </c>
      <c r="AF460" s="27"/>
      <c r="AG460" s="27"/>
      <c r="AI460" s="28" t="s">
        <v>57</v>
      </c>
    </row>
    <row r="461" spans="1:35" ht="34.950000000000003" customHeight="1" x14ac:dyDescent="0.4">
      <c r="A461" s="16" t="s">
        <v>36</v>
      </c>
      <c r="B461" s="16" t="s">
        <v>99</v>
      </c>
      <c r="C461" s="17">
        <v>46010</v>
      </c>
      <c r="D461" s="16" t="s">
        <v>216</v>
      </c>
      <c r="E461" s="16" t="s">
        <v>1898</v>
      </c>
      <c r="F461" s="16">
        <v>28896</v>
      </c>
      <c r="G461" s="18" t="s">
        <v>1899</v>
      </c>
      <c r="H461" s="16" t="s">
        <v>75</v>
      </c>
      <c r="I461" s="19" t="s">
        <v>1900</v>
      </c>
      <c r="J461" s="16" t="str">
        <f>IFERROR(VLOOKUP(I461,[1]Sheet1!$A$1:$B$200,2,0),"_")</f>
        <v>NN</v>
      </c>
      <c r="K461" s="19" t="s">
        <v>1900</v>
      </c>
      <c r="L461" s="16" t="str">
        <f>IFERROR(VLOOKUP(K461,[1]Sheet1!$A$1:$B$200,2,0),"-")</f>
        <v>NN</v>
      </c>
      <c r="M461" s="19" t="s">
        <v>825</v>
      </c>
      <c r="N461" s="16" t="str">
        <f>IFERROR(VLOOKUP(M461,[1]Sheet1!$G$2:$H$200,2,0),"-")</f>
        <v>DOOW</v>
      </c>
      <c r="O461" s="18" t="s">
        <v>1901</v>
      </c>
      <c r="P461" s="17">
        <v>46015</v>
      </c>
      <c r="Q461" s="20" t="s">
        <v>1902</v>
      </c>
      <c r="R461" s="20" t="s">
        <v>1903</v>
      </c>
      <c r="S461" s="21" t="str" cm="1">
        <f t="array" ref="S461">IF(
OR(AD461="",ISERROR(AD461)),
"-",
_xlfn.UNIQUE(_xlfn._xlws.FILTER([1]Sheet1!$D$2:$D$200,ISNUMBER(SEARCH(AD461,[1]Sheet1!$D$2:$D$200))))
)</f>
        <v>태성종합물류</v>
      </c>
      <c r="T461" s="22" t="s">
        <v>1904</v>
      </c>
      <c r="U461" s="16" t="str" cm="1">
        <f t="array" ref="U461">IF(
OR(AD461="",ISERROR(AD461)),
"-",
_xlfn.UNIQUE(_xlfn._xlws.FILTER([1]Sheet1!$D$2:$D$200,ISNUMBER(SEARCH(AD461,[1]Sheet1!$D$2:$D$200))))
)</f>
        <v>태성종합물류</v>
      </c>
      <c r="V461" s="23">
        <v>10000</v>
      </c>
      <c r="W461" s="23">
        <v>10000</v>
      </c>
      <c r="X461" s="23">
        <f t="shared" si="17"/>
        <v>0</v>
      </c>
      <c r="Y461" s="25" t="s">
        <v>1909</v>
      </c>
      <c r="Z461" s="19" t="s">
        <v>51</v>
      </c>
      <c r="AA461" s="19" t="s">
        <v>93</v>
      </c>
      <c r="AB461" s="18" t="s">
        <v>1906</v>
      </c>
      <c r="AC461" s="17" t="str">
        <f t="shared" si="16"/>
        <v>Y</v>
      </c>
      <c r="AD461" s="17" t="s">
        <v>82</v>
      </c>
      <c r="AF461" s="27"/>
      <c r="AG461" s="27"/>
      <c r="AI461" s="28" t="s">
        <v>57</v>
      </c>
    </row>
    <row r="462" spans="1:35" ht="34.950000000000003" customHeight="1" x14ac:dyDescent="0.4">
      <c r="A462" s="16" t="s">
        <v>36</v>
      </c>
      <c r="B462" s="16" t="s">
        <v>99</v>
      </c>
      <c r="C462" s="17">
        <v>46010</v>
      </c>
      <c r="D462" s="16" t="s">
        <v>216</v>
      </c>
      <c r="E462" s="16" t="s">
        <v>1898</v>
      </c>
      <c r="F462" s="16">
        <v>28896</v>
      </c>
      <c r="G462" s="18" t="s">
        <v>1899</v>
      </c>
      <c r="H462" s="16" t="s">
        <v>75</v>
      </c>
      <c r="I462" s="19" t="s">
        <v>1900</v>
      </c>
      <c r="J462" s="16" t="str">
        <f>IFERROR(VLOOKUP(I462,[1]Sheet1!$A$1:$B$200,2,0),"_")</f>
        <v>NN</v>
      </c>
      <c r="K462" s="19" t="s">
        <v>1900</v>
      </c>
      <c r="L462" s="16" t="str">
        <f>IFERROR(VLOOKUP(K462,[1]Sheet1!$A$1:$B$200,2,0),"-")</f>
        <v>NN</v>
      </c>
      <c r="M462" s="19" t="s">
        <v>825</v>
      </c>
      <c r="N462" s="16" t="str">
        <f>IFERROR(VLOOKUP(M462,[1]Sheet1!$G$2:$H$200,2,0),"-")</f>
        <v>DOOW</v>
      </c>
      <c r="O462" s="18" t="s">
        <v>1901</v>
      </c>
      <c r="P462" s="17">
        <v>46015</v>
      </c>
      <c r="Q462" s="20" t="s">
        <v>1907</v>
      </c>
      <c r="R462" s="20" t="s">
        <v>1908</v>
      </c>
      <c r="S462" s="21" t="str" cm="1">
        <f t="array" ref="S462">IF(
OR(AD462="",ISERROR(AD462)),
"-",
_xlfn.UNIQUE(_xlfn._xlws.FILTER([1]Sheet1!$D$2:$D$200,ISNUMBER(SEARCH(AD462,[1]Sheet1!$D$2:$D$200))))
)</f>
        <v>태성종합물류</v>
      </c>
      <c r="T462" s="22" t="s">
        <v>1904</v>
      </c>
      <c r="U462" s="16" t="str" cm="1">
        <f t="array" ref="U462">IF(
OR(AD462="",ISERROR(AD462)),
"-",
_xlfn.UNIQUE(_xlfn._xlws.FILTER([1]Sheet1!$D$2:$D$200,ISNUMBER(SEARCH(AD462,[1]Sheet1!$D$2:$D$200))))
)</f>
        <v>태성종합물류</v>
      </c>
      <c r="V462" s="23">
        <v>10000</v>
      </c>
      <c r="W462" s="23">
        <v>10000</v>
      </c>
      <c r="X462" s="23">
        <f t="shared" si="17"/>
        <v>0</v>
      </c>
      <c r="Y462" s="25" t="s">
        <v>1910</v>
      </c>
      <c r="Z462" s="19" t="s">
        <v>51</v>
      </c>
      <c r="AA462" s="19" t="s">
        <v>93</v>
      </c>
      <c r="AB462" s="18" t="s">
        <v>1906</v>
      </c>
      <c r="AC462" s="17" t="str">
        <f t="shared" si="16"/>
        <v>Y</v>
      </c>
      <c r="AD462" s="17" t="s">
        <v>82</v>
      </c>
      <c r="AF462" s="27"/>
      <c r="AG462" s="27"/>
      <c r="AI462" s="28" t="s">
        <v>57</v>
      </c>
    </row>
    <row r="463" spans="1:35" ht="34.950000000000003" customHeight="1" x14ac:dyDescent="0.4">
      <c r="A463" s="16" t="s">
        <v>36</v>
      </c>
      <c r="B463" s="16" t="s">
        <v>37</v>
      </c>
      <c r="C463" s="17">
        <v>46013</v>
      </c>
      <c r="D463" s="16" t="s">
        <v>642</v>
      </c>
      <c r="E463" s="16" t="s">
        <v>1911</v>
      </c>
      <c r="F463" s="16">
        <v>28392</v>
      </c>
      <c r="G463" s="18" t="s">
        <v>1912</v>
      </c>
      <c r="H463" s="16" t="s">
        <v>75</v>
      </c>
      <c r="I463" s="19" t="s">
        <v>231</v>
      </c>
      <c r="J463" s="16" t="str">
        <f>IFERROR(VLOOKUP(I463,[1]Sheet1!$A$1:$B$200,2,0),"_")</f>
        <v>IS</v>
      </c>
      <c r="K463" s="19" t="s">
        <v>201</v>
      </c>
      <c r="L463" s="16" t="str">
        <f>IFERROR(VLOOKUP(K463,[1]Sheet1!$A$1:$B$200,2,0),"-")</f>
        <v>Y25</v>
      </c>
      <c r="M463" s="19" t="s">
        <v>77</v>
      </c>
      <c r="N463" s="16" t="str">
        <f>IFERROR(VLOOKUP(M463,[1]Sheet1!$G$2:$H$200,2,0),"-")</f>
        <v>KMTC</v>
      </c>
      <c r="O463" s="18" t="s">
        <v>1913</v>
      </c>
      <c r="P463" s="17">
        <v>46014</v>
      </c>
      <c r="Q463" s="20" t="s">
        <v>1914</v>
      </c>
      <c r="R463" s="20" t="s">
        <v>1915</v>
      </c>
      <c r="S463" s="21" t="str" cm="1">
        <f t="array" ref="S463">IF(
OR(AD463="",ISERROR(AD463)),
"-",
_xlfn.UNIQUE(_xlfn._xlws.FILTER([1]Sheet1!$D$2:$D$200,ISNUMBER(SEARCH(AD463,[1]Sheet1!$D$2:$D$200))))
)</f>
        <v>로지스팟 주식회사</v>
      </c>
      <c r="T463" s="22" t="s">
        <v>1916</v>
      </c>
      <c r="U463" s="16" t="str" cm="1">
        <f t="array" ref="U463">IF(
OR(AD463="",ISERROR(AD463)),
"-",
_xlfn.UNIQUE(_xlfn._xlws.FILTER([1]Sheet1!$D$2:$D$200,ISNUMBER(SEARCH(AD463,[1]Sheet1!$D$2:$D$200))))
)</f>
        <v>로지스팟 주식회사</v>
      </c>
      <c r="V463" s="23">
        <v>210000</v>
      </c>
      <c r="W463" s="23">
        <v>180000</v>
      </c>
      <c r="X463" s="23">
        <f t="shared" si="17"/>
        <v>30000</v>
      </c>
      <c r="Y463" s="25" t="s">
        <v>1917</v>
      </c>
      <c r="Z463" s="19" t="s">
        <v>51</v>
      </c>
      <c r="AA463" s="19" t="s">
        <v>93</v>
      </c>
      <c r="AB463" s="18" t="s">
        <v>1918</v>
      </c>
      <c r="AC463" s="17" t="str">
        <f t="shared" si="16"/>
        <v>Y</v>
      </c>
      <c r="AD463" s="17" t="s">
        <v>833</v>
      </c>
      <c r="AF463" s="27"/>
      <c r="AG463" s="27"/>
      <c r="AI463" s="28" t="s">
        <v>57</v>
      </c>
    </row>
    <row r="464" spans="1:35" ht="34.950000000000003" customHeight="1" x14ac:dyDescent="0.4">
      <c r="A464" s="16" t="s">
        <v>36</v>
      </c>
      <c r="B464" s="16" t="s">
        <v>37</v>
      </c>
      <c r="C464" s="17">
        <v>46013</v>
      </c>
      <c r="D464" s="16" t="s">
        <v>642</v>
      </c>
      <c r="E464" s="16" t="s">
        <v>1911</v>
      </c>
      <c r="F464" s="16">
        <v>28392</v>
      </c>
      <c r="G464" s="18" t="s">
        <v>1912</v>
      </c>
      <c r="H464" s="16" t="s">
        <v>75</v>
      </c>
      <c r="I464" s="19" t="s">
        <v>231</v>
      </c>
      <c r="J464" s="16" t="str">
        <f>IFERROR(VLOOKUP(I464,[1]Sheet1!$A$1:$B$200,2,0),"_")</f>
        <v>IS</v>
      </c>
      <c r="K464" s="19" t="s">
        <v>201</v>
      </c>
      <c r="L464" s="16" t="str">
        <f>IFERROR(VLOOKUP(K464,[1]Sheet1!$A$1:$B$200,2,0),"-")</f>
        <v>Y25</v>
      </c>
      <c r="M464" s="19" t="s">
        <v>77</v>
      </c>
      <c r="N464" s="16" t="str">
        <f>IFERROR(VLOOKUP(M464,[1]Sheet1!$G$2:$H$200,2,0),"-")</f>
        <v>KMTC</v>
      </c>
      <c r="O464" s="18" t="s">
        <v>1913</v>
      </c>
      <c r="P464" s="17">
        <v>46014</v>
      </c>
      <c r="Q464" s="20" t="s">
        <v>1061</v>
      </c>
      <c r="R464" s="20" t="s">
        <v>1915</v>
      </c>
      <c r="S464" s="21" t="str" cm="1">
        <f t="array" ref="S464">IF(
OR(AD464="",ISERROR(AD464)),
"-",
_xlfn.UNIQUE(_xlfn._xlws.FILTER([1]Sheet1!$D$2:$D$200,ISNUMBER(SEARCH(AD464,[1]Sheet1!$D$2:$D$200))))
)</f>
        <v>우선물류</v>
      </c>
      <c r="T464" s="22" t="s">
        <v>1916</v>
      </c>
      <c r="U464" s="16" t="str" cm="1">
        <f t="array" ref="U464">IF(
OR(AD464="",ISERROR(AD464)),
"-",
_xlfn.UNIQUE(_xlfn._xlws.FILTER([1]Sheet1!$D$2:$D$200,ISNUMBER(SEARCH(AD464,[1]Sheet1!$D$2:$D$200))))
)</f>
        <v>우선물류</v>
      </c>
      <c r="V464" s="23">
        <v>250000</v>
      </c>
      <c r="W464" s="23">
        <v>200000</v>
      </c>
      <c r="X464" s="23">
        <f t="shared" si="17"/>
        <v>50000</v>
      </c>
      <c r="Y464" s="25" t="s">
        <v>1917</v>
      </c>
      <c r="Z464" s="19" t="s">
        <v>51</v>
      </c>
      <c r="AA464" s="19" t="s">
        <v>93</v>
      </c>
      <c r="AB464" s="18" t="s">
        <v>1918</v>
      </c>
      <c r="AC464" s="17" t="str">
        <f t="shared" si="16"/>
        <v>Y</v>
      </c>
      <c r="AD464" s="17" t="s">
        <v>1919</v>
      </c>
      <c r="AF464" s="27"/>
      <c r="AG464" s="27"/>
      <c r="AI464" s="28" t="s">
        <v>57</v>
      </c>
    </row>
    <row r="465" spans="1:35" ht="34.950000000000003" customHeight="1" x14ac:dyDescent="0.4">
      <c r="A465" s="16" t="s">
        <v>36</v>
      </c>
      <c r="B465" s="16" t="s">
        <v>37</v>
      </c>
      <c r="C465" s="17">
        <v>46013</v>
      </c>
      <c r="D465" s="16" t="s">
        <v>642</v>
      </c>
      <c r="E465" s="16" t="s">
        <v>1911</v>
      </c>
      <c r="F465" s="16">
        <v>28392</v>
      </c>
      <c r="G465" s="18" t="s">
        <v>1912</v>
      </c>
      <c r="H465" s="16" t="s">
        <v>75</v>
      </c>
      <c r="I465" s="19" t="s">
        <v>231</v>
      </c>
      <c r="J465" s="16" t="str">
        <f>IFERROR(VLOOKUP(I465,[1]Sheet1!$A$1:$B$200,2,0),"_")</f>
        <v>IS</v>
      </c>
      <c r="K465" s="19" t="s">
        <v>201</v>
      </c>
      <c r="L465" s="16" t="str">
        <f>IFERROR(VLOOKUP(K465,[1]Sheet1!$A$1:$B$200,2,0),"-")</f>
        <v>Y25</v>
      </c>
      <c r="M465" s="19" t="s">
        <v>77</v>
      </c>
      <c r="N465" s="16" t="str">
        <f>IFERROR(VLOOKUP(M465,[1]Sheet1!$G$2:$H$200,2,0),"-")</f>
        <v>KMTC</v>
      </c>
      <c r="O465" s="18" t="s">
        <v>1913</v>
      </c>
      <c r="P465" s="17">
        <v>46014</v>
      </c>
      <c r="Q465" s="20" t="s">
        <v>555</v>
      </c>
      <c r="R465" s="20" t="s">
        <v>1915</v>
      </c>
      <c r="S465" s="21" t="str" cm="1">
        <f t="array" ref="S465">IF(
OR(AD465="",ISERROR(AD465)),
"-",
_xlfn.UNIQUE(_xlfn._xlws.FILTER([1]Sheet1!$D$2:$D$200,ISNUMBER(SEARCH(AD465,[1]Sheet1!$D$2:$D$200))))
)</f>
        <v>우선물류</v>
      </c>
      <c r="T465" s="22" t="s">
        <v>1916</v>
      </c>
      <c r="U465" s="16" t="str" cm="1">
        <f t="array" ref="U465">IF(
OR(AD465="",ISERROR(AD465)),
"-",
_xlfn.UNIQUE(_xlfn._xlws.FILTER([1]Sheet1!$D$2:$D$200,ISNUMBER(SEARCH(AD465,[1]Sheet1!$D$2:$D$200))))
)</f>
        <v>우선물류</v>
      </c>
      <c r="V465" s="23">
        <v>70000</v>
      </c>
      <c r="W465" s="23">
        <v>50000</v>
      </c>
      <c r="X465" s="23">
        <f t="shared" si="17"/>
        <v>20000</v>
      </c>
      <c r="Y465" s="25" t="s">
        <v>1917</v>
      </c>
      <c r="Z465" s="19" t="s">
        <v>51</v>
      </c>
      <c r="AA465" s="19" t="s">
        <v>93</v>
      </c>
      <c r="AB465" s="18" t="s">
        <v>1918</v>
      </c>
      <c r="AC465" s="17" t="str">
        <f t="shared" si="16"/>
        <v>Y</v>
      </c>
      <c r="AD465" s="17" t="s">
        <v>1919</v>
      </c>
      <c r="AF465" s="27"/>
      <c r="AG465" s="27"/>
      <c r="AI465" s="28" t="s">
        <v>57</v>
      </c>
    </row>
    <row r="466" spans="1:35" ht="34.950000000000003" customHeight="1" x14ac:dyDescent="0.4">
      <c r="A466" s="16" t="s">
        <v>36</v>
      </c>
      <c r="B466" s="16" t="s">
        <v>37</v>
      </c>
      <c r="C466" s="17">
        <v>46013</v>
      </c>
      <c r="D466" s="16" t="s">
        <v>642</v>
      </c>
      <c r="E466" s="16" t="s">
        <v>1911</v>
      </c>
      <c r="F466" s="16">
        <v>28392</v>
      </c>
      <c r="G466" s="18" t="s">
        <v>1912</v>
      </c>
      <c r="H466" s="16" t="s">
        <v>75</v>
      </c>
      <c r="I466" s="19" t="s">
        <v>231</v>
      </c>
      <c r="J466" s="16" t="str">
        <f>IFERROR(VLOOKUP(I466,[1]Sheet1!$A$1:$B$200,2,0),"_")</f>
        <v>IS</v>
      </c>
      <c r="K466" s="19" t="s">
        <v>201</v>
      </c>
      <c r="L466" s="16" t="str">
        <f>IFERROR(VLOOKUP(K466,[1]Sheet1!$A$1:$B$200,2,0),"-")</f>
        <v>Y25</v>
      </c>
      <c r="M466" s="19" t="s">
        <v>77</v>
      </c>
      <c r="N466" s="16" t="str">
        <f>IFERROR(VLOOKUP(M466,[1]Sheet1!$G$2:$H$200,2,0),"-")</f>
        <v>KMTC</v>
      </c>
      <c r="O466" s="18" t="s">
        <v>1913</v>
      </c>
      <c r="P466" s="17">
        <v>46014</v>
      </c>
      <c r="Q466" s="20" t="s">
        <v>293</v>
      </c>
      <c r="R466" s="20" t="s">
        <v>1915</v>
      </c>
      <c r="S466" s="21" t="str" cm="1">
        <f t="array" ref="S466">IF(
OR(AD466="",ISERROR(AD466)),
"-",
_xlfn.UNIQUE(_xlfn._xlws.FILTER([1]Sheet1!$D$2:$D$200,ISNUMBER(SEARCH(AD466,[1]Sheet1!$D$2:$D$200))))
)</f>
        <v>우선물류</v>
      </c>
      <c r="T466" s="22" t="s">
        <v>1916</v>
      </c>
      <c r="U466" s="16" t="str" cm="1">
        <f t="array" ref="U466">IF(
OR(AD466="",ISERROR(AD466)),
"-",
_xlfn.UNIQUE(_xlfn._xlws.FILTER([1]Sheet1!$D$2:$D$200,ISNUMBER(SEARCH(AD466,[1]Sheet1!$D$2:$D$200))))
)</f>
        <v>우선물류</v>
      </c>
      <c r="V466" s="23">
        <v>180000</v>
      </c>
      <c r="W466" s="23">
        <v>170000</v>
      </c>
      <c r="X466" s="23">
        <f t="shared" si="17"/>
        <v>10000</v>
      </c>
      <c r="Y466" s="25" t="s">
        <v>1920</v>
      </c>
      <c r="Z466" s="19" t="s">
        <v>51</v>
      </c>
      <c r="AA466" s="19" t="s">
        <v>93</v>
      </c>
      <c r="AB466" s="18" t="s">
        <v>1918</v>
      </c>
      <c r="AC466" s="17" t="str">
        <f t="shared" si="16"/>
        <v>Y</v>
      </c>
      <c r="AD466" s="17" t="s">
        <v>1919</v>
      </c>
      <c r="AF466" s="27"/>
      <c r="AG466" s="27"/>
      <c r="AI466" s="28" t="s">
        <v>57</v>
      </c>
    </row>
    <row r="467" spans="1:35" ht="34.950000000000003" customHeight="1" x14ac:dyDescent="0.4">
      <c r="A467" s="16" t="s">
        <v>71</v>
      </c>
      <c r="B467" s="16" t="s">
        <v>99</v>
      </c>
      <c r="C467" s="17">
        <v>46013</v>
      </c>
      <c r="D467" s="16" t="s">
        <v>126</v>
      </c>
      <c r="E467" s="16" t="s">
        <v>199</v>
      </c>
      <c r="F467" s="16">
        <v>22141</v>
      </c>
      <c r="G467" s="18" t="s">
        <v>1921</v>
      </c>
      <c r="H467" s="16" t="s">
        <v>41</v>
      </c>
      <c r="I467" s="19" t="s">
        <v>76</v>
      </c>
      <c r="J467" s="16" t="str">
        <f>IFERROR(VLOOKUP(I467,[1]Sheet1!$A$1:$B$200,2,0),"_")</f>
        <v>NJ</v>
      </c>
      <c r="K467" s="19" t="s">
        <v>76</v>
      </c>
      <c r="L467" s="16" t="str">
        <f>IFERROR(VLOOKUP(K467,[1]Sheet1!$A$1:$B$200,2,0),"-")</f>
        <v>NJ</v>
      </c>
      <c r="M467" s="19" t="s">
        <v>151</v>
      </c>
      <c r="N467" s="16" t="str">
        <f>IFERROR(VLOOKUP(M467,[1]Sheet1!$G$2:$H$200,2,0),"-")</f>
        <v>NSSL</v>
      </c>
      <c r="O467" s="18" t="s">
        <v>55</v>
      </c>
      <c r="P467" s="17" t="s">
        <v>55</v>
      </c>
      <c r="Q467" s="20" t="s">
        <v>1922</v>
      </c>
      <c r="R467" s="20"/>
      <c r="S467" s="21" t="str" cm="1">
        <f t="array" ref="S467">IF(
OR(AD467="",ISERROR(AD467)),
"-",
_xlfn.UNIQUE(_xlfn._xlws.FILTER([1]Sheet1!$D$2:$D$200,ISNUMBER(SEARCH(AD467,[1]Sheet1!$D$2:$D$200))))
)</f>
        <v>로지아이솔루션</v>
      </c>
      <c r="T467" s="22" t="s">
        <v>1588</v>
      </c>
      <c r="U467" s="16" t="str" cm="1">
        <f t="array" ref="U467">IF(
OR(AD467="",ISERROR(AD467)),
"-",
_xlfn.UNIQUE(_xlfn._xlws.FILTER([1]Sheet1!$D$2:$D$200,ISNUMBER(SEARCH(AD467,[1]Sheet1!$D$2:$D$200))))
)</f>
        <v>로지아이솔루션</v>
      </c>
      <c r="V467" s="23">
        <v>270000</v>
      </c>
      <c r="W467" s="23">
        <v>259850</v>
      </c>
      <c r="X467" s="23">
        <f t="shared" si="17"/>
        <v>10150</v>
      </c>
      <c r="Y467" s="25" t="s">
        <v>1923</v>
      </c>
      <c r="Z467" s="19" t="s">
        <v>51</v>
      </c>
      <c r="AA467" s="19" t="s">
        <v>81</v>
      </c>
      <c r="AB467" s="18" t="s">
        <v>1924</v>
      </c>
      <c r="AC467" s="17" t="str">
        <f t="shared" si="16"/>
        <v>Y</v>
      </c>
      <c r="AD467" s="17" t="s">
        <v>206</v>
      </c>
      <c r="AE467" s="26">
        <v>0.5625</v>
      </c>
      <c r="AF467" s="27"/>
      <c r="AG467" s="27"/>
      <c r="AI467" s="28" t="s">
        <v>57</v>
      </c>
    </row>
    <row r="468" spans="1:35" ht="34.950000000000003" customHeight="1" x14ac:dyDescent="0.4">
      <c r="A468" s="16" t="s">
        <v>36</v>
      </c>
      <c r="B468" s="16" t="s">
        <v>37</v>
      </c>
      <c r="C468" s="17">
        <v>46013</v>
      </c>
      <c r="D468" s="16" t="s">
        <v>126</v>
      </c>
      <c r="E468" s="16" t="s">
        <v>1925</v>
      </c>
      <c r="F468" s="16">
        <v>14775</v>
      </c>
      <c r="G468" s="18" t="s">
        <v>1926</v>
      </c>
      <c r="H468" s="16" t="s">
        <v>75</v>
      </c>
      <c r="I468" s="19" t="s">
        <v>137</v>
      </c>
      <c r="J468" s="16" t="str">
        <f>IFERROR(VLOOKUP(I468,[1]Sheet1!$A$1:$B$200,2,0),"_")</f>
        <v>BE</v>
      </c>
      <c r="K468" s="19" t="s">
        <v>529</v>
      </c>
      <c r="L468" s="16" t="str">
        <f>IFERROR(VLOOKUP(K468,[1]Sheet1!$A$1:$B$200,2,0),"-")</f>
        <v>BC</v>
      </c>
      <c r="M468" s="19" t="s">
        <v>1927</v>
      </c>
      <c r="N468" s="16" t="str">
        <f>IFERROR(VLOOKUP(M468,[1]Sheet1!$G$2:$H$200,2,0),"-")</f>
        <v>ANLU</v>
      </c>
      <c r="O468" s="18" t="s">
        <v>1928</v>
      </c>
      <c r="P468" s="17">
        <v>46011</v>
      </c>
      <c r="Q468" s="20" t="s">
        <v>1929</v>
      </c>
      <c r="R468" s="20" t="s">
        <v>1930</v>
      </c>
      <c r="S468" s="21" t="str" cm="1">
        <f t="array" ref="S468">IF(
OR(AD468="",ISERROR(AD468)),
"-",
_xlfn.UNIQUE(_xlfn._xlws.FILTER([1]Sheet1!$D$2:$D$200,ISNUMBER(SEARCH(AD468,[1]Sheet1!$D$2:$D$200))))
)</f>
        <v>양양운수(주)</v>
      </c>
      <c r="T468" s="22" t="s">
        <v>1453</v>
      </c>
      <c r="U468" s="16" t="str" cm="1">
        <f t="array" ref="U468">IF(
OR(AD468="",ISERROR(AD468)),
"-",
_xlfn.UNIQUE(_xlfn._xlws.FILTER([1]Sheet1!$D$2:$D$200,ISNUMBER(SEARCH(AD468,[1]Sheet1!$D$2:$D$200))))
)</f>
        <v>양양운수(주)</v>
      </c>
      <c r="V468" s="23">
        <v>697000</v>
      </c>
      <c r="W468" s="23">
        <v>649100</v>
      </c>
      <c r="X468" s="23">
        <f t="shared" si="17"/>
        <v>47900</v>
      </c>
      <c r="Y468" s="25" t="s">
        <v>1931</v>
      </c>
      <c r="Z468" s="19" t="s">
        <v>51</v>
      </c>
      <c r="AA468" s="19" t="s">
        <v>81</v>
      </c>
      <c r="AB468" s="18" t="s">
        <v>1932</v>
      </c>
      <c r="AC468" s="17" t="str">
        <f t="shared" si="16"/>
        <v>Y</v>
      </c>
      <c r="AD468" s="17" t="s">
        <v>619</v>
      </c>
      <c r="AE468" s="26">
        <v>0.41666666666666669</v>
      </c>
      <c r="AF468" s="27"/>
      <c r="AG468" s="27"/>
      <c r="AI468" s="28" t="s">
        <v>57</v>
      </c>
    </row>
    <row r="469" spans="1:35" ht="35.4" customHeight="1" x14ac:dyDescent="0.4">
      <c r="A469" s="16" t="s">
        <v>36</v>
      </c>
      <c r="B469" s="16" t="s">
        <v>37</v>
      </c>
      <c r="C469" s="17">
        <v>46013</v>
      </c>
      <c r="D469" s="16" t="s">
        <v>229</v>
      </c>
      <c r="E469" s="16" t="s">
        <v>229</v>
      </c>
      <c r="F469" s="16">
        <v>3641</v>
      </c>
      <c r="G469" s="18" t="s">
        <v>1933</v>
      </c>
      <c r="H469" s="16" t="s">
        <v>75</v>
      </c>
      <c r="I469" s="19" t="s">
        <v>137</v>
      </c>
      <c r="J469" s="16" t="str">
        <f>IFERROR(VLOOKUP(I469,[1]Sheet1!$A$1:$B$200,2,0),"_")</f>
        <v>BE</v>
      </c>
      <c r="K469" s="19" t="s">
        <v>751</v>
      </c>
      <c r="L469" s="16" t="str">
        <f>IFERROR(VLOOKUP(K469,[1]Sheet1!$A$1:$B$200,2,0),"-")</f>
        <v>PN</v>
      </c>
      <c r="M469" s="19" t="s">
        <v>752</v>
      </c>
      <c r="N469" s="16" t="str">
        <f>IFERROR(VLOOKUP(M469,[1]Sheet1!$G$2:$H$200,2,0),"-")</f>
        <v>ONE</v>
      </c>
      <c r="O469" s="18" t="s">
        <v>1934</v>
      </c>
      <c r="P469" s="17">
        <v>46022</v>
      </c>
      <c r="Q469" s="20" t="s">
        <v>1935</v>
      </c>
      <c r="R469" s="20" t="s">
        <v>1936</v>
      </c>
      <c r="S469" s="21" t="str" cm="1">
        <f t="array" ref="S469">IF(
OR(AD469="",ISERROR(AD469)),
"-",
_xlfn.UNIQUE(_xlfn._xlws.FILTER([1]Sheet1!$D$2:$D$200,ISNUMBER(SEARCH(AD469,[1]Sheet1!$D$2:$D$200))))
)</f>
        <v>양양운수(주)</v>
      </c>
      <c r="T469" s="22" t="s">
        <v>277</v>
      </c>
      <c r="U469" s="16" t="str" cm="1">
        <f t="array" ref="U469">IF(
OR(AD469="",ISERROR(AD469)),
"-",
_xlfn.UNIQUE(_xlfn._xlws.FILTER([1]Sheet1!$D$2:$D$200,ISNUMBER(SEARCH(AD469,[1]Sheet1!$D$2:$D$200))))
)</f>
        <v>양양운수(주)</v>
      </c>
      <c r="V469" s="23">
        <v>760000</v>
      </c>
      <c r="W469" s="23">
        <v>681700</v>
      </c>
      <c r="X469" s="23">
        <f t="shared" si="17"/>
        <v>78300</v>
      </c>
      <c r="Y469" s="25" t="s">
        <v>1937</v>
      </c>
      <c r="Z469" s="19" t="s">
        <v>51</v>
      </c>
      <c r="AA469" s="19" t="s">
        <v>81</v>
      </c>
      <c r="AB469" s="18" t="s">
        <v>1938</v>
      </c>
      <c r="AC469" s="17" t="str">
        <f t="shared" si="16"/>
        <v>Y</v>
      </c>
      <c r="AD469" s="17" t="s">
        <v>619</v>
      </c>
      <c r="AE469" s="26">
        <v>0.54166666666666663</v>
      </c>
      <c r="AF469" s="27"/>
      <c r="AG469" s="27"/>
      <c r="AI469" s="28" t="s">
        <v>57</v>
      </c>
    </row>
    <row r="470" spans="1:35" ht="34.950000000000003" customHeight="1" x14ac:dyDescent="0.4">
      <c r="A470" s="16" t="s">
        <v>36</v>
      </c>
      <c r="B470" s="16" t="s">
        <v>37</v>
      </c>
      <c r="C470" s="17">
        <v>46013</v>
      </c>
      <c r="D470" s="16" t="s">
        <v>229</v>
      </c>
      <c r="E470" s="16" t="s">
        <v>229</v>
      </c>
      <c r="F470" s="16">
        <v>3641</v>
      </c>
      <c r="G470" s="18" t="s">
        <v>1461</v>
      </c>
      <c r="H470" s="16" t="s">
        <v>41</v>
      </c>
      <c r="I470" s="19" t="s">
        <v>137</v>
      </c>
      <c r="J470" s="16" t="str">
        <f>IFERROR(VLOOKUP(I470,[1]Sheet1!$A$1:$B$200,2,0),"_")</f>
        <v>BE</v>
      </c>
      <c r="K470" s="19" t="s">
        <v>363</v>
      </c>
      <c r="L470" s="16" t="str">
        <f>IFERROR(VLOOKUP(K470,[1]Sheet1!$A$1:$B$200,2,0),"-")</f>
        <v>BB</v>
      </c>
      <c r="M470" s="19" t="s">
        <v>364</v>
      </c>
      <c r="N470" s="16" t="str">
        <f>IFERROR(VLOOKUP(M470,[1]Sheet1!$G$2:$H$200,2,0),"-")</f>
        <v>CMAL</v>
      </c>
      <c r="O470" s="18" t="s">
        <v>1939</v>
      </c>
      <c r="P470" s="17">
        <v>46019</v>
      </c>
      <c r="Q470" s="20" t="s">
        <v>1940</v>
      </c>
      <c r="R470" s="20" t="s">
        <v>1941</v>
      </c>
      <c r="S470" s="21" t="str" cm="1">
        <f t="array" ref="S470">IF(
OR(AD470="",ISERROR(AD470)),
"-",
_xlfn.UNIQUE(_xlfn._xlws.FILTER([1]Sheet1!$D$2:$D$200,ISNUMBER(SEARCH(AD470,[1]Sheet1!$D$2:$D$200))))
)</f>
        <v>양양운수(주)</v>
      </c>
      <c r="T470" s="22" t="s">
        <v>235</v>
      </c>
      <c r="U470" s="16" t="str" cm="1">
        <f t="array" ref="U470">IF(
OR(AD470="",ISERROR(AD470)),
"-",
_xlfn.UNIQUE(_xlfn._xlws.FILTER([1]Sheet1!$D$2:$D$200,ISNUMBER(SEARCH(AD470,[1]Sheet1!$D$2:$D$200))))
)</f>
        <v>양양운수(주)</v>
      </c>
      <c r="V470" s="23">
        <v>860000</v>
      </c>
      <c r="W470" s="23">
        <v>770800</v>
      </c>
      <c r="X470" s="23">
        <f t="shared" si="17"/>
        <v>89200</v>
      </c>
      <c r="Y470" s="25" t="s">
        <v>1942</v>
      </c>
      <c r="Z470" s="19" t="s">
        <v>51</v>
      </c>
      <c r="AA470" s="19" t="s">
        <v>81</v>
      </c>
      <c r="AB470" s="18" t="s">
        <v>1943</v>
      </c>
      <c r="AC470" s="17" t="str">
        <f t="shared" si="16"/>
        <v>Y</v>
      </c>
      <c r="AD470" s="17" t="s">
        <v>619</v>
      </c>
      <c r="AE470" s="26">
        <v>0.375</v>
      </c>
      <c r="AF470" s="27"/>
      <c r="AG470" s="27"/>
      <c r="AI470" s="28" t="s">
        <v>57</v>
      </c>
    </row>
    <row r="471" spans="1:35" ht="34.950000000000003" customHeight="1" x14ac:dyDescent="0.4">
      <c r="A471" s="16" t="s">
        <v>36</v>
      </c>
      <c r="B471" s="16" t="s">
        <v>37</v>
      </c>
      <c r="C471" s="17">
        <v>46013</v>
      </c>
      <c r="D471" s="16" t="s">
        <v>229</v>
      </c>
      <c r="E471" s="16" t="s">
        <v>229</v>
      </c>
      <c r="F471" s="16">
        <v>3641</v>
      </c>
      <c r="G471" s="18" t="s">
        <v>1461</v>
      </c>
      <c r="H471" s="16" t="s">
        <v>41</v>
      </c>
      <c r="I471" s="19" t="s">
        <v>137</v>
      </c>
      <c r="J471" s="16" t="str">
        <f>IFERROR(VLOOKUP(I471,[1]Sheet1!$A$1:$B$200,2,0),"_")</f>
        <v>BE</v>
      </c>
      <c r="K471" s="19" t="s">
        <v>363</v>
      </c>
      <c r="L471" s="16" t="str">
        <f>IFERROR(VLOOKUP(K471,[1]Sheet1!$A$1:$B$200,2,0),"-")</f>
        <v>BB</v>
      </c>
      <c r="M471" s="19" t="s">
        <v>364</v>
      </c>
      <c r="N471" s="16" t="str">
        <f>IFERROR(VLOOKUP(M471,[1]Sheet1!$G$2:$H$200,2,0),"-")</f>
        <v>CMAL</v>
      </c>
      <c r="O471" s="18" t="s">
        <v>1939</v>
      </c>
      <c r="P471" s="17">
        <v>46019</v>
      </c>
      <c r="Q471" s="20" t="s">
        <v>1940</v>
      </c>
      <c r="R471" s="20" t="s">
        <v>1941</v>
      </c>
      <c r="S471" s="21" t="str" cm="1">
        <f t="array" ref="S471">IF(
OR(AD471="",ISERROR(AD471)),
"-",
_xlfn.UNIQUE(_xlfn._xlws.FILTER([1]Sheet1!$D$2:$D$200,ISNUMBER(SEARCH(AD471,[1]Sheet1!$D$2:$D$200))))
)</f>
        <v>양양운수(주)</v>
      </c>
      <c r="T471" s="22" t="s">
        <v>235</v>
      </c>
      <c r="U471" s="16" t="str" cm="1">
        <f t="array" ref="U471">IF(
OR(AD471="",ISERROR(AD471)),
"-",
_xlfn.UNIQUE(_xlfn._xlws.FILTER([1]Sheet1!$D$2:$D$200,ISNUMBER(SEARCH(AD471,[1]Sheet1!$D$2:$D$200))))
)</f>
        <v>양양운수(주)</v>
      </c>
      <c r="V471" s="23">
        <v>100000</v>
      </c>
      <c r="W471" s="23">
        <v>100000</v>
      </c>
      <c r="X471" s="23">
        <f t="shared" si="17"/>
        <v>0</v>
      </c>
      <c r="Y471" s="25" t="s">
        <v>1944</v>
      </c>
      <c r="Z471" s="19" t="s">
        <v>51</v>
      </c>
      <c r="AA471" s="19" t="s">
        <v>81</v>
      </c>
      <c r="AB471" s="18" t="s">
        <v>1945</v>
      </c>
      <c r="AC471" s="17" t="str">
        <f t="shared" si="16"/>
        <v>Y</v>
      </c>
      <c r="AD471" s="17" t="s">
        <v>619</v>
      </c>
      <c r="AE471" s="26">
        <v>0.375</v>
      </c>
      <c r="AF471" s="27"/>
      <c r="AG471" s="27"/>
      <c r="AI471" s="28" t="s">
        <v>57</v>
      </c>
    </row>
    <row r="472" spans="1:35" ht="34.950000000000003" customHeight="1" x14ac:dyDescent="0.4">
      <c r="A472" s="16" t="s">
        <v>71</v>
      </c>
      <c r="B472" s="16" t="s">
        <v>99</v>
      </c>
      <c r="C472" s="17">
        <v>46013</v>
      </c>
      <c r="D472" s="16" t="s">
        <v>126</v>
      </c>
      <c r="E472" s="16" t="s">
        <v>199</v>
      </c>
      <c r="F472" s="16">
        <v>22141</v>
      </c>
      <c r="G472" s="18" t="s">
        <v>1921</v>
      </c>
      <c r="H472" s="16" t="s">
        <v>41</v>
      </c>
      <c r="I472" s="19" t="s">
        <v>219</v>
      </c>
      <c r="J472" s="16" t="str">
        <f>IFERROR(VLOOKUP(I472,[1]Sheet1!$A$1:$B$200,2,0),"_")</f>
        <v>NN</v>
      </c>
      <c r="K472" s="19" t="s">
        <v>219</v>
      </c>
      <c r="L472" s="16" t="str">
        <f>IFERROR(VLOOKUP(K472,[1]Sheet1!$A$1:$B$200,2,0),"-")</f>
        <v>NN</v>
      </c>
      <c r="M472" s="19" t="s">
        <v>530</v>
      </c>
      <c r="N472" s="16" t="str">
        <f>IFERROR(VLOOKUP(M472,[1]Sheet1!$G$2:$H$200,2,0),"-")</f>
        <v>YMLU</v>
      </c>
      <c r="O472" s="18" t="s">
        <v>55</v>
      </c>
      <c r="P472" s="17" t="s">
        <v>55</v>
      </c>
      <c r="Q472" s="20" t="s">
        <v>1946</v>
      </c>
      <c r="R472" s="20"/>
      <c r="S472" s="21" t="str" cm="1">
        <f t="array" ref="S472">IF(
OR(AD472="",ISERROR(AD472)),
"-",
_xlfn.UNIQUE(_xlfn._xlws.FILTER([1]Sheet1!$D$2:$D$200,ISNUMBER(SEARCH(AD472,[1]Sheet1!$D$2:$D$200))))
)</f>
        <v>로지아이솔루션</v>
      </c>
      <c r="T472" s="22" t="s">
        <v>583</v>
      </c>
      <c r="U472" s="16" t="str" cm="1">
        <f t="array" ref="U472">IF(
OR(AD472="",ISERROR(AD472)),
"-",
_xlfn.UNIQUE(_xlfn._xlws.FILTER([1]Sheet1!$D$2:$D$200,ISNUMBER(SEARCH(AD472,[1]Sheet1!$D$2:$D$200))))
)</f>
        <v>로지아이솔루션</v>
      </c>
      <c r="V472" s="23">
        <v>270000</v>
      </c>
      <c r="W472" s="23">
        <v>259850</v>
      </c>
      <c r="X472" s="23">
        <f t="shared" si="17"/>
        <v>10150</v>
      </c>
      <c r="Y472" s="25" t="s">
        <v>1947</v>
      </c>
      <c r="Z472" s="19" t="s">
        <v>51</v>
      </c>
      <c r="AA472" s="19" t="s">
        <v>81</v>
      </c>
      <c r="AB472" s="18" t="s">
        <v>205</v>
      </c>
      <c r="AC472" s="17" t="str">
        <f t="shared" si="16"/>
        <v>Y</v>
      </c>
      <c r="AD472" s="17" t="s">
        <v>206</v>
      </c>
      <c r="AE472" s="26">
        <v>0.35416666666666669</v>
      </c>
      <c r="AF472" s="27"/>
      <c r="AG472" s="27"/>
      <c r="AI472" s="28" t="s">
        <v>57</v>
      </c>
    </row>
    <row r="473" spans="1:35" ht="34.950000000000003" customHeight="1" x14ac:dyDescent="0.4">
      <c r="A473" s="16" t="s">
        <v>71</v>
      </c>
      <c r="B473" s="16" t="s">
        <v>37</v>
      </c>
      <c r="C473" s="17">
        <v>46013</v>
      </c>
      <c r="D473" s="16" t="s">
        <v>216</v>
      </c>
      <c r="E473" s="16" t="s">
        <v>1049</v>
      </c>
      <c r="F473" s="16">
        <v>27880</v>
      </c>
      <c r="G473" s="18" t="s">
        <v>1819</v>
      </c>
      <c r="H473" s="16" t="s">
        <v>41</v>
      </c>
      <c r="I473" s="19" t="s">
        <v>86</v>
      </c>
      <c r="J473" s="16" t="str">
        <f>IFERROR(VLOOKUP(I473,[1]Sheet1!$A$1:$B$200,2,0),"_")</f>
        <v>HP</v>
      </c>
      <c r="K473" s="19" t="s">
        <v>86</v>
      </c>
      <c r="L473" s="16" t="str">
        <f>IFERROR(VLOOKUP(K473,[1]Sheet1!$A$1:$B$200,2,0),"-")</f>
        <v>HP</v>
      </c>
      <c r="M473" s="19" t="s">
        <v>752</v>
      </c>
      <c r="N473" s="16" t="str">
        <f>IFERROR(VLOOKUP(M473,[1]Sheet1!$G$2:$H$200,2,0),"-")</f>
        <v>ONE</v>
      </c>
      <c r="O473" s="18" t="s">
        <v>55</v>
      </c>
      <c r="P473" s="17" t="s">
        <v>55</v>
      </c>
      <c r="Q473" s="20" t="s">
        <v>1948</v>
      </c>
      <c r="R473" s="20"/>
      <c r="S473" s="21" t="str" cm="1">
        <f t="array" ref="S473">IF(
OR(AD473="",ISERROR(AD473)),
"-",
_xlfn.UNIQUE(_xlfn._xlws.FILTER([1]Sheet1!$D$2:$D$200,ISNUMBER(SEARCH(AD473,[1]Sheet1!$D$2:$D$200))))
)</f>
        <v>에스지로지스틱</v>
      </c>
      <c r="T473" s="22" t="s">
        <v>1056</v>
      </c>
      <c r="U473" s="16" t="str" cm="1">
        <f t="array" ref="U473">IF(
OR(AD473="",ISERROR(AD473)),
"-",
_xlfn.UNIQUE(_xlfn._xlws.FILTER([1]Sheet1!$D$2:$D$200,ISNUMBER(SEARCH(AD473,[1]Sheet1!$D$2:$D$200))))
)</f>
        <v>에스지로지스틱</v>
      </c>
      <c r="V473" s="23">
        <v>216000</v>
      </c>
      <c r="W473" s="23">
        <v>196000</v>
      </c>
      <c r="X473" s="23">
        <f t="shared" si="17"/>
        <v>20000</v>
      </c>
      <c r="Y473" s="25" t="s">
        <v>1821</v>
      </c>
      <c r="Z473" s="19" t="s">
        <v>51</v>
      </c>
      <c r="AA473" s="19" t="s">
        <v>93</v>
      </c>
      <c r="AC473" s="17" t="str">
        <f t="shared" si="16"/>
        <v>Y</v>
      </c>
      <c r="AD473" s="17" t="s">
        <v>184</v>
      </c>
      <c r="AE473" s="26">
        <v>0.45833333333333331</v>
      </c>
      <c r="AF473" s="27"/>
      <c r="AG473" s="27"/>
      <c r="AI473" s="28" t="s">
        <v>57</v>
      </c>
    </row>
    <row r="474" spans="1:35" ht="34.950000000000003" customHeight="1" x14ac:dyDescent="0.4">
      <c r="A474" s="16" t="s">
        <v>71</v>
      </c>
      <c r="B474" s="16" t="s">
        <v>37</v>
      </c>
      <c r="C474" s="17">
        <v>46013</v>
      </c>
      <c r="D474" s="16" t="s">
        <v>216</v>
      </c>
      <c r="E474" s="16" t="s">
        <v>1049</v>
      </c>
      <c r="F474" s="16">
        <v>27880</v>
      </c>
      <c r="G474" s="18" t="s">
        <v>1819</v>
      </c>
      <c r="H474" s="16" t="s">
        <v>41</v>
      </c>
      <c r="I474" s="19" t="s">
        <v>86</v>
      </c>
      <c r="J474" s="16" t="str">
        <f>IFERROR(VLOOKUP(I474,[1]Sheet1!$A$1:$B$200,2,0),"_")</f>
        <v>HP</v>
      </c>
      <c r="K474" s="19" t="s">
        <v>86</v>
      </c>
      <c r="L474" s="16" t="str">
        <f>IFERROR(VLOOKUP(K474,[1]Sheet1!$A$1:$B$200,2,0),"-")</f>
        <v>HP</v>
      </c>
      <c r="M474" s="19" t="s">
        <v>752</v>
      </c>
      <c r="N474" s="16" t="str">
        <f>IFERROR(VLOOKUP(M474,[1]Sheet1!$G$2:$H$200,2,0),"-")</f>
        <v>ONE</v>
      </c>
      <c r="O474" s="18" t="s">
        <v>55</v>
      </c>
      <c r="P474" s="17" t="s">
        <v>55</v>
      </c>
      <c r="Q474" s="20" t="s">
        <v>1948</v>
      </c>
      <c r="R474" s="20"/>
      <c r="S474" s="21" t="str" cm="1">
        <f t="array" ref="S474">IF(
OR(AD474="",ISERROR(AD474)),
"-",
_xlfn.UNIQUE(_xlfn._xlws.FILTER([1]Sheet1!$D$2:$D$200,ISNUMBER(SEARCH(AD474,[1]Sheet1!$D$2:$D$200))))
)</f>
        <v>에스지로지스틱</v>
      </c>
      <c r="T474" s="22" t="s">
        <v>1056</v>
      </c>
      <c r="U474" s="16" t="str" cm="1">
        <f t="array" ref="U474">IF(
OR(AD474="",ISERROR(AD474)),
"-",
_xlfn.UNIQUE(_xlfn._xlws.FILTER([1]Sheet1!$D$2:$D$200,ISNUMBER(SEARCH(AD474,[1]Sheet1!$D$2:$D$200))))
)</f>
        <v>에스지로지스틱</v>
      </c>
      <c r="V474" s="23">
        <v>35200</v>
      </c>
      <c r="W474" s="23">
        <v>35200</v>
      </c>
      <c r="X474" s="23">
        <f t="shared" si="17"/>
        <v>0</v>
      </c>
      <c r="Y474" s="25" t="s">
        <v>1949</v>
      </c>
      <c r="Z474" s="19" t="s">
        <v>51</v>
      </c>
      <c r="AA474" s="19" t="s">
        <v>93</v>
      </c>
      <c r="AB474" s="18" t="s">
        <v>1950</v>
      </c>
      <c r="AC474" s="17" t="str">
        <f t="shared" si="16"/>
        <v>Y</v>
      </c>
      <c r="AD474" s="17" t="s">
        <v>184</v>
      </c>
      <c r="AE474" s="26">
        <v>0.45833333333333331</v>
      </c>
      <c r="AF474" s="27"/>
      <c r="AG474" s="27"/>
      <c r="AI474" s="28" t="s">
        <v>57</v>
      </c>
    </row>
    <row r="475" spans="1:35" ht="34.950000000000003" customHeight="1" x14ac:dyDescent="0.4">
      <c r="A475" s="16" t="s">
        <v>71</v>
      </c>
      <c r="B475" s="16" t="s">
        <v>37</v>
      </c>
      <c r="C475" s="17">
        <v>46013</v>
      </c>
      <c r="D475" s="16" t="s">
        <v>155</v>
      </c>
      <c r="E475" s="16" t="s">
        <v>1951</v>
      </c>
      <c r="F475" s="16">
        <v>25597</v>
      </c>
      <c r="G475" s="18" t="s">
        <v>1952</v>
      </c>
      <c r="H475" s="16" t="s">
        <v>519</v>
      </c>
      <c r="I475" s="19" t="s">
        <v>42</v>
      </c>
      <c r="J475" s="16" t="str">
        <f>IFERROR(VLOOKUP(I475,[1]Sheet1!$A$1:$B$200,2,0),"_")</f>
        <v>P</v>
      </c>
      <c r="K475" s="19" t="s">
        <v>1354</v>
      </c>
      <c r="L475" s="16" t="str">
        <f>IFERROR(VLOOKUP(K475,[1]Sheet1!$A$1:$B$200,2,0),"-")</f>
        <v>MF</v>
      </c>
      <c r="M475" s="19" t="s">
        <v>251</v>
      </c>
      <c r="N475" s="16" t="str">
        <f>IFERROR(VLOOKUP(M475,[1]Sheet1!$G$2:$H$200,2,0),"-")</f>
        <v>SNKO</v>
      </c>
      <c r="O475" s="18" t="s">
        <v>55</v>
      </c>
      <c r="P475" s="17" t="s">
        <v>55</v>
      </c>
      <c r="Q475" s="20" t="s">
        <v>1953</v>
      </c>
      <c r="R475" s="20" t="s">
        <v>1954</v>
      </c>
      <c r="S475" s="21" t="str" cm="1">
        <f t="array" ref="S475">IF(
OR(AD475="",ISERROR(AD475)),
"-",
_xlfn.UNIQUE(_xlfn._xlws.FILTER([1]Sheet1!$D$2:$D$200,ISNUMBER(SEARCH(AD475,[1]Sheet1!$D$2:$D$200))))
)</f>
        <v>(주)유진로직스</v>
      </c>
      <c r="T475" s="22" t="s">
        <v>1955</v>
      </c>
      <c r="U475" s="16" t="str" cm="1">
        <f t="array" ref="U475">IF(
OR(AD475="",ISERROR(AD475)),
"-",
_xlfn.UNIQUE(_xlfn._xlws.FILTER([1]Sheet1!$D$2:$D$200,ISNUMBER(SEARCH(AD475,[1]Sheet1!$D$2:$D$200))))
)</f>
        <v>(주)유진로직스</v>
      </c>
      <c r="V475" s="23">
        <v>630000</v>
      </c>
      <c r="W475" s="23">
        <v>549000</v>
      </c>
      <c r="X475" s="23">
        <f t="shared" si="17"/>
        <v>81000</v>
      </c>
      <c r="Y475" s="25" t="s">
        <v>1956</v>
      </c>
      <c r="Z475" s="19" t="s">
        <v>51</v>
      </c>
      <c r="AA475" s="19" t="s">
        <v>144</v>
      </c>
      <c r="AB475" s="18" t="s">
        <v>1957</v>
      </c>
      <c r="AC475" s="17" t="str">
        <f t="shared" si="16"/>
        <v>Y</v>
      </c>
      <c r="AD475" s="17" t="s">
        <v>70</v>
      </c>
      <c r="AF475" s="27"/>
      <c r="AG475" s="27"/>
      <c r="AI475" s="28" t="s">
        <v>57</v>
      </c>
    </row>
    <row r="476" spans="1:35" ht="34.950000000000003" customHeight="1" x14ac:dyDescent="0.4">
      <c r="A476" s="16" t="s">
        <v>36</v>
      </c>
      <c r="B476" s="16" t="s">
        <v>37</v>
      </c>
      <c r="C476" s="17">
        <v>46013</v>
      </c>
      <c r="D476" s="16" t="s">
        <v>83</v>
      </c>
      <c r="E476" s="16" t="s">
        <v>545</v>
      </c>
      <c r="F476" s="16">
        <v>22902</v>
      </c>
      <c r="G476" s="18" t="s">
        <v>1958</v>
      </c>
      <c r="H476" s="16" t="s">
        <v>75</v>
      </c>
      <c r="I476" s="19" t="s">
        <v>381</v>
      </c>
      <c r="J476" s="16" t="str">
        <f>IFERROR(VLOOKUP(I476,[1]Sheet1!$A$1:$B$200,2,0),"_")</f>
        <v>PT</v>
      </c>
      <c r="K476" s="19" t="s">
        <v>381</v>
      </c>
      <c r="L476" s="16" t="str">
        <f>IFERROR(VLOOKUP(K476,[1]Sheet1!$A$1:$B$200,2,0),"-")</f>
        <v>PT</v>
      </c>
      <c r="M476" s="19" t="s">
        <v>151</v>
      </c>
      <c r="N476" s="16" t="str">
        <f>IFERROR(VLOOKUP(M476,[1]Sheet1!$G$2:$H$200,2,0),"-")</f>
        <v>NSSL</v>
      </c>
      <c r="O476" s="18" t="s">
        <v>1959</v>
      </c>
      <c r="P476" s="17">
        <v>46017</v>
      </c>
      <c r="Q476" s="20" t="s">
        <v>1960</v>
      </c>
      <c r="R476" s="20" t="s">
        <v>1961</v>
      </c>
      <c r="S476" s="21" t="str" cm="1">
        <f t="array" ref="S476">IF(
OR(AD476="",ISERROR(AD476)),
"-",
_xlfn.UNIQUE(_xlfn._xlws.FILTER([1]Sheet1!$D$2:$D$200,ISNUMBER(SEARCH(AD476,[1]Sheet1!$D$2:$D$200))))
)</f>
        <v>주식회사 다원로직스</v>
      </c>
      <c r="T476" s="22" t="s">
        <v>1962</v>
      </c>
      <c r="U476" s="16" t="str" cm="1">
        <f t="array" ref="U476">IF(
OR(AD476="",ISERROR(AD476)),
"-",
_xlfn.UNIQUE(_xlfn._xlws.FILTER([1]Sheet1!$D$2:$D$200,ISNUMBER(SEARCH(AD476,[1]Sheet1!$D$2:$D$200))))
)</f>
        <v>주식회사 다원로직스</v>
      </c>
      <c r="V476" s="23">
        <v>240000</v>
      </c>
      <c r="W476" s="23">
        <v>200000</v>
      </c>
      <c r="X476" s="23">
        <f t="shared" si="17"/>
        <v>40000</v>
      </c>
      <c r="Y476" s="25" t="s">
        <v>1963</v>
      </c>
      <c r="Z476" s="19" t="s">
        <v>51</v>
      </c>
      <c r="AA476" s="19" t="s">
        <v>93</v>
      </c>
      <c r="AC476" s="17" t="str">
        <f t="shared" si="16"/>
        <v>Y</v>
      </c>
      <c r="AD476" s="17" t="s">
        <v>552</v>
      </c>
      <c r="AF476" s="27"/>
      <c r="AG476" s="27"/>
      <c r="AI476" s="28" t="s">
        <v>57</v>
      </c>
    </row>
    <row r="477" spans="1:35" ht="34.950000000000003" customHeight="1" x14ac:dyDescent="0.4">
      <c r="A477" s="16" t="s">
        <v>36</v>
      </c>
      <c r="B477" s="16" t="s">
        <v>37</v>
      </c>
      <c r="C477" s="17">
        <v>46013</v>
      </c>
      <c r="D477" s="16" t="s">
        <v>83</v>
      </c>
      <c r="E477" s="16" t="s">
        <v>545</v>
      </c>
      <c r="F477" s="16">
        <v>22902</v>
      </c>
      <c r="G477" s="18" t="s">
        <v>1958</v>
      </c>
      <c r="H477" s="16" t="s">
        <v>75</v>
      </c>
      <c r="I477" s="19" t="s">
        <v>381</v>
      </c>
      <c r="J477" s="16" t="str">
        <f>IFERROR(VLOOKUP(I477,[1]Sheet1!$A$1:$B$200,2,0),"_")</f>
        <v>PT</v>
      </c>
      <c r="K477" s="19" t="s">
        <v>381</v>
      </c>
      <c r="L477" s="16" t="str">
        <f>IFERROR(VLOOKUP(K477,[1]Sheet1!$A$1:$B$200,2,0),"-")</f>
        <v>PT</v>
      </c>
      <c r="M477" s="19" t="s">
        <v>151</v>
      </c>
      <c r="N477" s="16" t="str">
        <f>IFERROR(VLOOKUP(M477,[1]Sheet1!$G$2:$H$200,2,0),"-")</f>
        <v>NSSL</v>
      </c>
      <c r="O477" s="18" t="s">
        <v>1959</v>
      </c>
      <c r="P477" s="17">
        <v>46017</v>
      </c>
      <c r="Q477" s="20" t="s">
        <v>1964</v>
      </c>
      <c r="R477" s="20" t="s">
        <v>1960</v>
      </c>
      <c r="S477" s="21" t="str" cm="1">
        <f t="array" ref="S477">IF(
OR(AD477="",ISERROR(AD477)),
"-",
_xlfn.UNIQUE(_xlfn._xlws.FILTER([1]Sheet1!$D$2:$D$200,ISNUMBER(SEARCH(AD477,[1]Sheet1!$D$2:$D$200))))
)</f>
        <v>주식회사 다원로직스</v>
      </c>
      <c r="T477" s="20" t="s">
        <v>1965</v>
      </c>
      <c r="U477" s="16" t="str" cm="1">
        <f t="array" ref="U477">IF(
OR(AD477="",ISERROR(AD477)),
"-",
_xlfn.UNIQUE(_xlfn._xlws.FILTER([1]Sheet1!$D$2:$D$200,ISNUMBER(SEARCH(AD477,[1]Sheet1!$D$2:$D$200))))
)</f>
        <v>주식회사 다원로직스</v>
      </c>
      <c r="V477" s="23">
        <v>100000</v>
      </c>
      <c r="W477" s="23">
        <v>100000</v>
      </c>
      <c r="X477" s="23">
        <f t="shared" si="17"/>
        <v>0</v>
      </c>
      <c r="Y477" s="25" t="s">
        <v>1963</v>
      </c>
      <c r="Z477" s="19" t="s">
        <v>51</v>
      </c>
      <c r="AA477" s="19" t="s">
        <v>93</v>
      </c>
      <c r="AC477" s="17" t="str">
        <f t="shared" si="16"/>
        <v>Y</v>
      </c>
      <c r="AD477" s="17" t="s">
        <v>552</v>
      </c>
      <c r="AF477" s="27"/>
      <c r="AG477" s="27"/>
      <c r="AI477" s="28" t="s">
        <v>57</v>
      </c>
    </row>
    <row r="478" spans="1:35" ht="34.950000000000003" customHeight="1" x14ac:dyDescent="0.4">
      <c r="A478" s="16" t="s">
        <v>36</v>
      </c>
      <c r="B478" s="16" t="s">
        <v>37</v>
      </c>
      <c r="C478" s="17">
        <v>46013</v>
      </c>
      <c r="D478" s="16" t="s">
        <v>83</v>
      </c>
      <c r="E478" s="16" t="s">
        <v>545</v>
      </c>
      <c r="F478" s="16">
        <v>22902</v>
      </c>
      <c r="G478" s="18" t="s">
        <v>1958</v>
      </c>
      <c r="H478" s="16" t="s">
        <v>75</v>
      </c>
      <c r="I478" s="19" t="s">
        <v>381</v>
      </c>
      <c r="J478" s="16" t="str">
        <f>IFERROR(VLOOKUP(I478,[1]Sheet1!$A$1:$B$200,2,0),"_")</f>
        <v>PT</v>
      </c>
      <c r="K478" s="19" t="s">
        <v>381</v>
      </c>
      <c r="L478" s="16" t="str">
        <f>IFERROR(VLOOKUP(K478,[1]Sheet1!$A$1:$B$200,2,0),"-")</f>
        <v>PT</v>
      </c>
      <c r="M478" s="19" t="s">
        <v>151</v>
      </c>
      <c r="N478" s="16" t="str">
        <f>IFERROR(VLOOKUP(M478,[1]Sheet1!$G$2:$H$200,2,0),"-")</f>
        <v>NSSL</v>
      </c>
      <c r="O478" s="18" t="s">
        <v>1959</v>
      </c>
      <c r="P478" s="17">
        <v>46017</v>
      </c>
      <c r="Q478" s="20" t="s">
        <v>1966</v>
      </c>
      <c r="R478" s="20" t="s">
        <v>1960</v>
      </c>
      <c r="S478" s="21" t="str" cm="1">
        <f t="array" ref="S478">IF(
OR(AD478="",ISERROR(AD478)),
"-",
_xlfn.UNIQUE(_xlfn._xlws.FILTER([1]Sheet1!$D$2:$D$200,ISNUMBER(SEARCH(AD478,[1]Sheet1!$D$2:$D$200))))
)</f>
        <v>주식회사 다원로직스</v>
      </c>
      <c r="T478" s="20" t="s">
        <v>1965</v>
      </c>
      <c r="U478" s="16" t="str" cm="1">
        <f t="array" ref="U478">IF(
OR(AD478="",ISERROR(AD478)),
"-",
_xlfn.UNIQUE(_xlfn._xlws.FILTER([1]Sheet1!$D$2:$D$200,ISNUMBER(SEARCH(AD478,[1]Sheet1!$D$2:$D$200))))
)</f>
        <v>주식회사 다원로직스</v>
      </c>
      <c r="V478" s="23">
        <v>80000</v>
      </c>
      <c r="W478" s="23">
        <v>50000</v>
      </c>
      <c r="X478" s="23">
        <f t="shared" si="17"/>
        <v>30000</v>
      </c>
      <c r="Y478" s="25" t="s">
        <v>1963</v>
      </c>
      <c r="Z478" s="19" t="s">
        <v>51</v>
      </c>
      <c r="AA478" s="19" t="s">
        <v>93</v>
      </c>
      <c r="AB478" s="18" t="s">
        <v>1967</v>
      </c>
      <c r="AC478" s="17" t="str">
        <f t="shared" si="16"/>
        <v>Y</v>
      </c>
      <c r="AD478" s="17" t="s">
        <v>552</v>
      </c>
      <c r="AF478" s="27"/>
      <c r="AG478" s="27"/>
      <c r="AI478" s="28" t="s">
        <v>57</v>
      </c>
    </row>
    <row r="479" spans="1:35" ht="34.950000000000003" customHeight="1" x14ac:dyDescent="0.4">
      <c r="A479" s="16" t="s">
        <v>71</v>
      </c>
      <c r="B479" s="16" t="s">
        <v>37</v>
      </c>
      <c r="C479" s="17">
        <v>46013</v>
      </c>
      <c r="D479" s="16" t="s">
        <v>628</v>
      </c>
      <c r="E479" s="16" t="s">
        <v>1968</v>
      </c>
      <c r="F479" s="16">
        <v>12295</v>
      </c>
      <c r="G479" s="18" t="s">
        <v>1969</v>
      </c>
      <c r="H479" s="16" t="s">
        <v>41</v>
      </c>
      <c r="I479" s="19" t="s">
        <v>272</v>
      </c>
      <c r="J479" s="16" t="str">
        <f>IFERROR(VLOOKUP(I479,[1]Sheet1!$A$1:$B$200,2,0),"_")</f>
        <v>Z9</v>
      </c>
      <c r="K479" s="19" t="s">
        <v>272</v>
      </c>
      <c r="L479" s="16" t="str">
        <f>IFERROR(VLOOKUP(K479,[1]Sheet1!$A$1:$B$200,2,0),"-")</f>
        <v>Z9</v>
      </c>
      <c r="M479" s="19" t="s">
        <v>578</v>
      </c>
      <c r="N479" s="16" t="str">
        <f>IFERROR(VLOOKUP(M479,[1]Sheet1!$G$2:$H$200,2,0),"-")</f>
        <v>PCSL</v>
      </c>
      <c r="P479" s="17"/>
      <c r="Q479" s="20" t="s">
        <v>1970</v>
      </c>
      <c r="R479" s="20"/>
      <c r="S479" s="21" t="str" cm="1">
        <f t="array" ref="S479">IF(
OR(AD479="",ISERROR(AD479)),
"-",
_xlfn.UNIQUE(_xlfn._xlws.FILTER([1]Sheet1!$D$2:$D$200,ISNUMBER(SEARCH(AD479,[1]Sheet1!$D$2:$D$200))))
)</f>
        <v>에스지로지스틱</v>
      </c>
      <c r="T479" s="22" t="s">
        <v>1971</v>
      </c>
      <c r="U479" s="16" t="str" cm="1">
        <f t="array" ref="U479">IF(
OR(AD479="",ISERROR(AD479)),
"-",
_xlfn.UNIQUE(_xlfn._xlws.FILTER([1]Sheet1!$D$2:$D$200,ISNUMBER(SEARCH(AD479,[1]Sheet1!$D$2:$D$200))))
)</f>
        <v>에스지로지스틱</v>
      </c>
      <c r="V479" s="23">
        <v>354000</v>
      </c>
      <c r="W479" s="23">
        <v>301000</v>
      </c>
      <c r="X479" s="23">
        <f t="shared" si="17"/>
        <v>53000</v>
      </c>
      <c r="Y479" s="25" t="s">
        <v>1972</v>
      </c>
      <c r="Z479" s="19" t="s">
        <v>51</v>
      </c>
      <c r="AA479" s="19" t="s">
        <v>472</v>
      </c>
      <c r="AC479" s="17" t="str">
        <f t="shared" si="16"/>
        <v>Y</v>
      </c>
      <c r="AD479" s="17" t="s">
        <v>184</v>
      </c>
      <c r="AE479" s="26">
        <v>0.41666666666666669</v>
      </c>
      <c r="AF479" s="27"/>
      <c r="AG479" s="27"/>
      <c r="AI479" s="28" t="s">
        <v>57</v>
      </c>
    </row>
    <row r="480" spans="1:35" ht="34.950000000000003" customHeight="1" x14ac:dyDescent="0.4">
      <c r="A480" s="16" t="s">
        <v>36</v>
      </c>
      <c r="B480" s="16" t="s">
        <v>37</v>
      </c>
      <c r="C480" s="17">
        <v>46013</v>
      </c>
      <c r="D480" s="16" t="s">
        <v>188</v>
      </c>
      <c r="E480" s="16" t="s">
        <v>189</v>
      </c>
      <c r="F480" s="16">
        <v>727</v>
      </c>
      <c r="G480" s="18" t="s">
        <v>998</v>
      </c>
      <c r="H480" s="16" t="s">
        <v>75</v>
      </c>
      <c r="I480" s="19" t="s">
        <v>86</v>
      </c>
      <c r="J480" s="16" t="str">
        <f>IFERROR(VLOOKUP(I480,[1]Sheet1!$A$1:$B$200,2,0),"_")</f>
        <v>HP</v>
      </c>
      <c r="K480" s="19" t="s">
        <v>86</v>
      </c>
      <c r="L480" s="16" t="str">
        <f>IFERROR(VLOOKUP(K480,[1]Sheet1!$A$1:$B$200,2,0),"-")</f>
        <v>HP</v>
      </c>
      <c r="M480" s="19" t="s">
        <v>87</v>
      </c>
      <c r="N480" s="16" t="str">
        <f>IFERROR(VLOOKUP(M480,[1]Sheet1!$G$2:$H$200,2,0),"-")</f>
        <v>HDMU</v>
      </c>
      <c r="O480" s="18" t="s">
        <v>1973</v>
      </c>
      <c r="P480" s="17">
        <v>46015</v>
      </c>
      <c r="Q480" s="20" t="s">
        <v>1974</v>
      </c>
      <c r="R480" s="20" t="s">
        <v>1975</v>
      </c>
      <c r="S480" s="21" t="str" cm="1">
        <f t="array" ref="S480">IF(
OR(AD480="",ISERROR(AD480)),
"-",
_xlfn.UNIQUE(_xlfn._xlws.FILTER([1]Sheet1!$D$2:$D$200,ISNUMBER(SEARCH(AD480,[1]Sheet1!$D$2:$D$200))))
)</f>
        <v>에스더블유로지스틱스</v>
      </c>
      <c r="T480" s="22" t="s">
        <v>1976</v>
      </c>
      <c r="U480" s="16" t="str" cm="1">
        <f t="array" ref="U480">IF(
OR(AD480="",ISERROR(AD480)),
"-",
_xlfn.UNIQUE(_xlfn._xlws.FILTER([1]Sheet1!$D$2:$D$200,ISNUMBER(SEARCH(AD480,[1]Sheet1!$D$2:$D$200))))
)</f>
        <v>에스더블유로지스틱스</v>
      </c>
      <c r="V480" s="23">
        <v>250000</v>
      </c>
      <c r="W480" s="23">
        <v>220000</v>
      </c>
      <c r="X480" s="23">
        <f t="shared" si="17"/>
        <v>30000</v>
      </c>
      <c r="Y480" s="25" t="s">
        <v>1977</v>
      </c>
      <c r="Z480" s="19" t="s">
        <v>51</v>
      </c>
      <c r="AA480" s="19" t="s">
        <v>81</v>
      </c>
      <c r="AB480" s="18" t="s">
        <v>1002</v>
      </c>
      <c r="AC480" s="17" t="str">
        <f t="shared" si="16"/>
        <v>Y</v>
      </c>
      <c r="AD480" s="17" t="s">
        <v>1200</v>
      </c>
      <c r="AE480" s="26">
        <v>0.40277777777777773</v>
      </c>
      <c r="AF480" s="27"/>
      <c r="AG480" s="27"/>
      <c r="AI480" s="28" t="s">
        <v>57</v>
      </c>
    </row>
    <row r="481" spans="1:35" ht="34.950000000000003" customHeight="1" x14ac:dyDescent="0.4">
      <c r="A481" s="16" t="s">
        <v>71</v>
      </c>
      <c r="B481" s="16" t="s">
        <v>37</v>
      </c>
      <c r="C481" s="17">
        <v>46013</v>
      </c>
      <c r="D481" s="16" t="s">
        <v>72</v>
      </c>
      <c r="E481" s="16" t="s">
        <v>778</v>
      </c>
      <c r="F481" s="16">
        <v>3043</v>
      </c>
      <c r="G481" s="18" t="s">
        <v>1978</v>
      </c>
      <c r="H481" s="16" t="s">
        <v>41</v>
      </c>
      <c r="I481" s="19" t="s">
        <v>317</v>
      </c>
      <c r="J481" s="16" t="str">
        <f>IFERROR(VLOOKUP(I481,[1]Sheet1!$A$1:$B$200,2,0),"_")</f>
        <v>HN</v>
      </c>
      <c r="K481" s="19" t="s">
        <v>137</v>
      </c>
      <c r="L481" s="16" t="str">
        <f>IFERROR(VLOOKUP(K481,[1]Sheet1!$A$1:$B$200,2,0),"-")</f>
        <v>BE</v>
      </c>
      <c r="M481" s="19" t="s">
        <v>752</v>
      </c>
      <c r="N481" s="16" t="str">
        <f>IFERROR(VLOOKUP(M481,[1]Sheet1!$G$2:$H$200,2,0),"-")</f>
        <v>ONE</v>
      </c>
      <c r="O481" s="18" t="s">
        <v>55</v>
      </c>
      <c r="P481" s="17" t="s">
        <v>55</v>
      </c>
      <c r="Q481" s="20" t="s">
        <v>1979</v>
      </c>
      <c r="R481" s="20"/>
      <c r="S481" s="21" t="str" cm="1">
        <f t="array" ref="S481">IF(
OR(AD481="",ISERROR(AD481)),
"-",
_xlfn.UNIQUE(_xlfn._xlws.FILTER([1]Sheet1!$D$2:$D$200,ISNUMBER(SEARCH(AD481,[1]Sheet1!$D$2:$D$200))))
)</f>
        <v>율세</v>
      </c>
      <c r="T481" s="22" t="s">
        <v>1980</v>
      </c>
      <c r="U481" s="16" t="str" cm="1">
        <f t="array" ref="U481">IF(
OR(AD481="",ISERROR(AD481)),
"-",
_xlfn.UNIQUE(_xlfn._xlws.FILTER([1]Sheet1!$D$2:$D$200,ISNUMBER(SEARCH(AD481,[1]Sheet1!$D$2:$D$200))))
)</f>
        <v>율세</v>
      </c>
      <c r="V481" s="23">
        <v>615000</v>
      </c>
      <c r="W481" s="23">
        <v>536400</v>
      </c>
      <c r="X481" s="23">
        <f t="shared" si="17"/>
        <v>78600</v>
      </c>
      <c r="Y481" s="25" t="s">
        <v>1981</v>
      </c>
      <c r="Z481" s="19" t="s">
        <v>51</v>
      </c>
      <c r="AA481" s="19" t="s">
        <v>81</v>
      </c>
      <c r="AB481" s="105" t="s">
        <v>1982</v>
      </c>
      <c r="AC481" s="17" t="str">
        <f t="shared" si="16"/>
        <v>Y</v>
      </c>
      <c r="AD481" s="17" t="s">
        <v>123</v>
      </c>
      <c r="AE481" s="26">
        <v>0.33333333333333331</v>
      </c>
      <c r="AF481" s="27"/>
      <c r="AG481" s="27"/>
      <c r="AI481" s="28" t="s">
        <v>57</v>
      </c>
    </row>
    <row r="482" spans="1:35" ht="34.950000000000003" customHeight="1" x14ac:dyDescent="0.4">
      <c r="A482" s="16" t="s">
        <v>71</v>
      </c>
      <c r="B482" s="16" t="s">
        <v>99</v>
      </c>
      <c r="C482" s="17">
        <v>46013</v>
      </c>
      <c r="D482" s="16" t="s">
        <v>308</v>
      </c>
      <c r="E482" s="16" t="s">
        <v>149</v>
      </c>
      <c r="F482" s="16">
        <v>28090</v>
      </c>
      <c r="G482" s="18" t="s">
        <v>1442</v>
      </c>
      <c r="H482" s="16" t="s">
        <v>41</v>
      </c>
      <c r="I482" s="19" t="s">
        <v>76</v>
      </c>
      <c r="J482" s="16" t="str">
        <f>IFERROR(VLOOKUP(I482,[1]Sheet1!$A$1:$B$200,2,0),"_")</f>
        <v>NJ</v>
      </c>
      <c r="K482" s="19" t="s">
        <v>76</v>
      </c>
      <c r="L482" s="16" t="str">
        <f>IFERROR(VLOOKUP(K482,[1]Sheet1!$A$1:$B$200,2,0),"-")</f>
        <v>NJ</v>
      </c>
      <c r="M482" s="19" t="s">
        <v>151</v>
      </c>
      <c r="N482" s="16" t="str">
        <f>IFERROR(VLOOKUP(M482,[1]Sheet1!$G$2:$H$200,2,0),"-")</f>
        <v>NSSL</v>
      </c>
      <c r="O482" s="18" t="s">
        <v>55</v>
      </c>
      <c r="P482" s="17" t="s">
        <v>55</v>
      </c>
      <c r="Q482" s="20" t="s">
        <v>1983</v>
      </c>
      <c r="R482" s="20"/>
      <c r="S482" s="21" t="str" cm="1">
        <f t="array" ref="S482">IF(
OR(AD482="",ISERROR(AD482)),
"-",
_xlfn.UNIQUE(_xlfn._xlws.FILTER([1]Sheet1!$D$2:$D$200,ISNUMBER(SEARCH(AD482,[1]Sheet1!$D$2:$D$200))))
)</f>
        <v>태성종합물류</v>
      </c>
      <c r="T482" s="22" t="s">
        <v>1984</v>
      </c>
      <c r="U482" s="16" t="str" cm="1">
        <f t="array" ref="U482">IF(
OR(AD482="",ISERROR(AD482)),
"-",
_xlfn.UNIQUE(_xlfn._xlws.FILTER([1]Sheet1!$D$2:$D$200,ISNUMBER(SEARCH(AD482,[1]Sheet1!$D$2:$D$200))))
)</f>
        <v>태성종합물류</v>
      </c>
      <c r="V482" s="23">
        <v>415000</v>
      </c>
      <c r="W482" s="23">
        <v>388200</v>
      </c>
      <c r="X482" s="23">
        <f t="shared" si="17"/>
        <v>26800</v>
      </c>
      <c r="Y482" s="25" t="s">
        <v>1985</v>
      </c>
      <c r="Z482" s="19" t="s">
        <v>51</v>
      </c>
      <c r="AA482" s="19" t="s">
        <v>93</v>
      </c>
      <c r="AB482" s="18" t="s">
        <v>1445</v>
      </c>
      <c r="AC482" s="17" t="str">
        <f t="shared" si="16"/>
        <v>Y</v>
      </c>
      <c r="AD482" s="17" t="s">
        <v>82</v>
      </c>
      <c r="AE482" s="26">
        <v>0.58333333333333337</v>
      </c>
      <c r="AF482" s="27"/>
      <c r="AG482" s="27"/>
      <c r="AI482" s="28" t="s">
        <v>57</v>
      </c>
    </row>
    <row r="483" spans="1:35" ht="34.950000000000003" customHeight="1" x14ac:dyDescent="0.4">
      <c r="A483" s="16" t="s">
        <v>71</v>
      </c>
      <c r="B483" s="16" t="s">
        <v>99</v>
      </c>
      <c r="C483" s="17">
        <v>46013</v>
      </c>
      <c r="D483" s="16" t="s">
        <v>308</v>
      </c>
      <c r="E483" s="16" t="s">
        <v>149</v>
      </c>
      <c r="F483" s="16">
        <v>28090</v>
      </c>
      <c r="G483" s="18" t="s">
        <v>1442</v>
      </c>
      <c r="H483" s="16" t="s">
        <v>41</v>
      </c>
      <c r="I483" s="19" t="s">
        <v>76</v>
      </c>
      <c r="J483" s="16" t="str">
        <f>IFERROR(VLOOKUP(I483,[1]Sheet1!$A$1:$B$200,2,0),"_")</f>
        <v>NJ</v>
      </c>
      <c r="K483" s="19" t="s">
        <v>76</v>
      </c>
      <c r="L483" s="16" t="str">
        <f>IFERROR(VLOOKUP(K483,[1]Sheet1!$A$1:$B$200,2,0),"-")</f>
        <v>NJ</v>
      </c>
      <c r="M483" s="19" t="s">
        <v>1986</v>
      </c>
      <c r="N483" s="16" t="str">
        <f>IFERROR(VLOOKUP(M483,[1]Sheet1!$G$2:$H$200,2,0),"-")</f>
        <v>JCSC</v>
      </c>
      <c r="O483" s="18" t="s">
        <v>55</v>
      </c>
      <c r="P483" s="17" t="s">
        <v>55</v>
      </c>
      <c r="Q483" s="20" t="s">
        <v>1987</v>
      </c>
      <c r="R483" s="20"/>
      <c r="S483" s="21" t="str" cm="1">
        <f t="array" ref="S483">IF(
OR(AD483="",ISERROR(AD483)),
"-",
_xlfn.UNIQUE(_xlfn._xlws.FILTER([1]Sheet1!$D$2:$D$200,ISNUMBER(SEARCH(AD483,[1]Sheet1!$D$2:$D$200))))
)</f>
        <v>태성종합물류</v>
      </c>
      <c r="T483" s="22" t="s">
        <v>1655</v>
      </c>
      <c r="U483" s="16" t="str" cm="1">
        <f t="array" ref="U483">IF(
OR(AD483="",ISERROR(AD483)),
"-",
_xlfn.UNIQUE(_xlfn._xlws.FILTER([1]Sheet1!$D$2:$D$200,ISNUMBER(SEARCH(AD483,[1]Sheet1!$D$2:$D$200))))
)</f>
        <v>태성종합물류</v>
      </c>
      <c r="V483" s="23">
        <v>415000</v>
      </c>
      <c r="W483" s="23">
        <v>388200</v>
      </c>
      <c r="X483" s="23">
        <f t="shared" si="17"/>
        <v>26800</v>
      </c>
      <c r="Y483" s="25" t="s">
        <v>1988</v>
      </c>
      <c r="Z483" s="19" t="s">
        <v>51</v>
      </c>
      <c r="AA483" s="19" t="s">
        <v>93</v>
      </c>
      <c r="AB483" s="18" t="s">
        <v>1445</v>
      </c>
      <c r="AC483" s="17" t="str">
        <f t="shared" si="16"/>
        <v>Y</v>
      </c>
      <c r="AD483" s="17" t="s">
        <v>82</v>
      </c>
      <c r="AE483" s="26">
        <v>0.70833333333333337</v>
      </c>
      <c r="AF483" s="27"/>
      <c r="AG483" s="27"/>
      <c r="AI483" s="28" t="s">
        <v>57</v>
      </c>
    </row>
    <row r="484" spans="1:35" ht="34.950000000000003" customHeight="1" x14ac:dyDescent="0.4">
      <c r="A484" s="16" t="s">
        <v>36</v>
      </c>
      <c r="B484" s="16" t="s">
        <v>37</v>
      </c>
      <c r="C484" s="17">
        <v>46013</v>
      </c>
      <c r="D484" s="21" t="s">
        <v>1989</v>
      </c>
      <c r="E484" s="16" t="s">
        <v>1990</v>
      </c>
      <c r="F484" s="16">
        <v>28897</v>
      </c>
      <c r="G484" s="18" t="s">
        <v>1991</v>
      </c>
      <c r="H484" s="16" t="s">
        <v>59</v>
      </c>
      <c r="I484" s="19" t="s">
        <v>1992</v>
      </c>
      <c r="J484" s="16" t="str">
        <f>IFERROR(VLOOKUP(I484,[1]Sheet1!$A$1:$B$200,2,0),"_")</f>
        <v>JC</v>
      </c>
      <c r="K484" s="19" t="s">
        <v>272</v>
      </c>
      <c r="L484" s="16" t="str">
        <f>IFERROR(VLOOKUP(K484,[1]Sheet1!$A$1:$B$200,2,0),"-")</f>
        <v>Z9</v>
      </c>
      <c r="M484" s="19" t="s">
        <v>64</v>
      </c>
      <c r="N484" s="16" t="str">
        <f>IFERROR(VLOOKUP(M484,[1]Sheet1!$G$2:$H$200,2,0),"-")</f>
        <v>XXXX</v>
      </c>
      <c r="O484" s="18" t="s">
        <v>55</v>
      </c>
      <c r="P484" s="17" t="s">
        <v>55</v>
      </c>
      <c r="Q484" s="20" t="s">
        <v>1993</v>
      </c>
      <c r="R484" s="20"/>
      <c r="S484" s="21" t="str" cm="1">
        <f t="array" ref="S484">IF(
OR(AD484="",ISERROR(AD484)),
"-",
_xlfn.UNIQUE(_xlfn._xlws.FILTER([1]Sheet1!$D$2:$D$200,ISNUMBER(SEARCH(AD484,[1]Sheet1!$D$2:$D$200))))
)</f>
        <v>두레종합물류</v>
      </c>
      <c r="T484" s="22" t="s">
        <v>1994</v>
      </c>
      <c r="U484" s="16" t="str" cm="1">
        <f t="array" ref="U484">IF(
OR(AD484="",ISERROR(AD484)),
"-",
_xlfn.UNIQUE(_xlfn._xlws.FILTER([1]Sheet1!$D$2:$D$200,ISNUMBER(SEARCH(AD484,[1]Sheet1!$D$2:$D$200))))
)</f>
        <v>두레종합물류</v>
      </c>
      <c r="V484" s="23">
        <v>850000</v>
      </c>
      <c r="W484" s="23">
        <v>780000</v>
      </c>
      <c r="X484" s="23">
        <f t="shared" si="17"/>
        <v>70000</v>
      </c>
      <c r="Z484" s="19" t="s">
        <v>51</v>
      </c>
      <c r="AA484" s="19" t="s">
        <v>115</v>
      </c>
      <c r="AB484" s="18" t="s">
        <v>1995</v>
      </c>
      <c r="AC484" s="17" t="str">
        <f t="shared" si="16"/>
        <v>Y</v>
      </c>
      <c r="AD484" s="17" t="s">
        <v>1167</v>
      </c>
      <c r="AE484" s="26">
        <v>0.70833333333333337</v>
      </c>
      <c r="AF484" s="27" t="s">
        <v>1996</v>
      </c>
      <c r="AG484" s="27" t="s">
        <v>1997</v>
      </c>
      <c r="AI484" s="28" t="s">
        <v>57</v>
      </c>
    </row>
    <row r="485" spans="1:35" ht="34.950000000000003" customHeight="1" x14ac:dyDescent="0.4">
      <c r="A485" s="16" t="s">
        <v>36</v>
      </c>
      <c r="B485" s="16" t="s">
        <v>37</v>
      </c>
      <c r="C485" s="17">
        <v>46014</v>
      </c>
      <c r="D485" s="16" t="s">
        <v>229</v>
      </c>
      <c r="E485" s="16" t="s">
        <v>229</v>
      </c>
      <c r="F485" s="16">
        <v>3641</v>
      </c>
      <c r="G485" s="18" t="s">
        <v>1461</v>
      </c>
      <c r="H485" s="16" t="s">
        <v>75</v>
      </c>
      <c r="I485" s="19" t="s">
        <v>99</v>
      </c>
      <c r="J485" s="16" t="str">
        <f>IFERROR(VLOOKUP(I485,[1]Sheet1!$A$1:$B$200,2,0),"_")</f>
        <v>IX</v>
      </c>
      <c r="K485" s="19" t="s">
        <v>86</v>
      </c>
      <c r="L485" s="16" t="str">
        <f>IFERROR(VLOOKUP(K485,[1]Sheet1!$A$1:$B$200,2,0),"-")</f>
        <v>HP</v>
      </c>
      <c r="M485" s="19" t="s">
        <v>347</v>
      </c>
      <c r="N485" s="16" t="str">
        <f>IFERROR(VLOOKUP(M485,[1]Sheet1!$G$2:$H$200,2,0),"-")</f>
        <v>FESU</v>
      </c>
      <c r="O485" s="18" t="s">
        <v>1998</v>
      </c>
      <c r="P485" s="17">
        <v>46018</v>
      </c>
      <c r="Q485" s="20" t="s">
        <v>1999</v>
      </c>
      <c r="R485" s="20" t="s">
        <v>2000</v>
      </c>
      <c r="S485" s="21" t="str" cm="1">
        <f t="array" ref="S485">IF(
OR(AD485="",ISERROR(AD485)),
"-",
_xlfn.UNIQUE(_xlfn._xlws.FILTER([1]Sheet1!$D$2:$D$200,ISNUMBER(SEARCH(AD485,[1]Sheet1!$D$2:$D$200))))
)</f>
        <v>(주)비에스물류</v>
      </c>
      <c r="T485" s="22" t="s">
        <v>2001</v>
      </c>
      <c r="U485" s="16" t="str" cm="1">
        <f t="array" ref="U485">IF(
OR(AD485="",ISERROR(AD485)),
"-",
_xlfn.UNIQUE(_xlfn._xlws.FILTER([1]Sheet1!$D$2:$D$200,ISNUMBER(SEARCH(AD485,[1]Sheet1!$D$2:$D$200))))
)</f>
        <v>(주)비에스물류</v>
      </c>
      <c r="V485" s="23">
        <v>760000</v>
      </c>
      <c r="W485" s="23">
        <v>681700</v>
      </c>
      <c r="X485" s="23">
        <f t="shared" si="17"/>
        <v>78300</v>
      </c>
      <c r="Y485" s="25" t="s">
        <v>2002</v>
      </c>
      <c r="Z485" s="19" t="s">
        <v>51</v>
      </c>
      <c r="AA485" s="19" t="s">
        <v>81</v>
      </c>
      <c r="AB485" s="18" t="s">
        <v>2003</v>
      </c>
      <c r="AC485" s="17" t="str">
        <f t="shared" si="16"/>
        <v>Y</v>
      </c>
      <c r="AD485" s="17" t="s">
        <v>288</v>
      </c>
      <c r="AE485" s="26">
        <v>0.4375</v>
      </c>
      <c r="AF485" s="27"/>
      <c r="AG485" s="27"/>
      <c r="AI485" s="28" t="s">
        <v>57</v>
      </c>
    </row>
    <row r="486" spans="1:35" ht="34.950000000000003" customHeight="1" x14ac:dyDescent="0.4">
      <c r="A486" s="16" t="s">
        <v>36</v>
      </c>
      <c r="B486" s="16" t="s">
        <v>37</v>
      </c>
      <c r="C486" s="17">
        <v>46014</v>
      </c>
      <c r="D486" s="16" t="s">
        <v>229</v>
      </c>
      <c r="E486" s="16" t="s">
        <v>229</v>
      </c>
      <c r="F486" s="16">
        <v>3641</v>
      </c>
      <c r="G486" s="18" t="s">
        <v>1461</v>
      </c>
      <c r="H486" s="16" t="s">
        <v>75</v>
      </c>
      <c r="I486" s="19" t="s">
        <v>99</v>
      </c>
      <c r="J486" s="16" t="str">
        <f>IFERROR(VLOOKUP(I486,[1]Sheet1!$A$1:$B$200,2,0),"_")</f>
        <v>IX</v>
      </c>
      <c r="K486" s="19" t="s">
        <v>86</v>
      </c>
      <c r="L486" s="16" t="str">
        <f>IFERROR(VLOOKUP(K486,[1]Sheet1!$A$1:$B$200,2,0),"-")</f>
        <v>HP</v>
      </c>
      <c r="M486" s="19" t="s">
        <v>347</v>
      </c>
      <c r="N486" s="16" t="str">
        <f>IFERROR(VLOOKUP(M486,[1]Sheet1!$G$2:$H$200,2,0),"-")</f>
        <v>FESU</v>
      </c>
      <c r="O486" s="18" t="s">
        <v>1998</v>
      </c>
      <c r="P486" s="17">
        <v>46018</v>
      </c>
      <c r="Q486" s="20" t="s">
        <v>1999</v>
      </c>
      <c r="R486" s="20" t="s">
        <v>2000</v>
      </c>
      <c r="S486" s="21" t="str" cm="1">
        <f t="array" ref="S486">IF(
OR(AD486="",ISERROR(AD486)),
"-",
_xlfn.UNIQUE(_xlfn._xlws.FILTER([1]Sheet1!$D$2:$D$200,ISNUMBER(SEARCH(AD486,[1]Sheet1!$D$2:$D$200))))
)</f>
        <v>(주)비에스물류</v>
      </c>
      <c r="T486" s="22" t="s">
        <v>2001</v>
      </c>
      <c r="U486" s="16" t="str" cm="1">
        <f t="array" ref="U486">IF(
OR(AD486="",ISERROR(AD486)),
"-",
_xlfn.UNIQUE(_xlfn._xlws.FILTER([1]Sheet1!$D$2:$D$200,ISNUMBER(SEARCH(AD486,[1]Sheet1!$D$2:$D$200))))
)</f>
        <v>(주)비에스물류</v>
      </c>
      <c r="V486" s="23">
        <v>150000</v>
      </c>
      <c r="W486" s="23">
        <v>146000</v>
      </c>
      <c r="X486" s="23">
        <f t="shared" si="17"/>
        <v>4000</v>
      </c>
      <c r="Y486" s="25" t="s">
        <v>2004</v>
      </c>
      <c r="Z486" s="19" t="s">
        <v>51</v>
      </c>
      <c r="AA486" s="19" t="s">
        <v>81</v>
      </c>
      <c r="AB486" s="18" t="s">
        <v>2003</v>
      </c>
      <c r="AC486" s="17" t="str">
        <f t="shared" si="16"/>
        <v>Y</v>
      </c>
      <c r="AD486" s="17" t="s">
        <v>288</v>
      </c>
      <c r="AE486" s="26">
        <v>0.4375</v>
      </c>
      <c r="AF486" s="27"/>
      <c r="AG486" s="27"/>
      <c r="AI486" s="28" t="s">
        <v>57</v>
      </c>
    </row>
    <row r="487" spans="1:35" ht="34.950000000000003" customHeight="1" x14ac:dyDescent="0.4">
      <c r="A487" s="16" t="s">
        <v>36</v>
      </c>
      <c r="B487" s="16" t="s">
        <v>37</v>
      </c>
      <c r="C487" s="17">
        <v>46014</v>
      </c>
      <c r="D487" s="16" t="s">
        <v>229</v>
      </c>
      <c r="E487" s="16" t="s">
        <v>229</v>
      </c>
      <c r="F487" s="16">
        <v>3641</v>
      </c>
      <c r="G487" s="18" t="s">
        <v>1461</v>
      </c>
      <c r="H487" s="16" t="s">
        <v>75</v>
      </c>
      <c r="I487" s="19" t="s">
        <v>99</v>
      </c>
      <c r="J487" s="16" t="str">
        <f>IFERROR(VLOOKUP(I487,[1]Sheet1!$A$1:$B$200,2,0),"_")</f>
        <v>IX</v>
      </c>
      <c r="K487" s="19" t="s">
        <v>86</v>
      </c>
      <c r="L487" s="16" t="str">
        <f>IFERROR(VLOOKUP(K487,[1]Sheet1!$A$1:$B$200,2,0),"-")</f>
        <v>HP</v>
      </c>
      <c r="M487" s="19" t="s">
        <v>347</v>
      </c>
      <c r="N487" s="16" t="str">
        <f>IFERROR(VLOOKUP(M487,[1]Sheet1!$G$2:$H$200,2,0),"-")</f>
        <v>FESU</v>
      </c>
      <c r="O487" s="18" t="s">
        <v>1998</v>
      </c>
      <c r="P487" s="17">
        <v>46018</v>
      </c>
      <c r="Q487" s="20" t="s">
        <v>1999</v>
      </c>
      <c r="R487" s="20" t="s">
        <v>2000</v>
      </c>
      <c r="S487" s="21" t="str" cm="1">
        <f t="array" ref="S487">IF(
OR(AD487="",ISERROR(AD487)),
"-",
_xlfn.UNIQUE(_xlfn._xlws.FILTER([1]Sheet1!$D$2:$D$200,ISNUMBER(SEARCH(AD487,[1]Sheet1!$D$2:$D$200))))
)</f>
        <v>(주)비에스물류</v>
      </c>
      <c r="T487" s="22" t="s">
        <v>2001</v>
      </c>
      <c r="U487" s="16" t="str" cm="1">
        <f t="array" ref="U487">IF(
OR(AD487="",ISERROR(AD487)),
"-",
_xlfn.UNIQUE(_xlfn._xlws.FILTER([1]Sheet1!$D$2:$D$200,ISNUMBER(SEARCH(AD487,[1]Sheet1!$D$2:$D$200))))
)</f>
        <v>(주)비에스물류</v>
      </c>
      <c r="V487" s="23">
        <v>100000</v>
      </c>
      <c r="W487" s="23">
        <v>43000</v>
      </c>
      <c r="X487" s="23">
        <f t="shared" si="17"/>
        <v>57000</v>
      </c>
      <c r="Y487" s="25" t="s">
        <v>2005</v>
      </c>
      <c r="Z487" s="19" t="s">
        <v>51</v>
      </c>
      <c r="AA487" s="19" t="s">
        <v>81</v>
      </c>
      <c r="AB487" s="18" t="s">
        <v>2003</v>
      </c>
      <c r="AC487" s="17" t="str">
        <f t="shared" si="16"/>
        <v>Y</v>
      </c>
      <c r="AD487" s="17" t="s">
        <v>288</v>
      </c>
      <c r="AE487" s="26">
        <v>0.4375</v>
      </c>
      <c r="AF487" s="27"/>
      <c r="AG487" s="27"/>
      <c r="AI487" s="28" t="s">
        <v>57</v>
      </c>
    </row>
    <row r="488" spans="1:35" ht="34.950000000000003" customHeight="1" x14ac:dyDescent="0.4">
      <c r="A488" s="16" t="s">
        <v>71</v>
      </c>
      <c r="B488" s="16" t="s">
        <v>99</v>
      </c>
      <c r="C488" s="17">
        <v>46014</v>
      </c>
      <c r="D488" s="16" t="s">
        <v>126</v>
      </c>
      <c r="E488" s="16" t="s">
        <v>199</v>
      </c>
      <c r="F488" s="16">
        <v>22141</v>
      </c>
      <c r="G488" s="18" t="s">
        <v>1921</v>
      </c>
      <c r="H488" s="16" t="s">
        <v>41</v>
      </c>
      <c r="I488" s="19" t="s">
        <v>76</v>
      </c>
      <c r="J488" s="16" t="str">
        <f>IFERROR(VLOOKUP(I488,[1]Sheet1!$A$1:$B$200,2,0),"_")</f>
        <v>NJ</v>
      </c>
      <c r="K488" s="19" t="s">
        <v>76</v>
      </c>
      <c r="L488" s="16" t="str">
        <f>IFERROR(VLOOKUP(K488,[1]Sheet1!$A$1:$B$200,2,0),"-")</f>
        <v>NJ</v>
      </c>
      <c r="M488" s="19" t="s">
        <v>973</v>
      </c>
      <c r="N488" s="16" t="str">
        <f>IFERROR(VLOOKUP(M488,[1]Sheet1!$G$2:$H$200,2,0),"-")</f>
        <v>BEN</v>
      </c>
      <c r="O488" s="18" t="s">
        <v>55</v>
      </c>
      <c r="P488" s="17" t="s">
        <v>55</v>
      </c>
      <c r="Q488" s="20" t="s">
        <v>2006</v>
      </c>
      <c r="R488" s="20"/>
      <c r="S488" s="21" t="str" cm="1">
        <f t="array" ref="S488">IF(
OR(AD488="",ISERROR(AD488)),
"-",
_xlfn.UNIQUE(_xlfn._xlws.FILTER([1]Sheet1!$D$2:$D$200,ISNUMBER(SEARCH(AD488,[1]Sheet1!$D$2:$D$200))))
)</f>
        <v>로지아이솔루션</v>
      </c>
      <c r="T488" s="22" t="s">
        <v>2007</v>
      </c>
      <c r="U488" s="16" t="str" cm="1">
        <f t="array" ref="U488">IF(
OR(AD488="",ISERROR(AD488)),
"-",
_xlfn.UNIQUE(_xlfn._xlws.FILTER([1]Sheet1!$D$2:$D$200,ISNUMBER(SEARCH(AD488,[1]Sheet1!$D$2:$D$200))))
)</f>
        <v>로지아이솔루션</v>
      </c>
      <c r="V488" s="23">
        <v>270000</v>
      </c>
      <c r="W488" s="23">
        <v>259850</v>
      </c>
      <c r="X488" s="23">
        <f t="shared" si="17"/>
        <v>10150</v>
      </c>
      <c r="Y488" s="25" t="s">
        <v>2008</v>
      </c>
      <c r="Z488" s="19" t="s">
        <v>51</v>
      </c>
      <c r="AA488" s="19" t="s">
        <v>81</v>
      </c>
      <c r="AB488" s="18" t="s">
        <v>2009</v>
      </c>
      <c r="AC488" s="17" t="str">
        <f t="shared" si="16"/>
        <v>Y</v>
      </c>
      <c r="AD488" s="17" t="s">
        <v>206</v>
      </c>
      <c r="AE488" s="26">
        <v>0.35416666666666669</v>
      </c>
      <c r="AF488" s="27"/>
      <c r="AG488" s="27"/>
      <c r="AI488" s="28" t="s">
        <v>57</v>
      </c>
    </row>
    <row r="489" spans="1:35" ht="34.950000000000003" customHeight="1" x14ac:dyDescent="0.4">
      <c r="A489" s="16" t="s">
        <v>71</v>
      </c>
      <c r="B489" s="16" t="s">
        <v>37</v>
      </c>
      <c r="C489" s="17">
        <v>46014</v>
      </c>
      <c r="D489" s="16" t="s">
        <v>628</v>
      </c>
      <c r="E489" s="16" t="s">
        <v>1968</v>
      </c>
      <c r="F489" s="16">
        <v>12295</v>
      </c>
      <c r="G489" s="18" t="s">
        <v>1969</v>
      </c>
      <c r="H489" s="16" t="s">
        <v>41</v>
      </c>
      <c r="I489" s="19" t="s">
        <v>272</v>
      </c>
      <c r="J489" s="16" t="str">
        <f>IFERROR(VLOOKUP(I489,[1]Sheet1!$A$1:$B$200,2,0),"_")</f>
        <v>Z9</v>
      </c>
      <c r="K489" s="19" t="s">
        <v>272</v>
      </c>
      <c r="L489" s="16" t="str">
        <f>IFERROR(VLOOKUP(K489,[1]Sheet1!$A$1:$B$200,2,0),"-")</f>
        <v>Z9</v>
      </c>
      <c r="M489" s="19" t="s">
        <v>578</v>
      </c>
      <c r="N489" s="16" t="str">
        <f>IFERROR(VLOOKUP(M489,[1]Sheet1!$G$2:$H$200,2,0),"-")</f>
        <v>PCSL</v>
      </c>
      <c r="O489" s="18" t="s">
        <v>55</v>
      </c>
      <c r="P489" s="17" t="s">
        <v>55</v>
      </c>
      <c r="Q489" s="20" t="s">
        <v>2010</v>
      </c>
      <c r="R489" s="20"/>
      <c r="S489" s="21" t="str" cm="1">
        <f t="array" ref="S489">IF(
OR(AD489="",ISERROR(AD489)),
"-",
_xlfn.UNIQUE(_xlfn._xlws.FILTER([1]Sheet1!$D$2:$D$200,ISNUMBER(SEARCH(AD489,[1]Sheet1!$D$2:$D$200))))
)</f>
        <v>에스지로지스틱</v>
      </c>
      <c r="T489" s="22" t="s">
        <v>2011</v>
      </c>
      <c r="U489" s="16" t="str" cm="1">
        <f t="array" ref="U489">IF(
OR(AD489="",ISERROR(AD489)),
"-",
_xlfn.UNIQUE(_xlfn._xlws.FILTER([1]Sheet1!$D$2:$D$200,ISNUMBER(SEARCH(AD489,[1]Sheet1!$D$2:$D$200))))
)</f>
        <v>에스지로지스틱</v>
      </c>
      <c r="V489" s="23">
        <v>354000</v>
      </c>
      <c r="W489" s="23">
        <v>301000</v>
      </c>
      <c r="X489" s="23">
        <f t="shared" si="17"/>
        <v>53000</v>
      </c>
      <c r="Y489" s="25" t="s">
        <v>1972</v>
      </c>
      <c r="Z489" s="19" t="s">
        <v>51</v>
      </c>
      <c r="AA489" s="19" t="s">
        <v>472</v>
      </c>
      <c r="AC489" s="17" t="str">
        <f t="shared" si="16"/>
        <v>Y</v>
      </c>
      <c r="AD489" s="17" t="s">
        <v>184</v>
      </c>
      <c r="AE489" s="26">
        <v>0.35416666666666669</v>
      </c>
      <c r="AF489" s="27"/>
      <c r="AG489" s="27"/>
      <c r="AI489" s="28" t="s">
        <v>57</v>
      </c>
    </row>
    <row r="490" spans="1:35" ht="34.950000000000003" customHeight="1" x14ac:dyDescent="0.4">
      <c r="A490" s="16" t="s">
        <v>36</v>
      </c>
      <c r="B490" s="16" t="s">
        <v>37</v>
      </c>
      <c r="C490" s="17">
        <v>46014</v>
      </c>
      <c r="D490" s="16" t="s">
        <v>229</v>
      </c>
      <c r="E490" s="16" t="s">
        <v>229</v>
      </c>
      <c r="F490" s="16">
        <v>3641</v>
      </c>
      <c r="G490" s="18" t="s">
        <v>1461</v>
      </c>
      <c r="H490" s="16" t="s">
        <v>41</v>
      </c>
      <c r="I490" s="19" t="s">
        <v>137</v>
      </c>
      <c r="J490" s="16" t="str">
        <f>IFERROR(VLOOKUP(I490,[1]Sheet1!$A$1:$B$200,2,0),"_")</f>
        <v>BE</v>
      </c>
      <c r="K490" s="19" t="s">
        <v>751</v>
      </c>
      <c r="L490" s="16" t="str">
        <f>IFERROR(VLOOKUP(K490,[1]Sheet1!$A$1:$B$200,2,0),"-")</f>
        <v>PN</v>
      </c>
      <c r="M490" s="19" t="s">
        <v>1479</v>
      </c>
      <c r="N490" s="16" t="str">
        <f>IFERROR(VLOOKUP(M490,[1]Sheet1!$G$2:$H$200,2,0),"-")</f>
        <v>MAEU</v>
      </c>
      <c r="O490" s="18" t="s">
        <v>2012</v>
      </c>
      <c r="P490" s="17">
        <v>46018</v>
      </c>
      <c r="Q490" s="20" t="s">
        <v>2013</v>
      </c>
      <c r="R490" s="20" t="s">
        <v>2014</v>
      </c>
      <c r="S490" s="21" t="str" cm="1">
        <f t="array" ref="S490">IF(
OR(AD490="",ISERROR(AD490)),
"-",
_xlfn.UNIQUE(_xlfn._xlws.FILTER([1]Sheet1!$D$2:$D$200,ISNUMBER(SEARCH(AD490,[1]Sheet1!$D$2:$D$200))))
)</f>
        <v>양양운수(주)</v>
      </c>
      <c r="T490" s="22" t="s">
        <v>1096</v>
      </c>
      <c r="U490" s="16" t="str" cm="1">
        <f t="array" ref="U490">IF(
OR(AD490="",ISERROR(AD490)),
"-",
_xlfn.UNIQUE(_xlfn._xlws.FILTER([1]Sheet1!$D$2:$D$200,ISNUMBER(SEARCH(AD490,[1]Sheet1!$D$2:$D$200))))
)</f>
        <v>양양운수(주)</v>
      </c>
      <c r="V490" s="23">
        <v>860000</v>
      </c>
      <c r="W490" s="23">
        <v>770800</v>
      </c>
      <c r="X490" s="23">
        <f t="shared" si="17"/>
        <v>89200</v>
      </c>
      <c r="Y490" s="25" t="s">
        <v>2015</v>
      </c>
      <c r="Z490" s="19" t="s">
        <v>51</v>
      </c>
      <c r="AA490" s="19" t="s">
        <v>81</v>
      </c>
      <c r="AB490" s="18" t="s">
        <v>2016</v>
      </c>
      <c r="AC490" s="17" t="str">
        <f t="shared" si="16"/>
        <v>Y</v>
      </c>
      <c r="AD490" s="17" t="s">
        <v>619</v>
      </c>
      <c r="AE490" s="26">
        <v>0.375</v>
      </c>
      <c r="AF490" s="27"/>
      <c r="AG490" s="27"/>
      <c r="AI490" s="28" t="s">
        <v>57</v>
      </c>
    </row>
    <row r="491" spans="1:35" ht="34.950000000000003" customHeight="1" x14ac:dyDescent="0.4">
      <c r="A491" s="16" t="s">
        <v>71</v>
      </c>
      <c r="B491" s="16" t="s">
        <v>37</v>
      </c>
      <c r="C491" s="17">
        <v>46014</v>
      </c>
      <c r="D491" s="16" t="s">
        <v>216</v>
      </c>
      <c r="E491" s="16" t="s">
        <v>2017</v>
      </c>
      <c r="F491" s="16">
        <v>28576</v>
      </c>
      <c r="G491" s="18" t="s">
        <v>2018</v>
      </c>
      <c r="H491" s="16" t="s">
        <v>41</v>
      </c>
      <c r="I491" s="19" t="s">
        <v>1413</v>
      </c>
      <c r="J491" s="16" t="str">
        <f>IFERROR(VLOOKUP(I491,[1]Sheet1!$A$1:$B$200,2,0),"_")</f>
        <v>IN</v>
      </c>
      <c r="K491" s="19" t="s">
        <v>1413</v>
      </c>
      <c r="L491" s="16" t="str">
        <f>IFERROR(VLOOKUP(K491,[1]Sheet1!$A$1:$B$200,2,0),"-")</f>
        <v>IN</v>
      </c>
      <c r="M491" s="19" t="s">
        <v>221</v>
      </c>
      <c r="N491" s="16" t="str">
        <f>IFERROR(VLOOKUP(M491,[1]Sheet1!$G$2:$H$200,2,0),"-")</f>
        <v>DOOW</v>
      </c>
      <c r="O491" s="18" t="s">
        <v>55</v>
      </c>
      <c r="P491" s="17" t="s">
        <v>55</v>
      </c>
      <c r="Q491" s="20" t="s">
        <v>2019</v>
      </c>
      <c r="R491" s="20"/>
      <c r="S491" s="21" t="str" cm="1">
        <f t="array" ref="S491">IF(
OR(AD491="",ISERROR(AD491)),
"-",
_xlfn.UNIQUE(_xlfn._xlws.FILTER([1]Sheet1!$D$2:$D$200,ISNUMBER(SEARCH(AD491,[1]Sheet1!$D$2:$D$200))))
)</f>
        <v>(주)부강에너지</v>
      </c>
      <c r="T491" s="22" t="s">
        <v>426</v>
      </c>
      <c r="U491" s="16" t="str" cm="1">
        <f t="array" ref="U491">IF(
OR(AD491="",ISERROR(AD491)),
"-",
_xlfn.UNIQUE(_xlfn._xlws.FILTER([1]Sheet1!$D$2:$D$200,ISNUMBER(SEARCH(AD491,[1]Sheet1!$D$2:$D$200))))
)</f>
        <v>(주)부강에너지</v>
      </c>
      <c r="V491" s="23">
        <v>185000</v>
      </c>
      <c r="W491" s="23">
        <v>150000</v>
      </c>
      <c r="X491" s="23">
        <f t="shared" si="17"/>
        <v>35000</v>
      </c>
      <c r="Y491" s="25" t="s">
        <v>2020</v>
      </c>
      <c r="Z491" s="19" t="s">
        <v>51</v>
      </c>
      <c r="AA491" s="19" t="s">
        <v>93</v>
      </c>
      <c r="AC491" s="17" t="str">
        <f t="shared" si="16"/>
        <v>Y</v>
      </c>
      <c r="AD491" s="17" t="s">
        <v>197</v>
      </c>
      <c r="AE491" s="26">
        <v>0.375</v>
      </c>
      <c r="AF491" s="27"/>
      <c r="AG491" s="27"/>
      <c r="AI491" s="28" t="s">
        <v>57</v>
      </c>
    </row>
    <row r="492" spans="1:35" ht="34.950000000000003" customHeight="1" x14ac:dyDescent="0.4">
      <c r="A492" s="16" t="s">
        <v>71</v>
      </c>
      <c r="B492" s="16" t="s">
        <v>99</v>
      </c>
      <c r="C492" s="17">
        <v>46014</v>
      </c>
      <c r="D492" s="16" t="s">
        <v>2021</v>
      </c>
      <c r="E492" s="16" t="s">
        <v>1173</v>
      </c>
      <c r="F492" s="16">
        <v>23361</v>
      </c>
      <c r="G492" s="18" t="s">
        <v>1174</v>
      </c>
      <c r="H492" s="16" t="s">
        <v>41</v>
      </c>
      <c r="I492" s="19" t="s">
        <v>219</v>
      </c>
      <c r="J492" s="16" t="str">
        <f>IFERROR(VLOOKUP(I492,[1]Sheet1!$A$1:$B$200,2,0),"_")</f>
        <v>NN</v>
      </c>
      <c r="K492" s="19" t="s">
        <v>219</v>
      </c>
      <c r="L492" s="16" t="str">
        <f>IFERROR(VLOOKUP(K492,[1]Sheet1!$A$1:$B$200,2,0),"-")</f>
        <v>NN</v>
      </c>
      <c r="M492" s="19" t="s">
        <v>311</v>
      </c>
      <c r="N492" s="16" t="str">
        <f>IFERROR(VLOOKUP(M492,[1]Sheet1!$G$2:$H$200,2,0),"-")</f>
        <v>COSU</v>
      </c>
      <c r="O492" s="18" t="s">
        <v>55</v>
      </c>
      <c r="P492" s="17" t="s">
        <v>55</v>
      </c>
      <c r="Q492" s="20" t="s">
        <v>2022</v>
      </c>
      <c r="R492" s="20"/>
      <c r="S492" s="21" t="str" cm="1">
        <f t="array" ref="S492">IF(
OR(AD492="",ISERROR(AD492)),
"-",
_xlfn.UNIQUE(_xlfn._xlws.FILTER([1]Sheet1!$D$2:$D$200,ISNUMBER(SEARCH(AD492,[1]Sheet1!$D$2:$D$200))))
)</f>
        <v>태성종합물류</v>
      </c>
      <c r="T492" s="22" t="s">
        <v>1655</v>
      </c>
      <c r="U492" s="16" t="str" cm="1">
        <f t="array" ref="U492">IF(
OR(AD492="",ISERROR(AD492)),
"-",
_xlfn.UNIQUE(_xlfn._xlws.FILTER([1]Sheet1!$D$2:$D$200,ISNUMBER(SEARCH(AD492,[1]Sheet1!$D$2:$D$200))))
)</f>
        <v>태성종합물류</v>
      </c>
      <c r="V492" s="23">
        <v>302500</v>
      </c>
      <c r="W492" s="23">
        <v>278100</v>
      </c>
      <c r="X492" s="23">
        <f t="shared" si="17"/>
        <v>24400</v>
      </c>
      <c r="Y492" s="25" t="s">
        <v>2023</v>
      </c>
      <c r="Z492" s="19" t="s">
        <v>51</v>
      </c>
      <c r="AA492" s="19" t="s">
        <v>81</v>
      </c>
      <c r="AC492" s="17" t="str">
        <f t="shared" si="16"/>
        <v>Y</v>
      </c>
      <c r="AD492" s="17" t="s">
        <v>82</v>
      </c>
      <c r="AE492" s="26">
        <v>0.41666666666666669</v>
      </c>
      <c r="AF492" s="27"/>
      <c r="AG492" s="27"/>
      <c r="AI492" s="28" t="s">
        <v>57</v>
      </c>
    </row>
    <row r="493" spans="1:35" ht="34.950000000000003" customHeight="1" x14ac:dyDescent="0.4">
      <c r="A493" s="16" t="s">
        <v>71</v>
      </c>
      <c r="B493" s="16" t="s">
        <v>37</v>
      </c>
      <c r="C493" s="17">
        <v>46014</v>
      </c>
      <c r="D493" s="16" t="s">
        <v>452</v>
      </c>
      <c r="E493" s="16" t="s">
        <v>453</v>
      </c>
      <c r="F493" s="16">
        <v>28143</v>
      </c>
      <c r="G493" s="18" t="s">
        <v>1865</v>
      </c>
      <c r="H493" s="16" t="s">
        <v>41</v>
      </c>
      <c r="I493" s="19" t="s">
        <v>328</v>
      </c>
      <c r="J493" s="16" t="str">
        <f>IFERROR(VLOOKUP(I493,[1]Sheet1!$A$1:$B$200,2,0),"_")</f>
        <v>BT</v>
      </c>
      <c r="K493" s="19" t="s">
        <v>328</v>
      </c>
      <c r="L493" s="16" t="str">
        <f>IFERROR(VLOOKUP(K493,[1]Sheet1!$A$1:$B$200,2,0),"-")</f>
        <v>BT</v>
      </c>
      <c r="M493" s="19" t="s">
        <v>382</v>
      </c>
      <c r="N493" s="16" t="str">
        <f>IFERROR(VLOOKUP(M493,[1]Sheet1!$G$2:$H$200,2,0),"-")</f>
        <v>EASL</v>
      </c>
      <c r="O493" s="18" t="s">
        <v>55</v>
      </c>
      <c r="P493" s="17" t="s">
        <v>55</v>
      </c>
      <c r="Q493" s="20" t="s">
        <v>2024</v>
      </c>
      <c r="R493" s="20"/>
      <c r="S493" s="21" t="str" cm="1">
        <f t="array" ref="S493">IF(
OR(AD493="",ISERROR(AD493)),
"-",
_xlfn.UNIQUE(_xlfn._xlws.FILTER([1]Sheet1!$D$2:$D$200,ISNUMBER(SEARCH(AD493,[1]Sheet1!$D$2:$D$200))))
)</f>
        <v>에스지로지스틱</v>
      </c>
      <c r="T493" s="22" t="s">
        <v>937</v>
      </c>
      <c r="U493" s="16" t="str" cm="1">
        <f t="array" ref="U493">IF(
OR(AD493="",ISERROR(AD493)),
"-",
_xlfn.UNIQUE(_xlfn._xlws.FILTER([1]Sheet1!$D$2:$D$200,ISNUMBER(SEARCH(AD493,[1]Sheet1!$D$2:$D$200))))
)</f>
        <v>에스지로지스틱</v>
      </c>
      <c r="V493" s="23">
        <v>225000</v>
      </c>
      <c r="W493" s="23">
        <v>205000</v>
      </c>
      <c r="X493" s="23">
        <f t="shared" si="17"/>
        <v>20000</v>
      </c>
      <c r="Y493" s="25" t="s">
        <v>1868</v>
      </c>
      <c r="Z493" s="19" t="s">
        <v>51</v>
      </c>
      <c r="AA493" s="19" t="s">
        <v>115</v>
      </c>
      <c r="AC493" s="17" t="str">
        <f t="shared" si="16"/>
        <v>Y</v>
      </c>
      <c r="AD493" s="17" t="s">
        <v>184</v>
      </c>
      <c r="AE493" s="26">
        <v>0.375</v>
      </c>
      <c r="AF493" s="27"/>
      <c r="AG493" s="27"/>
      <c r="AI493" s="28" t="s">
        <v>57</v>
      </c>
    </row>
    <row r="494" spans="1:35" ht="34.950000000000003" customHeight="1" x14ac:dyDescent="0.4">
      <c r="A494" s="16" t="s">
        <v>71</v>
      </c>
      <c r="B494" s="16" t="s">
        <v>99</v>
      </c>
      <c r="C494" s="17">
        <v>46014</v>
      </c>
      <c r="D494" s="16" t="s">
        <v>308</v>
      </c>
      <c r="E494" s="16" t="s">
        <v>149</v>
      </c>
      <c r="F494" s="16">
        <v>28093</v>
      </c>
      <c r="G494" s="18" t="s">
        <v>1554</v>
      </c>
      <c r="H494" s="16" t="s">
        <v>687</v>
      </c>
      <c r="I494" s="19" t="s">
        <v>76</v>
      </c>
      <c r="J494" s="16" t="str">
        <f>IFERROR(VLOOKUP(I494,[1]Sheet1!$A$1:$B$200,2,0),"_")</f>
        <v>NJ</v>
      </c>
      <c r="K494" s="19" t="s">
        <v>76</v>
      </c>
      <c r="L494" s="16" t="str">
        <f>IFERROR(VLOOKUP(K494,[1]Sheet1!$A$1:$B$200,2,0),"-")</f>
        <v>NJ</v>
      </c>
      <c r="M494" s="19" t="s">
        <v>1986</v>
      </c>
      <c r="N494" s="16" t="str">
        <f>IFERROR(VLOOKUP(M494,[1]Sheet1!$G$2:$H$200,2,0),"-")</f>
        <v>JCSC</v>
      </c>
      <c r="O494" s="18" t="s">
        <v>55</v>
      </c>
      <c r="P494" s="17" t="s">
        <v>55</v>
      </c>
      <c r="Q494" s="20" t="s">
        <v>2025</v>
      </c>
      <c r="R494" s="20"/>
      <c r="S494" s="21" t="str" cm="1">
        <f t="array" ref="S494">IF(
OR(AD494="",ISERROR(AD494)),
"-",
_xlfn.UNIQUE(_xlfn._xlws.FILTER([1]Sheet1!$D$2:$D$200,ISNUMBER(SEARCH(AD494,[1]Sheet1!$D$2:$D$200))))
)</f>
        <v>태성종합물류</v>
      </c>
      <c r="T494" s="22" t="s">
        <v>2026</v>
      </c>
      <c r="U494" s="16" t="str" cm="1">
        <f t="array" ref="U494">IF(
OR(AD494="",ISERROR(AD494)),
"-",
_xlfn.UNIQUE(_xlfn._xlws.FILTER([1]Sheet1!$D$2:$D$200,ISNUMBER(SEARCH(AD494,[1]Sheet1!$D$2:$D$200))))
)</f>
        <v>태성종합물류</v>
      </c>
      <c r="V494" s="23">
        <v>415000</v>
      </c>
      <c r="W494" s="23">
        <v>388200</v>
      </c>
      <c r="X494" s="23">
        <f t="shared" si="17"/>
        <v>26800</v>
      </c>
      <c r="Y494" s="25" t="s">
        <v>2027</v>
      </c>
      <c r="Z494" s="19" t="s">
        <v>51</v>
      </c>
      <c r="AA494" s="19" t="s">
        <v>93</v>
      </c>
      <c r="AB494" s="18" t="s">
        <v>1558</v>
      </c>
      <c r="AC494" s="17" t="str">
        <f t="shared" si="16"/>
        <v>Y</v>
      </c>
      <c r="AD494" s="17" t="s">
        <v>82</v>
      </c>
      <c r="AE494" s="26">
        <v>0.33333333333333331</v>
      </c>
      <c r="AF494" s="27"/>
      <c r="AG494" s="27"/>
      <c r="AI494" s="28" t="s">
        <v>57</v>
      </c>
    </row>
    <row r="495" spans="1:35" ht="34.950000000000003" customHeight="1" x14ac:dyDescent="0.4">
      <c r="A495" s="16" t="s">
        <v>71</v>
      </c>
      <c r="B495" s="16" t="s">
        <v>99</v>
      </c>
      <c r="C495" s="17">
        <v>46014</v>
      </c>
      <c r="D495" s="16" t="s">
        <v>308</v>
      </c>
      <c r="E495" s="16" t="s">
        <v>149</v>
      </c>
      <c r="F495" s="16">
        <v>28090</v>
      </c>
      <c r="G495" s="18" t="s">
        <v>1442</v>
      </c>
      <c r="H495" s="16" t="s">
        <v>687</v>
      </c>
      <c r="I495" s="19" t="s">
        <v>76</v>
      </c>
      <c r="J495" s="16" t="str">
        <f>IFERROR(VLOOKUP(I495,[1]Sheet1!$A$1:$B$200,2,0),"_")</f>
        <v>NJ</v>
      </c>
      <c r="K495" s="19" t="s">
        <v>76</v>
      </c>
      <c r="L495" s="16" t="str">
        <f>IFERROR(VLOOKUP(K495,[1]Sheet1!$A$1:$B$200,2,0),"-")</f>
        <v>NJ</v>
      </c>
      <c r="M495" s="19" t="s">
        <v>1986</v>
      </c>
      <c r="N495" s="16" t="str">
        <f>IFERROR(VLOOKUP(M495,[1]Sheet1!$G$2:$H$200,2,0),"-")</f>
        <v>JCSC</v>
      </c>
      <c r="O495" s="18" t="s">
        <v>55</v>
      </c>
      <c r="P495" s="17" t="s">
        <v>55</v>
      </c>
      <c r="Q495" s="20" t="s">
        <v>2028</v>
      </c>
      <c r="R495" s="20"/>
      <c r="S495" s="21" t="str" cm="1">
        <f t="array" ref="S495">IF(
OR(AD495="",ISERROR(AD495)),
"-",
_xlfn.UNIQUE(_xlfn._xlws.FILTER([1]Sheet1!$D$2:$D$200,ISNUMBER(SEARCH(AD495,[1]Sheet1!$D$2:$D$200))))
)</f>
        <v>태성종합물류</v>
      </c>
      <c r="T495" s="22" t="s">
        <v>917</v>
      </c>
      <c r="U495" s="16" t="str" cm="1">
        <f t="array" ref="U495">IF(
OR(AD495="",ISERROR(AD495)),
"-",
_xlfn.UNIQUE(_xlfn._xlws.FILTER([1]Sheet1!$D$2:$D$200,ISNUMBER(SEARCH(AD495,[1]Sheet1!$D$2:$D$200))))
)</f>
        <v>태성종합물류</v>
      </c>
      <c r="V495" s="23">
        <v>415000</v>
      </c>
      <c r="W495" s="23">
        <v>388200</v>
      </c>
      <c r="X495" s="23">
        <f t="shared" si="17"/>
        <v>26800</v>
      </c>
      <c r="Y495" s="25" t="s">
        <v>2029</v>
      </c>
      <c r="Z495" s="19" t="s">
        <v>51</v>
      </c>
      <c r="AA495" s="19" t="s">
        <v>93</v>
      </c>
      <c r="AB495" s="18" t="s">
        <v>1445</v>
      </c>
      <c r="AC495" s="17" t="str">
        <f t="shared" si="16"/>
        <v>Y</v>
      </c>
      <c r="AD495" s="17" t="s">
        <v>82</v>
      </c>
      <c r="AE495" s="26">
        <v>0.33333333333333331</v>
      </c>
      <c r="AF495" s="27"/>
      <c r="AG495" s="27"/>
      <c r="AI495" s="28" t="s">
        <v>57</v>
      </c>
    </row>
    <row r="496" spans="1:35" ht="34.950000000000003" customHeight="1" x14ac:dyDescent="0.4">
      <c r="A496" s="16" t="s">
        <v>71</v>
      </c>
      <c r="B496" s="16" t="s">
        <v>99</v>
      </c>
      <c r="C496" s="17">
        <v>46014</v>
      </c>
      <c r="D496" s="16" t="s">
        <v>308</v>
      </c>
      <c r="E496" s="16" t="s">
        <v>149</v>
      </c>
      <c r="F496" s="16">
        <v>28092</v>
      </c>
      <c r="G496" s="18" t="s">
        <v>2030</v>
      </c>
      <c r="H496" s="16" t="s">
        <v>687</v>
      </c>
      <c r="I496" s="19" t="s">
        <v>76</v>
      </c>
      <c r="J496" s="16" t="str">
        <f>IFERROR(VLOOKUP(I496,[1]Sheet1!$A$1:$B$200,2,0),"_")</f>
        <v>NJ</v>
      </c>
      <c r="K496" s="19" t="s">
        <v>76</v>
      </c>
      <c r="L496" s="16" t="str">
        <f>IFERROR(VLOOKUP(K496,[1]Sheet1!$A$1:$B$200,2,0),"-")</f>
        <v>NJ</v>
      </c>
      <c r="M496" s="19" t="s">
        <v>273</v>
      </c>
      <c r="N496" s="16" t="str">
        <f>IFERROR(VLOOKUP(M496,[1]Sheet1!$G$2:$H$200,2,0),"-")</f>
        <v>DJSC</v>
      </c>
      <c r="O496" s="18" t="s">
        <v>55</v>
      </c>
      <c r="P496" s="17" t="s">
        <v>55</v>
      </c>
      <c r="Q496" s="20" t="s">
        <v>2031</v>
      </c>
      <c r="R496" s="20"/>
      <c r="S496" s="21" t="str" cm="1">
        <f t="array" ref="S496">IF(
OR(AD496="",ISERROR(AD496)),
"-",
_xlfn.UNIQUE(_xlfn._xlws.FILTER([1]Sheet1!$D$2:$D$200,ISNUMBER(SEARCH(AD496,[1]Sheet1!$D$2:$D$200))))
)</f>
        <v>태성종합물류</v>
      </c>
      <c r="T496" s="22" t="s">
        <v>1447</v>
      </c>
      <c r="U496" s="16" t="str" cm="1">
        <f t="array" ref="U496">IF(
OR(AD496="",ISERROR(AD496)),
"-",
_xlfn.UNIQUE(_xlfn._xlws.FILTER([1]Sheet1!$D$2:$D$200,ISNUMBER(SEARCH(AD496,[1]Sheet1!$D$2:$D$200))))
)</f>
        <v>태성종합물류</v>
      </c>
      <c r="V496" s="23">
        <v>415000</v>
      </c>
      <c r="W496" s="23">
        <v>388200</v>
      </c>
      <c r="X496" s="23">
        <f t="shared" si="17"/>
        <v>26800</v>
      </c>
      <c r="Y496" s="25" t="s">
        <v>2032</v>
      </c>
      <c r="Z496" s="19" t="s">
        <v>51</v>
      </c>
      <c r="AA496" s="19" t="s">
        <v>93</v>
      </c>
      <c r="AB496" s="18" t="s">
        <v>2033</v>
      </c>
      <c r="AC496" s="17" t="str">
        <f t="shared" si="16"/>
        <v>Y</v>
      </c>
      <c r="AD496" s="17" t="s">
        <v>82</v>
      </c>
      <c r="AE496" s="26">
        <v>0.58333333333333337</v>
      </c>
      <c r="AF496" s="27"/>
      <c r="AG496" s="27"/>
      <c r="AI496" s="28" t="s">
        <v>57</v>
      </c>
    </row>
    <row r="497" spans="1:35" ht="34.950000000000003" customHeight="1" x14ac:dyDescent="0.4">
      <c r="A497" s="16" t="s">
        <v>71</v>
      </c>
      <c r="B497" s="16" t="s">
        <v>99</v>
      </c>
      <c r="C497" s="17">
        <v>46014</v>
      </c>
      <c r="D497" s="16" t="s">
        <v>308</v>
      </c>
      <c r="E497" s="16" t="s">
        <v>149</v>
      </c>
      <c r="F497" s="16">
        <v>28090</v>
      </c>
      <c r="G497" s="18" t="s">
        <v>1442</v>
      </c>
      <c r="H497" s="16" t="s">
        <v>687</v>
      </c>
      <c r="I497" s="19" t="s">
        <v>76</v>
      </c>
      <c r="J497" s="16" t="str">
        <f>IFERROR(VLOOKUP(I497,[1]Sheet1!$A$1:$B$200,2,0),"_")</f>
        <v>NJ</v>
      </c>
      <c r="K497" s="19" t="s">
        <v>76</v>
      </c>
      <c r="L497" s="16" t="str">
        <f>IFERROR(VLOOKUP(K497,[1]Sheet1!$A$1:$B$200,2,0),"-")</f>
        <v>NJ</v>
      </c>
      <c r="M497" s="19" t="s">
        <v>1986</v>
      </c>
      <c r="N497" s="16" t="str">
        <f>IFERROR(VLOOKUP(M497,[1]Sheet1!$G$2:$H$200,2,0),"-")</f>
        <v>JCSC</v>
      </c>
      <c r="O497" s="18" t="s">
        <v>55</v>
      </c>
      <c r="P497" s="17" t="s">
        <v>55</v>
      </c>
      <c r="Q497" s="20" t="s">
        <v>2034</v>
      </c>
      <c r="R497" s="20"/>
      <c r="S497" s="21" t="str" cm="1">
        <f t="array" ref="S497">IF(
OR(AD497="",ISERROR(AD497)),
"-",
_xlfn.UNIQUE(_xlfn._xlws.FILTER([1]Sheet1!$D$2:$D$200,ISNUMBER(SEARCH(AD497,[1]Sheet1!$D$2:$D$200))))
)</f>
        <v>태성종합물류</v>
      </c>
      <c r="T497" s="22" t="s">
        <v>1793</v>
      </c>
      <c r="U497" s="16" t="str" cm="1">
        <f t="array" ref="U497">IF(
OR(AD497="",ISERROR(AD497)),
"-",
_xlfn.UNIQUE(_xlfn._xlws.FILTER([1]Sheet1!$D$2:$D$200,ISNUMBER(SEARCH(AD497,[1]Sheet1!$D$2:$D$200))))
)</f>
        <v>태성종합물류</v>
      </c>
      <c r="V497" s="23">
        <v>415000</v>
      </c>
      <c r="W497" s="23">
        <v>388200</v>
      </c>
      <c r="X497" s="23">
        <f t="shared" si="17"/>
        <v>26800</v>
      </c>
      <c r="Y497" s="25" t="s">
        <v>2035</v>
      </c>
      <c r="Z497" s="19" t="s">
        <v>51</v>
      </c>
      <c r="AA497" s="19" t="s">
        <v>93</v>
      </c>
      <c r="AB497" s="18" t="s">
        <v>1445</v>
      </c>
      <c r="AC497" s="17" t="str">
        <f t="shared" si="16"/>
        <v>Y</v>
      </c>
      <c r="AD497" s="17" t="s">
        <v>82</v>
      </c>
      <c r="AE497" s="26">
        <v>0.58333333333333337</v>
      </c>
      <c r="AF497" s="27"/>
      <c r="AG497" s="27"/>
      <c r="AI497" s="28" t="s">
        <v>57</v>
      </c>
    </row>
    <row r="498" spans="1:35" ht="34.950000000000003" customHeight="1" x14ac:dyDescent="0.4">
      <c r="A498" s="16" t="s">
        <v>36</v>
      </c>
      <c r="B498" s="16" t="s">
        <v>37</v>
      </c>
      <c r="C498" s="17">
        <v>46014</v>
      </c>
      <c r="D498" s="16" t="s">
        <v>83</v>
      </c>
      <c r="E498" s="16" t="s">
        <v>545</v>
      </c>
      <c r="F498" s="16">
        <v>22902</v>
      </c>
      <c r="G498" s="18" t="s">
        <v>1958</v>
      </c>
      <c r="H498" s="16" t="s">
        <v>75</v>
      </c>
      <c r="I498" s="19" t="s">
        <v>381</v>
      </c>
      <c r="J498" s="16" t="str">
        <f>IFERROR(VLOOKUP(I498,[1]Sheet1!$A$1:$B$200,2,0),"_")</f>
        <v>PT</v>
      </c>
      <c r="K498" s="19" t="s">
        <v>381</v>
      </c>
      <c r="L498" s="16" t="str">
        <f>IFERROR(VLOOKUP(K498,[1]Sheet1!$A$1:$B$200,2,0),"-")</f>
        <v>PT</v>
      </c>
      <c r="M498" s="19" t="s">
        <v>151</v>
      </c>
      <c r="N498" s="16" t="str">
        <f>IFERROR(VLOOKUP(M498,[1]Sheet1!$G$2:$H$200,2,0),"-")</f>
        <v>NSSL</v>
      </c>
      <c r="O498" s="18" t="s">
        <v>1959</v>
      </c>
      <c r="P498" s="17">
        <v>46017</v>
      </c>
      <c r="Q498" s="20" t="s">
        <v>2036</v>
      </c>
      <c r="R498" s="20" t="s">
        <v>2037</v>
      </c>
      <c r="S498" s="21" t="str" cm="1">
        <f t="array" ref="S498">IF(
OR(AD498="",ISERROR(AD498)),
"-",
_xlfn.UNIQUE(_xlfn._xlws.FILTER([1]Sheet1!$D$2:$D$200,ISNUMBER(SEARCH(AD498,[1]Sheet1!$D$2:$D$200))))
)</f>
        <v>주식회사 다원로직스</v>
      </c>
      <c r="T498" s="22" t="s">
        <v>2038</v>
      </c>
      <c r="U498" s="16" t="str" cm="1">
        <f t="array" ref="U498">IF(
OR(AD498="",ISERROR(AD498)),
"-",
_xlfn.UNIQUE(_xlfn._xlws.FILTER([1]Sheet1!$D$2:$D$200,ISNUMBER(SEARCH(AD498,[1]Sheet1!$D$2:$D$200))))
)</f>
        <v>주식회사 다원로직스</v>
      </c>
      <c r="V498" s="23">
        <v>240000</v>
      </c>
      <c r="W498" s="23">
        <v>200000</v>
      </c>
      <c r="X498" s="23">
        <f t="shared" si="17"/>
        <v>40000</v>
      </c>
      <c r="Y498" s="25" t="s">
        <v>1963</v>
      </c>
      <c r="Z498" s="19" t="s">
        <v>51</v>
      </c>
      <c r="AA498" s="19" t="s">
        <v>93</v>
      </c>
      <c r="AC498" s="17" t="str">
        <f t="shared" si="16"/>
        <v>Y</v>
      </c>
      <c r="AD498" s="17" t="s">
        <v>552</v>
      </c>
      <c r="AF498" s="27"/>
      <c r="AG498" s="27"/>
      <c r="AI498" s="28" t="s">
        <v>57</v>
      </c>
    </row>
    <row r="499" spans="1:35" ht="34.950000000000003" customHeight="1" x14ac:dyDescent="0.4">
      <c r="A499" s="16" t="s">
        <v>36</v>
      </c>
      <c r="B499" s="16" t="s">
        <v>37</v>
      </c>
      <c r="C499" s="17">
        <v>46014</v>
      </c>
      <c r="D499" s="16" t="s">
        <v>83</v>
      </c>
      <c r="E499" s="16" t="s">
        <v>545</v>
      </c>
      <c r="F499" s="16">
        <v>22902</v>
      </c>
      <c r="G499" s="18" t="s">
        <v>1958</v>
      </c>
      <c r="H499" s="16" t="s">
        <v>75</v>
      </c>
      <c r="I499" s="19" t="s">
        <v>381</v>
      </c>
      <c r="J499" s="16" t="str">
        <f>IFERROR(VLOOKUP(I499,[1]Sheet1!$A$1:$B$200,2,0),"_")</f>
        <v>PT</v>
      </c>
      <c r="K499" s="19" t="s">
        <v>381</v>
      </c>
      <c r="L499" s="16" t="str">
        <f>IFERROR(VLOOKUP(K499,[1]Sheet1!$A$1:$B$200,2,0),"-")</f>
        <v>PT</v>
      </c>
      <c r="M499" s="19" t="s">
        <v>151</v>
      </c>
      <c r="N499" s="16" t="str">
        <f>IFERROR(VLOOKUP(M499,[1]Sheet1!$G$2:$H$200,2,0),"-")</f>
        <v>NSSL</v>
      </c>
      <c r="O499" s="18" t="s">
        <v>1959</v>
      </c>
      <c r="P499" s="17">
        <v>46017</v>
      </c>
      <c r="Q499" s="20" t="s">
        <v>2039</v>
      </c>
      <c r="R499" s="20" t="s">
        <v>2040</v>
      </c>
      <c r="S499" s="21" t="str" cm="1">
        <f t="array" ref="S499">IF(
OR(AD499="",ISERROR(AD499)),
"-",
_xlfn.UNIQUE(_xlfn._xlws.FILTER([1]Sheet1!$D$2:$D$200,ISNUMBER(SEARCH(AD499,[1]Sheet1!$D$2:$D$200))))
)</f>
        <v>주식회사 다원로직스</v>
      </c>
      <c r="T499" s="22" t="s">
        <v>2041</v>
      </c>
      <c r="U499" s="16" t="str" cm="1">
        <f t="array" ref="U499">IF(
OR(AD499="",ISERROR(AD499)),
"-",
_xlfn.UNIQUE(_xlfn._xlws.FILTER([1]Sheet1!$D$2:$D$200,ISNUMBER(SEARCH(AD499,[1]Sheet1!$D$2:$D$200))))
)</f>
        <v>주식회사 다원로직스</v>
      </c>
      <c r="V499" s="23">
        <v>240000</v>
      </c>
      <c r="W499" s="23">
        <v>200000</v>
      </c>
      <c r="X499" s="23">
        <f t="shared" si="17"/>
        <v>40000</v>
      </c>
      <c r="Y499" s="25" t="s">
        <v>1963</v>
      </c>
      <c r="Z499" s="19" t="s">
        <v>51</v>
      </c>
      <c r="AA499" s="19" t="s">
        <v>93</v>
      </c>
      <c r="AC499" s="17" t="str">
        <f t="shared" si="16"/>
        <v>Y</v>
      </c>
      <c r="AD499" s="17" t="s">
        <v>552</v>
      </c>
      <c r="AF499" s="27"/>
      <c r="AG499" s="27"/>
      <c r="AI499" s="28" t="s">
        <v>57</v>
      </c>
    </row>
    <row r="500" spans="1:35" ht="34.950000000000003" customHeight="1" x14ac:dyDescent="0.4">
      <c r="A500" s="16" t="s">
        <v>36</v>
      </c>
      <c r="B500" s="16" t="s">
        <v>37</v>
      </c>
      <c r="C500" s="17">
        <v>46014</v>
      </c>
      <c r="D500" s="16" t="s">
        <v>83</v>
      </c>
      <c r="E500" s="16" t="s">
        <v>545</v>
      </c>
      <c r="F500" s="16">
        <v>22902</v>
      </c>
      <c r="G500" s="18" t="s">
        <v>1958</v>
      </c>
      <c r="H500" s="16" t="s">
        <v>75</v>
      </c>
      <c r="I500" s="19" t="s">
        <v>381</v>
      </c>
      <c r="J500" s="16" t="str">
        <f>IFERROR(VLOOKUP(I500,[1]Sheet1!$A$1:$B$200,2,0),"_")</f>
        <v>PT</v>
      </c>
      <c r="K500" s="19" t="s">
        <v>381</v>
      </c>
      <c r="L500" s="16" t="str">
        <f>IFERROR(VLOOKUP(K500,[1]Sheet1!$A$1:$B$200,2,0),"-")</f>
        <v>PT</v>
      </c>
      <c r="M500" s="19" t="s">
        <v>151</v>
      </c>
      <c r="N500" s="16" t="str">
        <f>IFERROR(VLOOKUP(M500,[1]Sheet1!$G$2:$H$200,2,0),"-")</f>
        <v>NSSL</v>
      </c>
      <c r="O500" s="18" t="s">
        <v>1959</v>
      </c>
      <c r="P500" s="17">
        <v>46017</v>
      </c>
      <c r="Q500" s="20" t="s">
        <v>1016</v>
      </c>
      <c r="R500" s="20" t="s">
        <v>2039</v>
      </c>
      <c r="S500" s="21" t="str" cm="1">
        <f t="array" ref="S500">IF(
OR(AD500="",ISERROR(AD500)),
"-",
_xlfn.UNIQUE(_xlfn._xlws.FILTER([1]Sheet1!$D$2:$D$200,ISNUMBER(SEARCH(AD500,[1]Sheet1!$D$2:$D$200))))
)</f>
        <v>주식회사 다원로직스</v>
      </c>
      <c r="T500" s="20" t="s">
        <v>2042</v>
      </c>
      <c r="U500" s="16" t="str" cm="1">
        <f t="array" ref="U500">IF(
OR(AD500="",ISERROR(AD500)),
"-",
_xlfn.UNIQUE(_xlfn._xlws.FILTER([1]Sheet1!$D$2:$D$200,ISNUMBER(SEARCH(AD500,[1]Sheet1!$D$2:$D$200))))
)</f>
        <v>주식회사 다원로직스</v>
      </c>
      <c r="V500" s="23">
        <v>200000</v>
      </c>
      <c r="W500" s="23">
        <v>100000</v>
      </c>
      <c r="X500" s="23">
        <f t="shared" si="17"/>
        <v>100000</v>
      </c>
      <c r="Y500" s="25" t="s">
        <v>1963</v>
      </c>
      <c r="Z500" s="19" t="s">
        <v>51</v>
      </c>
      <c r="AA500" s="19" t="s">
        <v>93</v>
      </c>
      <c r="AC500" s="17" t="str">
        <f t="shared" si="16"/>
        <v>Y</v>
      </c>
      <c r="AD500" s="17" t="s">
        <v>552</v>
      </c>
      <c r="AF500" s="27"/>
      <c r="AG500" s="27"/>
      <c r="AI500" s="28" t="s">
        <v>57</v>
      </c>
    </row>
    <row r="501" spans="1:35" ht="34.950000000000003" customHeight="1" x14ac:dyDescent="0.4">
      <c r="A501" s="16" t="s">
        <v>36</v>
      </c>
      <c r="B501" s="16" t="s">
        <v>37</v>
      </c>
      <c r="C501" s="17">
        <v>46014</v>
      </c>
      <c r="D501" s="16" t="s">
        <v>83</v>
      </c>
      <c r="E501" s="16" t="s">
        <v>545</v>
      </c>
      <c r="F501" s="16">
        <v>22902</v>
      </c>
      <c r="G501" s="18" t="s">
        <v>1958</v>
      </c>
      <c r="H501" s="16" t="s">
        <v>75</v>
      </c>
      <c r="I501" s="19" t="s">
        <v>381</v>
      </c>
      <c r="J501" s="16" t="str">
        <f>IFERROR(VLOOKUP(I501,[1]Sheet1!$A$1:$B$200,2,0),"_")</f>
        <v>PT</v>
      </c>
      <c r="K501" s="19" t="s">
        <v>381</v>
      </c>
      <c r="L501" s="16" t="str">
        <f>IFERROR(VLOOKUP(K501,[1]Sheet1!$A$1:$B$200,2,0),"-")</f>
        <v>PT</v>
      </c>
      <c r="M501" s="19" t="s">
        <v>151</v>
      </c>
      <c r="N501" s="16" t="str">
        <f>IFERROR(VLOOKUP(M501,[1]Sheet1!$G$2:$H$200,2,0),"-")</f>
        <v>NSSL</v>
      </c>
      <c r="O501" s="18" t="s">
        <v>1959</v>
      </c>
      <c r="P501" s="17">
        <v>46017</v>
      </c>
      <c r="Q501" s="20" t="s">
        <v>1019</v>
      </c>
      <c r="R501" s="20" t="s">
        <v>2039</v>
      </c>
      <c r="S501" s="21" t="str" cm="1">
        <f t="array" ref="S501">IF(
OR(AD501="",ISERROR(AD501)),
"-",
_xlfn.UNIQUE(_xlfn._xlws.FILTER([1]Sheet1!$D$2:$D$200,ISNUMBER(SEARCH(AD501,[1]Sheet1!$D$2:$D$200))))
)</f>
        <v>주식회사 다원로직스</v>
      </c>
      <c r="T501" s="20" t="s">
        <v>2042</v>
      </c>
      <c r="U501" s="16" t="str" cm="1">
        <f t="array" ref="U501">IF(
OR(AD501="",ISERROR(AD501)),
"-",
_xlfn.UNIQUE(_xlfn._xlws.FILTER([1]Sheet1!$D$2:$D$200,ISNUMBER(SEARCH(AD501,[1]Sheet1!$D$2:$D$200))))
)</f>
        <v>주식회사 다원로직스</v>
      </c>
      <c r="V501" s="23">
        <v>0</v>
      </c>
      <c r="W501" s="23">
        <v>0</v>
      </c>
      <c r="X501" s="23">
        <f t="shared" si="17"/>
        <v>0</v>
      </c>
      <c r="Y501" s="25" t="s">
        <v>1963</v>
      </c>
      <c r="Z501" s="19" t="s">
        <v>51</v>
      </c>
      <c r="AA501" s="19" t="s">
        <v>93</v>
      </c>
      <c r="AB501" s="18" t="s">
        <v>2043</v>
      </c>
      <c r="AC501" s="17" t="str">
        <f t="shared" si="16"/>
        <v>Y</v>
      </c>
      <c r="AD501" s="17" t="s">
        <v>552</v>
      </c>
      <c r="AF501" s="27"/>
      <c r="AG501" s="27"/>
      <c r="AI501" s="28" t="s">
        <v>57</v>
      </c>
    </row>
    <row r="502" spans="1:35" ht="34.950000000000003" customHeight="1" x14ac:dyDescent="0.4">
      <c r="A502" s="16" t="s">
        <v>71</v>
      </c>
      <c r="B502" s="16" t="s">
        <v>99</v>
      </c>
      <c r="C502" s="17">
        <v>46014</v>
      </c>
      <c r="D502" s="16" t="s">
        <v>72</v>
      </c>
      <c r="E502" s="16" t="s">
        <v>565</v>
      </c>
      <c r="F502" s="16">
        <v>22108</v>
      </c>
      <c r="G502" s="18" t="s">
        <v>310</v>
      </c>
      <c r="H502" s="16" t="s">
        <v>41</v>
      </c>
      <c r="I502" s="19" t="s">
        <v>42</v>
      </c>
      <c r="J502" s="16" t="str">
        <f>IFERROR(VLOOKUP(I502,[1]Sheet1!$A$1:$B$200,2,0),"_")</f>
        <v>P</v>
      </c>
      <c r="K502" s="19" t="s">
        <v>137</v>
      </c>
      <c r="L502" s="16" t="str">
        <f>IFERROR(VLOOKUP(K502,[1]Sheet1!$A$1:$B$200,2,0),"-")</f>
        <v>BE</v>
      </c>
      <c r="M502" s="19" t="s">
        <v>382</v>
      </c>
      <c r="N502" s="16" t="str">
        <f>IFERROR(VLOOKUP(M502,[1]Sheet1!$G$2:$H$200,2,0),"-")</f>
        <v>EASL</v>
      </c>
      <c r="O502" s="18" t="s">
        <v>55</v>
      </c>
      <c r="P502" s="17" t="s">
        <v>55</v>
      </c>
      <c r="Q502" s="20" t="s">
        <v>2044</v>
      </c>
      <c r="R502" s="20"/>
      <c r="S502" s="21" t="str" cm="1">
        <f t="array" ref="S502">IF(
OR(AD502="",ISERROR(AD502)),
"-",
_xlfn.UNIQUE(_xlfn._xlws.FILTER([1]Sheet1!$D$2:$D$200,ISNUMBER(SEARCH(AD502,[1]Sheet1!$D$2:$D$200))))
)</f>
        <v>율세</v>
      </c>
      <c r="T502" s="22" t="s">
        <v>2045</v>
      </c>
      <c r="U502" s="16" t="str" cm="1">
        <f t="array" ref="U502">IF(
OR(AD502="",ISERROR(AD502)),
"-",
_xlfn.UNIQUE(_xlfn._xlws.FILTER([1]Sheet1!$D$2:$D$200,ISNUMBER(SEARCH(AD502,[1]Sheet1!$D$2:$D$200))))
)</f>
        <v>율세</v>
      </c>
      <c r="V502" s="23">
        <v>954000</v>
      </c>
      <c r="W502" s="23">
        <v>820800</v>
      </c>
      <c r="X502" s="23">
        <f t="shared" si="17"/>
        <v>133200</v>
      </c>
      <c r="Y502" s="25" t="s">
        <v>2046</v>
      </c>
      <c r="Z502" s="19" t="s">
        <v>51</v>
      </c>
      <c r="AA502" s="19" t="s">
        <v>81</v>
      </c>
      <c r="AB502" s="18" t="s">
        <v>2047</v>
      </c>
      <c r="AC502" s="17" t="str">
        <f t="shared" si="16"/>
        <v>Y</v>
      </c>
      <c r="AD502" s="17" t="s">
        <v>123</v>
      </c>
      <c r="AF502" s="27" t="s">
        <v>55</v>
      </c>
      <c r="AG502" s="27" t="s">
        <v>55</v>
      </c>
      <c r="AI502" s="28" t="s">
        <v>57</v>
      </c>
    </row>
    <row r="503" spans="1:35" ht="34.950000000000003" customHeight="1" x14ac:dyDescent="0.4">
      <c r="A503" s="16" t="s">
        <v>71</v>
      </c>
      <c r="B503" s="16" t="s">
        <v>37</v>
      </c>
      <c r="C503" s="17">
        <v>46014</v>
      </c>
      <c r="D503" s="16" t="s">
        <v>216</v>
      </c>
      <c r="E503" s="16" t="s">
        <v>1049</v>
      </c>
      <c r="F503" s="16">
        <v>27880</v>
      </c>
      <c r="G503" s="18" t="s">
        <v>1298</v>
      </c>
      <c r="H503" s="16" t="s">
        <v>41</v>
      </c>
      <c r="I503" s="19" t="s">
        <v>751</v>
      </c>
      <c r="J503" s="16" t="str">
        <f>IFERROR(VLOOKUP(I503,[1]Sheet1!$A$1:$B$200,2,0),"_")</f>
        <v>PN</v>
      </c>
      <c r="K503" s="19" t="s">
        <v>751</v>
      </c>
      <c r="L503" s="16" t="str">
        <f>IFERROR(VLOOKUP(K503,[1]Sheet1!$A$1:$B$200,2,0),"-")</f>
        <v>PN</v>
      </c>
      <c r="M503" s="19" t="s">
        <v>159</v>
      </c>
      <c r="N503" s="16" t="str">
        <f>IFERROR(VLOOKUP(M503,[1]Sheet1!$G$2:$H$200,2,0),"-")</f>
        <v>MAEU</v>
      </c>
      <c r="O503" s="18" t="s">
        <v>55</v>
      </c>
      <c r="P503" s="17" t="s">
        <v>55</v>
      </c>
      <c r="Q503" s="20" t="s">
        <v>2048</v>
      </c>
      <c r="R503" s="20"/>
      <c r="S503" s="21" t="str" cm="1">
        <f t="array" ref="S503">IF(
OR(AD503="",ISERROR(AD503)),
"-",
_xlfn.UNIQUE(_xlfn._xlws.FILTER([1]Sheet1!$D$2:$D$200,ISNUMBER(SEARCH(AD503,[1]Sheet1!$D$2:$D$200))))
)</f>
        <v>에스지로지스틱</v>
      </c>
      <c r="T503" s="22" t="s">
        <v>2049</v>
      </c>
      <c r="U503" s="16" t="str" cm="1">
        <f t="array" ref="U503">IF(
OR(AD503="",ISERROR(AD503)),
"-",
_xlfn.UNIQUE(_xlfn._xlws.FILTER([1]Sheet1!$D$2:$D$200,ISNUMBER(SEARCH(AD503,[1]Sheet1!$D$2:$D$200))))
)</f>
        <v>에스지로지스틱</v>
      </c>
      <c r="V503" s="23">
        <v>216000</v>
      </c>
      <c r="W503" s="23">
        <v>196000</v>
      </c>
      <c r="X503" s="23">
        <f t="shared" si="17"/>
        <v>20000</v>
      </c>
      <c r="Y503" s="25" t="s">
        <v>2050</v>
      </c>
      <c r="Z503" s="19" t="s">
        <v>51</v>
      </c>
      <c r="AA503" s="19" t="s">
        <v>93</v>
      </c>
      <c r="AC503" s="17" t="str">
        <f t="shared" si="16"/>
        <v>Y</v>
      </c>
      <c r="AD503" s="17" t="s">
        <v>184</v>
      </c>
      <c r="AE503" s="26">
        <v>0.45833333333333331</v>
      </c>
      <c r="AF503" s="27"/>
      <c r="AG503" s="27"/>
      <c r="AI503" s="28" t="s">
        <v>57</v>
      </c>
    </row>
    <row r="504" spans="1:35" ht="34.950000000000003" customHeight="1" x14ac:dyDescent="0.4">
      <c r="A504" s="16" t="s">
        <v>71</v>
      </c>
      <c r="B504" s="16" t="s">
        <v>37</v>
      </c>
      <c r="C504" s="17">
        <v>46014</v>
      </c>
      <c r="D504" s="16" t="s">
        <v>216</v>
      </c>
      <c r="E504" s="16" t="s">
        <v>1049</v>
      </c>
      <c r="F504" s="16">
        <v>27880</v>
      </c>
      <c r="G504" s="18" t="s">
        <v>1298</v>
      </c>
      <c r="H504" s="16" t="s">
        <v>41</v>
      </c>
      <c r="I504" s="19" t="s">
        <v>751</v>
      </c>
      <c r="J504" s="16" t="str">
        <f>IFERROR(VLOOKUP(I504,[1]Sheet1!$A$1:$B$200,2,0),"_")</f>
        <v>PN</v>
      </c>
      <c r="K504" s="19" t="s">
        <v>751</v>
      </c>
      <c r="L504" s="16" t="str">
        <f>IFERROR(VLOOKUP(K504,[1]Sheet1!$A$1:$B$200,2,0),"-")</f>
        <v>PN</v>
      </c>
      <c r="M504" s="19" t="s">
        <v>159</v>
      </c>
      <c r="N504" s="16" t="str">
        <f>IFERROR(VLOOKUP(M504,[1]Sheet1!$G$2:$H$200,2,0),"-")</f>
        <v>MAEU</v>
      </c>
      <c r="O504" s="18" t="s">
        <v>55</v>
      </c>
      <c r="P504" s="17" t="s">
        <v>55</v>
      </c>
      <c r="Q504" s="20" t="s">
        <v>2048</v>
      </c>
      <c r="R504" s="20"/>
      <c r="S504" s="21" t="str" cm="1">
        <f t="array" ref="S504">IF(
OR(AD504="",ISERROR(AD504)),
"-",
_xlfn.UNIQUE(_xlfn._xlws.FILTER([1]Sheet1!$D$2:$D$200,ISNUMBER(SEARCH(AD504,[1]Sheet1!$D$2:$D$200))))
)</f>
        <v>에스지로지스틱</v>
      </c>
      <c r="T504" s="22" t="s">
        <v>2049</v>
      </c>
      <c r="U504" s="16" t="str" cm="1">
        <f t="array" ref="U504">IF(
OR(AD504="",ISERROR(AD504)),
"-",
_xlfn.UNIQUE(_xlfn._xlws.FILTER([1]Sheet1!$D$2:$D$200,ISNUMBER(SEARCH(AD504,[1]Sheet1!$D$2:$D$200))))
)</f>
        <v>에스지로지스틱</v>
      </c>
      <c r="V504" s="23">
        <v>64800</v>
      </c>
      <c r="W504" s="23">
        <v>58800</v>
      </c>
      <c r="X504" s="23">
        <f t="shared" si="17"/>
        <v>6000</v>
      </c>
      <c r="Y504" s="25" t="s">
        <v>2051</v>
      </c>
      <c r="Z504" s="19" t="s">
        <v>51</v>
      </c>
      <c r="AA504" s="19" t="s">
        <v>93</v>
      </c>
      <c r="AB504" s="18" t="s">
        <v>2052</v>
      </c>
      <c r="AC504" s="17" t="str">
        <f t="shared" si="16"/>
        <v>Y</v>
      </c>
      <c r="AD504" s="17" t="s">
        <v>184</v>
      </c>
      <c r="AE504" s="26">
        <v>0.45833333333333331</v>
      </c>
      <c r="AF504" s="27"/>
      <c r="AG504" s="27"/>
      <c r="AI504" s="28" t="s">
        <v>57</v>
      </c>
    </row>
    <row r="505" spans="1:35" ht="34.950000000000003" customHeight="1" x14ac:dyDescent="0.4">
      <c r="A505" s="16" t="s">
        <v>71</v>
      </c>
      <c r="B505" s="16" t="s">
        <v>37</v>
      </c>
      <c r="C505" s="17">
        <v>46014</v>
      </c>
      <c r="D505" s="16" t="s">
        <v>216</v>
      </c>
      <c r="E505" s="16" t="s">
        <v>1049</v>
      </c>
      <c r="F505" s="16">
        <v>27880</v>
      </c>
      <c r="G505" s="18" t="s">
        <v>1298</v>
      </c>
      <c r="H505" s="16" t="s">
        <v>41</v>
      </c>
      <c r="I505" s="19" t="s">
        <v>751</v>
      </c>
      <c r="J505" s="16" t="str">
        <f>IFERROR(VLOOKUP(I505,[1]Sheet1!$A$1:$B$200,2,0),"_")</f>
        <v>PN</v>
      </c>
      <c r="K505" s="19" t="s">
        <v>751</v>
      </c>
      <c r="L505" s="16" t="str">
        <f>IFERROR(VLOOKUP(K505,[1]Sheet1!$A$1:$B$200,2,0),"-")</f>
        <v>PN</v>
      </c>
      <c r="M505" s="19" t="s">
        <v>159</v>
      </c>
      <c r="N505" s="16" t="str">
        <f>IFERROR(VLOOKUP(M505,[1]Sheet1!$G$2:$H$200,2,0),"-")</f>
        <v>MAEU</v>
      </c>
      <c r="O505" s="18" t="s">
        <v>55</v>
      </c>
      <c r="P505" s="17" t="s">
        <v>55</v>
      </c>
      <c r="Q505" s="20" t="s">
        <v>2048</v>
      </c>
      <c r="R505" s="20"/>
      <c r="S505" s="21" t="str" cm="1">
        <f t="array" ref="S505">IF(
OR(AD505="",ISERROR(AD505)),
"-",
_xlfn.UNIQUE(_xlfn._xlws.FILTER([1]Sheet1!$D$2:$D$200,ISNUMBER(SEARCH(AD505,[1]Sheet1!$D$2:$D$200))))
)</f>
        <v>에스지로지스틱</v>
      </c>
      <c r="T505" s="22" t="s">
        <v>2049</v>
      </c>
      <c r="U505" s="16" t="str" cm="1">
        <f t="array" ref="U505">IF(
OR(AD505="",ISERROR(AD505)),
"-",
_xlfn.UNIQUE(_xlfn._xlws.FILTER([1]Sheet1!$D$2:$D$200,ISNUMBER(SEARCH(AD505,[1]Sheet1!$D$2:$D$200))))
)</f>
        <v>에스지로지스틱</v>
      </c>
      <c r="V505" s="23">
        <v>10000</v>
      </c>
      <c r="W505" s="23">
        <v>10000</v>
      </c>
      <c r="X505" s="23">
        <f t="shared" si="17"/>
        <v>0</v>
      </c>
      <c r="Y505" s="25" t="s">
        <v>2053</v>
      </c>
      <c r="Z505" s="19" t="s">
        <v>51</v>
      </c>
      <c r="AA505" s="19" t="s">
        <v>93</v>
      </c>
      <c r="AC505" s="17" t="str">
        <f t="shared" si="16"/>
        <v>Y</v>
      </c>
      <c r="AD505" s="17" t="s">
        <v>184</v>
      </c>
      <c r="AE505" s="26">
        <v>0.45833333333333331</v>
      </c>
      <c r="AF505" s="27"/>
      <c r="AG505" s="27"/>
      <c r="AI505" s="28" t="s">
        <v>57</v>
      </c>
    </row>
    <row r="506" spans="1:35" ht="34.950000000000003" customHeight="1" x14ac:dyDescent="0.4">
      <c r="A506" s="16" t="s">
        <v>71</v>
      </c>
      <c r="B506" s="16" t="s">
        <v>37</v>
      </c>
      <c r="C506" s="17">
        <v>46014</v>
      </c>
      <c r="D506" s="16" t="s">
        <v>216</v>
      </c>
      <c r="E506" s="16" t="s">
        <v>459</v>
      </c>
      <c r="F506" s="16">
        <v>26699</v>
      </c>
      <c r="G506" s="18" t="s">
        <v>1412</v>
      </c>
      <c r="H506" s="16" t="s">
        <v>711</v>
      </c>
      <c r="I506" s="19" t="s">
        <v>42</v>
      </c>
      <c r="J506" s="16" t="str">
        <f>IFERROR(VLOOKUP(I506,[1]Sheet1!$A$1:$B$200,2,0),"_")</f>
        <v>P</v>
      </c>
      <c r="K506" s="19" t="s">
        <v>42</v>
      </c>
      <c r="L506" s="16" t="str">
        <f>IFERROR(VLOOKUP(K506,[1]Sheet1!$A$1:$B$200,2,0),"-")</f>
        <v>P</v>
      </c>
      <c r="M506" s="19" t="s">
        <v>151</v>
      </c>
      <c r="N506" s="16" t="str">
        <f>IFERROR(VLOOKUP(M506,[1]Sheet1!$G$2:$H$200,2,0),"-")</f>
        <v>NSSL</v>
      </c>
      <c r="O506" s="18" t="s">
        <v>55</v>
      </c>
      <c r="P506" s="17" t="s">
        <v>55</v>
      </c>
      <c r="Q506" s="20" t="s">
        <v>2054</v>
      </c>
      <c r="R506" s="20"/>
      <c r="S506" s="21" t="str" cm="1">
        <f t="array" ref="S506">IF(
OR(AD506="",ISERROR(AD506)),
"-",
_xlfn.UNIQUE(_xlfn._xlws.FILTER([1]Sheet1!$D$2:$D$200,ISNUMBER(SEARCH(AD506,[1]Sheet1!$D$2:$D$200))))
)</f>
        <v>에스지로지스틱</v>
      </c>
      <c r="T506" s="22" t="s">
        <v>1675</v>
      </c>
      <c r="U506" s="16" t="str" cm="1">
        <f t="array" ref="U506">IF(
OR(AD506="",ISERROR(AD506)),
"-",
_xlfn.UNIQUE(_xlfn._xlws.FILTER([1]Sheet1!$D$2:$D$200,ISNUMBER(SEARCH(AD506,[1]Sheet1!$D$2:$D$200))))
)</f>
        <v>에스지로지스틱</v>
      </c>
      <c r="V506" s="23">
        <v>350000</v>
      </c>
      <c r="W506" s="23">
        <v>337000</v>
      </c>
      <c r="X506" s="23">
        <f t="shared" si="17"/>
        <v>13000</v>
      </c>
      <c r="Y506" s="25" t="s">
        <v>2055</v>
      </c>
      <c r="Z506" s="19" t="s">
        <v>51</v>
      </c>
      <c r="AA506" s="19" t="s">
        <v>93</v>
      </c>
      <c r="AC506" s="17" t="str">
        <f t="shared" si="16"/>
        <v>Y</v>
      </c>
      <c r="AD506" s="17" t="s">
        <v>184</v>
      </c>
      <c r="AE506" s="26">
        <v>0.375</v>
      </c>
      <c r="AF506" s="27"/>
      <c r="AG506" s="27"/>
      <c r="AI506" s="28" t="s">
        <v>57</v>
      </c>
    </row>
    <row r="507" spans="1:35" ht="34.950000000000003" customHeight="1" x14ac:dyDescent="0.4">
      <c r="A507" s="16" t="s">
        <v>71</v>
      </c>
      <c r="B507" s="16" t="s">
        <v>99</v>
      </c>
      <c r="C507" s="17">
        <v>46014</v>
      </c>
      <c r="D507" s="16" t="s">
        <v>126</v>
      </c>
      <c r="E507" s="16" t="s">
        <v>199</v>
      </c>
      <c r="F507" s="16">
        <v>22141</v>
      </c>
      <c r="G507" s="18" t="s">
        <v>2056</v>
      </c>
      <c r="H507" s="16" t="s">
        <v>711</v>
      </c>
      <c r="I507" s="19" t="s">
        <v>76</v>
      </c>
      <c r="J507" s="16" t="str">
        <f>IFERROR(VLOOKUP(I507,[1]Sheet1!$A$1:$B$200,2,0),"_")</f>
        <v>NJ</v>
      </c>
      <c r="K507" s="19" t="s">
        <v>76</v>
      </c>
      <c r="L507" s="16" t="str">
        <f>IFERROR(VLOOKUP(K507,[1]Sheet1!$A$1:$B$200,2,0),"-")</f>
        <v>NJ</v>
      </c>
      <c r="M507" s="19" t="s">
        <v>211</v>
      </c>
      <c r="N507" s="16" t="str">
        <f>IFERROR(VLOOKUP(M507,[1]Sheet1!$G$2:$H$200,2,0),"-")</f>
        <v>SITC</v>
      </c>
      <c r="O507" s="18" t="s">
        <v>55</v>
      </c>
      <c r="P507" s="17" t="s">
        <v>55</v>
      </c>
      <c r="Q507" s="20" t="s">
        <v>2057</v>
      </c>
      <c r="R507" s="20"/>
      <c r="S507" s="21" t="str" cm="1">
        <f t="array" ref="S507">IF(
OR(AD507="",ISERROR(AD507)),
"-",
_xlfn.UNIQUE(_xlfn._xlws.FILTER([1]Sheet1!$D$2:$D$200,ISNUMBER(SEARCH(AD507,[1]Sheet1!$D$2:$D$200))))
)</f>
        <v>로지아이솔루션</v>
      </c>
      <c r="T507" s="22" t="s">
        <v>2058</v>
      </c>
      <c r="U507" s="16" t="str" cm="1">
        <f t="array" ref="U507">IF(
OR(AD507="",ISERROR(AD507)),
"-",
_xlfn.UNIQUE(_xlfn._xlws.FILTER([1]Sheet1!$D$2:$D$200,ISNUMBER(SEARCH(AD507,[1]Sheet1!$D$2:$D$200))))
)</f>
        <v>로지아이솔루션</v>
      </c>
      <c r="V507" s="23">
        <v>270000</v>
      </c>
      <c r="W507" s="23">
        <v>259850</v>
      </c>
      <c r="X507" s="23">
        <f t="shared" si="17"/>
        <v>10150</v>
      </c>
      <c r="Y507" s="25" t="s">
        <v>2059</v>
      </c>
      <c r="Z507" s="19" t="s">
        <v>51</v>
      </c>
      <c r="AA507" s="19" t="s">
        <v>81</v>
      </c>
      <c r="AB507" s="18" t="s">
        <v>2060</v>
      </c>
      <c r="AC507" s="17" t="str">
        <f t="shared" si="16"/>
        <v>Y</v>
      </c>
      <c r="AD507" s="17" t="s">
        <v>206</v>
      </c>
      <c r="AE507" s="26">
        <v>0.375</v>
      </c>
      <c r="AF507" s="27"/>
      <c r="AG507" s="27"/>
      <c r="AI507" s="28" t="s">
        <v>57</v>
      </c>
    </row>
    <row r="508" spans="1:35" ht="34.950000000000003" customHeight="1" x14ac:dyDescent="0.4">
      <c r="A508" s="16" t="s">
        <v>36</v>
      </c>
      <c r="B508" s="16" t="s">
        <v>37</v>
      </c>
      <c r="C508" s="17">
        <v>46014</v>
      </c>
      <c r="D508" s="16" t="s">
        <v>188</v>
      </c>
      <c r="E508" s="16" t="s">
        <v>189</v>
      </c>
      <c r="F508" s="16">
        <v>16725</v>
      </c>
      <c r="G508" s="18" t="s">
        <v>1509</v>
      </c>
      <c r="H508" s="16" t="s">
        <v>41</v>
      </c>
      <c r="I508" s="19" t="s">
        <v>328</v>
      </c>
      <c r="J508" s="16" t="str">
        <f>IFERROR(VLOOKUP(I508,[1]Sheet1!$A$1:$B$200,2,0),"_")</f>
        <v>BT</v>
      </c>
      <c r="K508" s="19" t="s">
        <v>328</v>
      </c>
      <c r="L508" s="16" t="str">
        <f>IFERROR(VLOOKUP(K508,[1]Sheet1!$A$1:$B$200,2,0),"-")</f>
        <v>BT</v>
      </c>
      <c r="M508" s="19" t="s">
        <v>191</v>
      </c>
      <c r="N508" s="16" t="str">
        <f>IFERROR(VLOOKUP(M508,[1]Sheet1!$G$2:$H$200,2,0),"-")</f>
        <v>HASL</v>
      </c>
      <c r="O508" s="18" t="s">
        <v>2061</v>
      </c>
      <c r="P508" s="17">
        <v>46015</v>
      </c>
      <c r="Q508" s="20" t="s">
        <v>2062</v>
      </c>
      <c r="R508" s="20" t="s">
        <v>2063</v>
      </c>
      <c r="S508" s="21" t="str" cm="1">
        <f t="array" ref="S508">IF(
OR(AD508="",ISERROR(AD508)),
"-",
_xlfn.UNIQUE(_xlfn._xlws.FILTER([1]Sheet1!$D$2:$D$200,ISNUMBER(SEARCH(AD508,[1]Sheet1!$D$2:$D$200))))
)</f>
        <v>(주)부강에너지</v>
      </c>
      <c r="T508" s="22" t="s">
        <v>2064</v>
      </c>
      <c r="U508" s="16" t="str" cm="1">
        <f t="array" ref="U508">IF(
OR(AD508="",ISERROR(AD508)),
"-",
_xlfn.UNIQUE(_xlfn._xlws.FILTER([1]Sheet1!$D$2:$D$200,ISNUMBER(SEARCH(AD508,[1]Sheet1!$D$2:$D$200))))
)</f>
        <v>(주)부강에너지</v>
      </c>
      <c r="V508" s="23">
        <v>250000</v>
      </c>
      <c r="W508" s="23">
        <v>220000</v>
      </c>
      <c r="X508" s="23">
        <f t="shared" si="17"/>
        <v>30000</v>
      </c>
      <c r="Y508" s="25" t="s">
        <v>2065</v>
      </c>
      <c r="Z508" s="19" t="s">
        <v>51</v>
      </c>
      <c r="AA508" s="19" t="s">
        <v>81</v>
      </c>
      <c r="AB508" s="18" t="s">
        <v>1385</v>
      </c>
      <c r="AC508" s="17" t="str">
        <f t="shared" si="16"/>
        <v>Y</v>
      </c>
      <c r="AD508" s="17" t="s">
        <v>197</v>
      </c>
      <c r="AE508" s="26">
        <v>0.54166666666666663</v>
      </c>
      <c r="AF508" s="27"/>
      <c r="AG508" s="27"/>
      <c r="AI508" s="28" t="s">
        <v>57</v>
      </c>
    </row>
    <row r="509" spans="1:35" ht="34.950000000000003" customHeight="1" x14ac:dyDescent="0.4">
      <c r="A509" s="16" t="s">
        <v>71</v>
      </c>
      <c r="B509" s="16" t="s">
        <v>37</v>
      </c>
      <c r="C509" s="17">
        <v>46014</v>
      </c>
      <c r="D509" s="16" t="s">
        <v>109</v>
      </c>
      <c r="E509" s="16" t="s">
        <v>110</v>
      </c>
      <c r="F509" s="16">
        <v>12650</v>
      </c>
      <c r="G509" s="18" t="s">
        <v>1306</v>
      </c>
      <c r="H509" s="16" t="s">
        <v>41</v>
      </c>
      <c r="I509" s="19" t="s">
        <v>272</v>
      </c>
      <c r="J509" s="16" t="str">
        <f>IFERROR(VLOOKUP(I509,[1]Sheet1!$A$1:$B$200,2,0),"_")</f>
        <v>Z9</v>
      </c>
      <c r="K509" s="19" t="s">
        <v>272</v>
      </c>
      <c r="L509" s="16" t="str">
        <f>IFERROR(VLOOKUP(K509,[1]Sheet1!$A$1:$B$200,2,0),"-")</f>
        <v>Z9</v>
      </c>
      <c r="M509" s="19" t="s">
        <v>77</v>
      </c>
      <c r="N509" s="16" t="str">
        <f>IFERROR(VLOOKUP(M509,[1]Sheet1!$G$2:$H$200,2,0),"-")</f>
        <v>KMTC</v>
      </c>
      <c r="O509" s="18" t="s">
        <v>55</v>
      </c>
      <c r="P509" s="17" t="s">
        <v>55</v>
      </c>
      <c r="Q509" s="20" t="s">
        <v>2066</v>
      </c>
      <c r="R509" s="20"/>
      <c r="S509" s="21" t="str" cm="1">
        <f t="array" ref="S509">IF(
OR(AD509="",ISERROR(AD509)),
"-",
_xlfn.UNIQUE(_xlfn._xlws.FILTER([1]Sheet1!$D$2:$D$200,ISNUMBER(SEARCH(AD509,[1]Sheet1!$D$2:$D$200))))
)</f>
        <v>에스지로지스틱</v>
      </c>
      <c r="T509" s="22" t="s">
        <v>2067</v>
      </c>
      <c r="U509" s="16" t="str" cm="1">
        <f t="array" ref="U509">IF(
OR(AD509="",ISERROR(AD509)),
"-",
_xlfn.UNIQUE(_xlfn._xlws.FILTER([1]Sheet1!$D$2:$D$200,ISNUMBER(SEARCH(AD509,[1]Sheet1!$D$2:$D$200))))
)</f>
        <v>에스지로지스틱</v>
      </c>
      <c r="V509" s="23">
        <v>415000</v>
      </c>
      <c r="W509" s="23">
        <v>388000</v>
      </c>
      <c r="X509" s="23">
        <f t="shared" si="17"/>
        <v>27000</v>
      </c>
      <c r="Y509" s="25" t="s">
        <v>2068</v>
      </c>
      <c r="Z509" s="19" t="s">
        <v>51</v>
      </c>
      <c r="AA509" s="19" t="s">
        <v>115</v>
      </c>
      <c r="AC509" s="17" t="str">
        <f t="shared" si="16"/>
        <v>Y</v>
      </c>
      <c r="AD509" s="17" t="s">
        <v>184</v>
      </c>
      <c r="AE509" s="26">
        <v>0.47916666666666669</v>
      </c>
      <c r="AF509" s="27"/>
      <c r="AG509" s="27"/>
      <c r="AI509" s="28" t="s">
        <v>57</v>
      </c>
    </row>
    <row r="510" spans="1:35" ht="34.950000000000003" customHeight="1" x14ac:dyDescent="0.4">
      <c r="A510" s="16" t="s">
        <v>71</v>
      </c>
      <c r="B510" s="16" t="s">
        <v>37</v>
      </c>
      <c r="C510" s="17">
        <v>46014</v>
      </c>
      <c r="D510" s="16" t="s">
        <v>109</v>
      </c>
      <c r="E510" s="16" t="s">
        <v>110</v>
      </c>
      <c r="F510" s="16">
        <v>12650</v>
      </c>
      <c r="G510" s="18" t="s">
        <v>1306</v>
      </c>
      <c r="H510" s="16" t="s">
        <v>75</v>
      </c>
      <c r="I510" s="19" t="s">
        <v>328</v>
      </c>
      <c r="J510" s="16" t="str">
        <f>IFERROR(VLOOKUP(I510,[1]Sheet1!$A$1:$B$200,2,0),"_")</f>
        <v>BT</v>
      </c>
      <c r="K510" s="19" t="s">
        <v>328</v>
      </c>
      <c r="L510" s="16" t="str">
        <f>IFERROR(VLOOKUP(K510,[1]Sheet1!$A$1:$B$200,2,0),"-")</f>
        <v>BT</v>
      </c>
      <c r="M510" s="19" t="s">
        <v>211</v>
      </c>
      <c r="N510" s="16" t="str">
        <f>IFERROR(VLOOKUP(M510,[1]Sheet1!$G$2:$H$200,2,0),"-")</f>
        <v>SITC</v>
      </c>
      <c r="O510" s="18" t="s">
        <v>55</v>
      </c>
      <c r="P510" s="17" t="s">
        <v>55</v>
      </c>
      <c r="Q510" s="20" t="s">
        <v>2069</v>
      </c>
      <c r="R510" s="20"/>
      <c r="S510" s="21" t="str" cm="1">
        <f t="array" ref="S510">IF(
OR(AD510="",ISERROR(AD510)),
"-",
_xlfn.UNIQUE(_xlfn._xlws.FILTER([1]Sheet1!$D$2:$D$200,ISNUMBER(SEARCH(AD510,[1]Sheet1!$D$2:$D$200))))
)</f>
        <v>에스더블유로지스틱스</v>
      </c>
      <c r="T510" s="22" t="s">
        <v>2070</v>
      </c>
      <c r="U510" s="16" t="str" cm="1">
        <f t="array" ref="U510">IF(
OR(AD510="",ISERROR(AD510)),
"-",
_xlfn.UNIQUE(_xlfn._xlws.FILTER([1]Sheet1!$D$2:$D$200,ISNUMBER(SEARCH(AD510,[1]Sheet1!$D$2:$D$200))))
)</f>
        <v>에스더블유로지스틱스</v>
      </c>
      <c r="V510" s="23">
        <v>365000</v>
      </c>
      <c r="W510" s="23">
        <v>342000</v>
      </c>
      <c r="X510" s="23">
        <f t="shared" si="17"/>
        <v>23000</v>
      </c>
      <c r="Y510" s="25" t="s">
        <v>2071</v>
      </c>
      <c r="Z510" s="19" t="s">
        <v>51</v>
      </c>
      <c r="AA510" s="19" t="s">
        <v>115</v>
      </c>
      <c r="AC510" s="17" t="str">
        <f t="shared" si="16"/>
        <v>Y</v>
      </c>
      <c r="AD510" s="17" t="s">
        <v>1200</v>
      </c>
      <c r="AE510" s="26">
        <v>0.45833333333333331</v>
      </c>
      <c r="AF510" s="27"/>
      <c r="AG510" s="27"/>
      <c r="AI510" s="28" t="s">
        <v>57</v>
      </c>
    </row>
    <row r="511" spans="1:35" ht="34.950000000000003" customHeight="1" x14ac:dyDescent="0.4">
      <c r="A511" s="16" t="s">
        <v>71</v>
      </c>
      <c r="B511" s="16" t="s">
        <v>99</v>
      </c>
      <c r="C511" s="17">
        <v>46014</v>
      </c>
      <c r="D511" s="16" t="s">
        <v>308</v>
      </c>
      <c r="E511" s="16" t="s">
        <v>1030</v>
      </c>
      <c r="F511" s="16">
        <v>28772</v>
      </c>
      <c r="G511" s="18" t="s">
        <v>2072</v>
      </c>
      <c r="H511" s="16" t="s">
        <v>41</v>
      </c>
      <c r="I511" s="19" t="s">
        <v>219</v>
      </c>
      <c r="J511" s="16" t="str">
        <f>IFERROR(VLOOKUP(I511,[1]Sheet1!$A$1:$B$200,2,0),"_")</f>
        <v>NN</v>
      </c>
      <c r="K511" s="19" t="s">
        <v>219</v>
      </c>
      <c r="L511" s="16" t="str">
        <f>IFERROR(VLOOKUP(K511,[1]Sheet1!$A$1:$B$200,2,0),"-")</f>
        <v>NN</v>
      </c>
      <c r="M511" s="19" t="s">
        <v>221</v>
      </c>
      <c r="N511" s="16" t="str">
        <f>IFERROR(VLOOKUP(M511,[1]Sheet1!$G$2:$H$200,2,0),"-")</f>
        <v>DOOW</v>
      </c>
      <c r="O511" s="18" t="s">
        <v>55</v>
      </c>
      <c r="P511" s="17" t="s">
        <v>55</v>
      </c>
      <c r="Q511" s="20" t="s">
        <v>2073</v>
      </c>
      <c r="R511" s="20"/>
      <c r="S511" s="21" t="str" cm="1">
        <f t="array" ref="S511">IF(
OR(AD511="",ISERROR(AD511)),
"-",
_xlfn.UNIQUE(_xlfn._xlws.FILTER([1]Sheet1!$D$2:$D$200,ISNUMBER(SEARCH(AD511,[1]Sheet1!$D$2:$D$200))))
)</f>
        <v>태성종합물류</v>
      </c>
      <c r="T511" s="22" t="s">
        <v>720</v>
      </c>
      <c r="U511" s="16" t="str" cm="1">
        <f t="array" ref="U511">IF(
OR(AD511="",ISERROR(AD511)),
"-",
_xlfn.UNIQUE(_xlfn._xlws.FILTER([1]Sheet1!$D$2:$D$200,ISNUMBER(SEARCH(AD511,[1]Sheet1!$D$2:$D$200))))
)</f>
        <v>태성종합물류</v>
      </c>
      <c r="V511" s="23">
        <v>415000</v>
      </c>
      <c r="W511" s="23">
        <v>388200</v>
      </c>
      <c r="X511" s="23">
        <f t="shared" si="17"/>
        <v>26800</v>
      </c>
      <c r="Y511" s="25" t="s">
        <v>2074</v>
      </c>
      <c r="Z511" s="19" t="s">
        <v>51</v>
      </c>
      <c r="AA511" s="19" t="s">
        <v>93</v>
      </c>
      <c r="AC511" s="17" t="str">
        <f t="shared" si="16"/>
        <v>Y</v>
      </c>
      <c r="AD511" s="17" t="s">
        <v>82</v>
      </c>
      <c r="AE511" s="26">
        <v>0.64583333333333337</v>
      </c>
      <c r="AF511" s="27"/>
      <c r="AG511" s="27"/>
      <c r="AI511" s="28" t="s">
        <v>57</v>
      </c>
    </row>
    <row r="512" spans="1:35" ht="34.950000000000003" customHeight="1" x14ac:dyDescent="0.4">
      <c r="A512" s="16" t="s">
        <v>36</v>
      </c>
      <c r="B512" s="16" t="s">
        <v>37</v>
      </c>
      <c r="C512" s="17">
        <v>46014</v>
      </c>
      <c r="D512" s="16" t="s">
        <v>325</v>
      </c>
      <c r="E512" s="16" t="s">
        <v>2075</v>
      </c>
      <c r="F512" s="16">
        <v>28925</v>
      </c>
      <c r="G512" s="18" t="s">
        <v>2076</v>
      </c>
      <c r="H512" s="16" t="s">
        <v>59</v>
      </c>
      <c r="I512" s="19" t="s">
        <v>1544</v>
      </c>
      <c r="J512" s="16" t="str">
        <f>IFERROR(VLOOKUP(I512,[1]Sheet1!$A$1:$B$200,2,0),"_")</f>
        <v>AN</v>
      </c>
      <c r="K512" s="19" t="s">
        <v>730</v>
      </c>
      <c r="L512" s="16" t="str">
        <f>IFERROR(VLOOKUP(K512,[1]Sheet1!$A$1:$B$200,2,0),"-")</f>
        <v>TG</v>
      </c>
      <c r="M512" s="19" t="s">
        <v>64</v>
      </c>
      <c r="N512" s="16" t="str">
        <f>IFERROR(VLOOKUP(M512,[1]Sheet1!$G$2:$H$200,2,0),"-")</f>
        <v>XXXX</v>
      </c>
      <c r="O512" s="18" t="s">
        <v>55</v>
      </c>
      <c r="P512" s="17" t="s">
        <v>55</v>
      </c>
      <c r="Q512" s="17" t="s">
        <v>65</v>
      </c>
      <c r="R512" s="20" t="s">
        <v>2077</v>
      </c>
      <c r="S512" s="21" t="str" cm="1">
        <f t="array" ref="S512">IF(
OR(AD512="",ISERROR(AD512)),
"-",
_xlfn.UNIQUE(_xlfn._xlws.FILTER([1]Sheet1!$D$2:$D$200,ISNUMBER(SEARCH(AD512,[1]Sheet1!$D$2:$D$200))))
)</f>
        <v>로지스팟 주식회사</v>
      </c>
      <c r="T512" s="22" t="s">
        <v>2078</v>
      </c>
      <c r="U512" s="16" t="str" cm="1">
        <f t="array" ref="U512">IF(
OR(AD512="",ISERROR(AD512)),
"-",
_xlfn.UNIQUE(_xlfn._xlws.FILTER([1]Sheet1!$D$2:$D$200,ISNUMBER(SEARCH(AD512,[1]Sheet1!$D$2:$D$200))))
)</f>
        <v>로지스팟 주식회사</v>
      </c>
      <c r="V512" s="23">
        <v>160000</v>
      </c>
      <c r="W512" s="23">
        <v>140000</v>
      </c>
      <c r="X512" s="23">
        <f t="shared" si="17"/>
        <v>20000</v>
      </c>
      <c r="Y512" s="25" t="s">
        <v>2079</v>
      </c>
      <c r="Z512" s="19" t="s">
        <v>51</v>
      </c>
      <c r="AA512" s="19" t="s">
        <v>93</v>
      </c>
      <c r="AB512" s="105" t="s">
        <v>2080</v>
      </c>
      <c r="AC512" s="17" t="str">
        <f t="shared" si="16"/>
        <v>Y</v>
      </c>
      <c r="AD512" s="17" t="s">
        <v>833</v>
      </c>
      <c r="AF512" s="27"/>
      <c r="AG512" s="27"/>
      <c r="AI512" s="28" t="s">
        <v>57</v>
      </c>
    </row>
    <row r="513" spans="1:35" ht="34.950000000000003" customHeight="1" x14ac:dyDescent="0.4">
      <c r="A513" s="16" t="s">
        <v>36</v>
      </c>
      <c r="B513" s="16" t="s">
        <v>37</v>
      </c>
      <c r="C513" s="17">
        <v>46014</v>
      </c>
      <c r="D513" s="16" t="s">
        <v>109</v>
      </c>
      <c r="E513" s="16" t="s">
        <v>2081</v>
      </c>
      <c r="F513" s="16">
        <v>15203</v>
      </c>
      <c r="G513" s="18" t="s">
        <v>2082</v>
      </c>
      <c r="H513" s="16" t="s">
        <v>41</v>
      </c>
      <c r="I513" s="19" t="s">
        <v>328</v>
      </c>
      <c r="J513" s="16" t="str">
        <f>IFERROR(VLOOKUP(I513,[1]Sheet1!$A$1:$B$200,2,0),"_")</f>
        <v>BT</v>
      </c>
      <c r="K513" s="19" t="s">
        <v>328</v>
      </c>
      <c r="L513" s="16" t="str">
        <f>IFERROR(VLOOKUP(K513,[1]Sheet1!$A$1:$B$200,2,0),"-")</f>
        <v>BT</v>
      </c>
      <c r="M513" s="19" t="s">
        <v>211</v>
      </c>
      <c r="N513" s="16" t="str">
        <f>IFERROR(VLOOKUP(M513,[1]Sheet1!$G$2:$H$200,2,0),"-")</f>
        <v>SITC</v>
      </c>
      <c r="O513" s="18" t="s">
        <v>1782</v>
      </c>
      <c r="P513" s="17">
        <v>46017</v>
      </c>
      <c r="Q513" s="20" t="s">
        <v>2083</v>
      </c>
      <c r="R513" s="20" t="s">
        <v>2084</v>
      </c>
      <c r="S513" s="21" t="str" cm="1">
        <f t="array" ref="S513">IF(
OR(AD513="",ISERROR(AD513)),
"-",
_xlfn.UNIQUE(_xlfn._xlws.FILTER([1]Sheet1!$D$2:$D$200,ISNUMBER(SEARCH(AD513,[1]Sheet1!$D$2:$D$200))))
)</f>
        <v>에스지로지스틱</v>
      </c>
      <c r="T513" s="22" t="s">
        <v>2085</v>
      </c>
      <c r="U513" s="16" t="str" cm="1">
        <f t="array" ref="U513">IF(
OR(AD513="",ISERROR(AD513)),
"-",
_xlfn.UNIQUE(_xlfn._xlws.FILTER([1]Sheet1!$D$2:$D$200,ISNUMBER(SEARCH(AD513,[1]Sheet1!$D$2:$D$200))))
)</f>
        <v>에스지로지스틱</v>
      </c>
      <c r="V513" s="23">
        <v>310000</v>
      </c>
      <c r="W513" s="23">
        <v>296000</v>
      </c>
      <c r="X513" s="23">
        <f t="shared" si="17"/>
        <v>14000</v>
      </c>
      <c r="Y513" s="25" t="s">
        <v>2086</v>
      </c>
      <c r="Z513" s="19" t="s">
        <v>51</v>
      </c>
      <c r="AA513" s="19" t="s">
        <v>115</v>
      </c>
      <c r="AC513" s="17" t="str">
        <f t="shared" si="16"/>
        <v>Y</v>
      </c>
      <c r="AD513" s="17" t="s">
        <v>184</v>
      </c>
      <c r="AE513" s="26">
        <v>0.54166666666666663</v>
      </c>
      <c r="AF513" s="27"/>
      <c r="AG513" s="27"/>
      <c r="AI513" s="28" t="s">
        <v>57</v>
      </c>
    </row>
    <row r="514" spans="1:35" ht="34.950000000000003" customHeight="1" x14ac:dyDescent="0.4">
      <c r="A514" s="16" t="s">
        <v>36</v>
      </c>
      <c r="B514" s="16" t="s">
        <v>37</v>
      </c>
      <c r="C514" s="17">
        <v>46014</v>
      </c>
      <c r="D514" s="16" t="s">
        <v>109</v>
      </c>
      <c r="E514" s="16" t="s">
        <v>2081</v>
      </c>
      <c r="F514" s="16">
        <v>15203</v>
      </c>
      <c r="G514" s="18" t="s">
        <v>2082</v>
      </c>
      <c r="H514" s="16" t="s">
        <v>41</v>
      </c>
      <c r="I514" s="19" t="s">
        <v>328</v>
      </c>
      <c r="J514" s="16" t="str">
        <f>IFERROR(VLOOKUP(I514,[1]Sheet1!$A$1:$B$200,2,0),"_")</f>
        <v>BT</v>
      </c>
      <c r="K514" s="19" t="s">
        <v>328</v>
      </c>
      <c r="L514" s="16" t="str">
        <f>IFERROR(VLOOKUP(K514,[1]Sheet1!$A$1:$B$200,2,0),"-")</f>
        <v>BT</v>
      </c>
      <c r="M514" s="19" t="s">
        <v>211</v>
      </c>
      <c r="N514" s="16" t="str">
        <f>IFERROR(VLOOKUP(M514,[1]Sheet1!$G$2:$H$200,2,0),"-")</f>
        <v>SITC</v>
      </c>
      <c r="O514" s="18" t="s">
        <v>1782</v>
      </c>
      <c r="P514" s="17">
        <v>46017</v>
      </c>
      <c r="Q514" s="20" t="s">
        <v>2087</v>
      </c>
      <c r="R514" s="20" t="s">
        <v>2088</v>
      </c>
      <c r="S514" s="21" t="str" cm="1">
        <f t="array" ref="S514">IF(
OR(AD514="",ISERROR(AD514)),
"-",
_xlfn.UNIQUE(_xlfn._xlws.FILTER([1]Sheet1!$D$2:$D$200,ISNUMBER(SEARCH(AD514,[1]Sheet1!$D$2:$D$200))))
)</f>
        <v>에스지로지스틱</v>
      </c>
      <c r="T514" s="22" t="s">
        <v>2089</v>
      </c>
      <c r="U514" s="16" t="str" cm="1">
        <f t="array" ref="U514">IF(
OR(AD514="",ISERROR(AD514)),
"-",
_xlfn.UNIQUE(_xlfn._xlws.FILTER([1]Sheet1!$D$2:$D$200,ISNUMBER(SEARCH(AD514,[1]Sheet1!$D$2:$D$200))))
)</f>
        <v>에스지로지스틱</v>
      </c>
      <c r="V514" s="23">
        <v>310000</v>
      </c>
      <c r="W514" s="23">
        <v>296000</v>
      </c>
      <c r="X514" s="23">
        <f t="shared" si="17"/>
        <v>14000</v>
      </c>
      <c r="Y514" s="25" t="s">
        <v>2086</v>
      </c>
      <c r="Z514" s="19" t="s">
        <v>51</v>
      </c>
      <c r="AA514" s="19" t="s">
        <v>115</v>
      </c>
      <c r="AC514" s="17" t="str">
        <f t="shared" si="16"/>
        <v>Y</v>
      </c>
      <c r="AD514" s="17" t="s">
        <v>184</v>
      </c>
      <c r="AE514" s="26">
        <v>0.58333333333333337</v>
      </c>
      <c r="AF514" s="27"/>
      <c r="AG514" s="27"/>
      <c r="AI514" s="28" t="s">
        <v>57</v>
      </c>
    </row>
    <row r="515" spans="1:35" ht="34.950000000000003" customHeight="1" x14ac:dyDescent="0.4">
      <c r="A515" s="16" t="s">
        <v>36</v>
      </c>
      <c r="B515" s="16" t="s">
        <v>37</v>
      </c>
      <c r="C515" s="17">
        <v>46014</v>
      </c>
      <c r="D515" s="16" t="s">
        <v>109</v>
      </c>
      <c r="E515" s="16" t="s">
        <v>2081</v>
      </c>
      <c r="F515" s="16">
        <v>15203</v>
      </c>
      <c r="G515" s="18" t="s">
        <v>2082</v>
      </c>
      <c r="H515" s="16" t="s">
        <v>41</v>
      </c>
      <c r="I515" s="19" t="s">
        <v>328</v>
      </c>
      <c r="J515" s="16" t="str">
        <f>IFERROR(VLOOKUP(I515,[1]Sheet1!$A$1:$B$200,2,0),"_")</f>
        <v>BT</v>
      </c>
      <c r="K515" s="19" t="s">
        <v>328</v>
      </c>
      <c r="L515" s="16" t="str">
        <f>IFERROR(VLOOKUP(K515,[1]Sheet1!$A$1:$B$200,2,0),"-")</f>
        <v>BT</v>
      </c>
      <c r="M515" s="19" t="s">
        <v>211</v>
      </c>
      <c r="N515" s="16" t="str">
        <f>IFERROR(VLOOKUP(M515,[1]Sheet1!$G$2:$H$200,2,0),"-")</f>
        <v>SITC</v>
      </c>
      <c r="O515" s="18" t="s">
        <v>1782</v>
      </c>
      <c r="P515" s="17">
        <v>46017</v>
      </c>
      <c r="Q515" s="20" t="s">
        <v>2090</v>
      </c>
      <c r="R515" s="20" t="s">
        <v>2091</v>
      </c>
      <c r="S515" s="21" t="str" cm="1">
        <f t="array" ref="S515">IF(
OR(AD515="",ISERROR(AD515)),
"-",
_xlfn.UNIQUE(_xlfn._xlws.FILTER([1]Sheet1!$D$2:$D$200,ISNUMBER(SEARCH(AD515,[1]Sheet1!$D$2:$D$200))))
)</f>
        <v>에스지로지스틱</v>
      </c>
      <c r="T515" s="22" t="s">
        <v>2092</v>
      </c>
      <c r="U515" s="16" t="str" cm="1">
        <f t="array" ref="U515">IF(
OR(AD515="",ISERROR(AD515)),
"-",
_xlfn.UNIQUE(_xlfn._xlws.FILTER([1]Sheet1!$D$2:$D$200,ISNUMBER(SEARCH(AD515,[1]Sheet1!$D$2:$D$200))))
)</f>
        <v>에스지로지스틱</v>
      </c>
      <c r="V515" s="23">
        <v>310000</v>
      </c>
      <c r="W515" s="23">
        <v>296000</v>
      </c>
      <c r="X515" s="23">
        <f t="shared" si="17"/>
        <v>14000</v>
      </c>
      <c r="Y515" s="25" t="s">
        <v>2086</v>
      </c>
      <c r="Z515" s="19" t="s">
        <v>51</v>
      </c>
      <c r="AA515" s="19" t="s">
        <v>115</v>
      </c>
      <c r="AC515" s="17" t="str">
        <f t="shared" si="16"/>
        <v>Y</v>
      </c>
      <c r="AD515" s="17" t="s">
        <v>184</v>
      </c>
      <c r="AE515" s="26">
        <v>0.625</v>
      </c>
      <c r="AF515" s="27"/>
      <c r="AG515" s="27"/>
      <c r="AI515" s="28" t="s">
        <v>57</v>
      </c>
    </row>
    <row r="516" spans="1:35" ht="34.950000000000003" customHeight="1" x14ac:dyDescent="0.4">
      <c r="A516" s="16" t="s">
        <v>71</v>
      </c>
      <c r="B516" s="16" t="s">
        <v>99</v>
      </c>
      <c r="C516" s="17">
        <v>46014</v>
      </c>
      <c r="D516" s="16" t="s">
        <v>126</v>
      </c>
      <c r="E516" s="16" t="s">
        <v>199</v>
      </c>
      <c r="F516" s="16">
        <v>22141</v>
      </c>
      <c r="G516" s="18" t="s">
        <v>1417</v>
      </c>
      <c r="H516" s="16" t="s">
        <v>41</v>
      </c>
      <c r="I516" s="19" t="s">
        <v>76</v>
      </c>
      <c r="J516" s="16" t="str">
        <f>IFERROR(VLOOKUP(I516,[1]Sheet1!$A$1:$B$200,2,0),"_")</f>
        <v>NJ</v>
      </c>
      <c r="K516" s="19" t="s">
        <v>76</v>
      </c>
      <c r="L516" s="16" t="str">
        <f>IFERROR(VLOOKUP(K516,[1]Sheet1!$A$1:$B$200,2,0),"-")</f>
        <v>NJ</v>
      </c>
      <c r="M516" s="19" t="s">
        <v>2093</v>
      </c>
      <c r="N516" s="16" t="str">
        <f>IFERROR(VLOOKUP(M516,[1]Sheet1!$G$2:$H$200,2,0),"-")</f>
        <v>CUL</v>
      </c>
      <c r="O516" s="18" t="s">
        <v>55</v>
      </c>
      <c r="P516" s="17" t="s">
        <v>55</v>
      </c>
      <c r="Q516" s="20" t="s">
        <v>2094</v>
      </c>
      <c r="R516" s="20"/>
      <c r="S516" s="21" t="str" cm="1">
        <f t="array" ref="S516">IF(
OR(AD516="",ISERROR(AD516)),
"-",
_xlfn.UNIQUE(_xlfn._xlws.FILTER([1]Sheet1!$D$2:$D$200,ISNUMBER(SEARCH(AD516,[1]Sheet1!$D$2:$D$200))))
)</f>
        <v>로지아이솔루션</v>
      </c>
      <c r="T516" s="22" t="s">
        <v>1716</v>
      </c>
      <c r="U516" s="16" t="str" cm="1">
        <f t="array" ref="U516">IF(
OR(AD516="",ISERROR(AD516)),
"-",
_xlfn.UNIQUE(_xlfn._xlws.FILTER([1]Sheet1!$D$2:$D$200,ISNUMBER(SEARCH(AD516,[1]Sheet1!$D$2:$D$200))))
)</f>
        <v>로지아이솔루션</v>
      </c>
      <c r="V516" s="23">
        <v>270000</v>
      </c>
      <c r="W516" s="23">
        <v>259850</v>
      </c>
      <c r="X516" s="23">
        <f t="shared" si="17"/>
        <v>10150</v>
      </c>
      <c r="Y516" s="25" t="s">
        <v>976</v>
      </c>
      <c r="Z516" s="19" t="s">
        <v>51</v>
      </c>
      <c r="AA516" s="19" t="s">
        <v>81</v>
      </c>
      <c r="AB516" s="18" t="s">
        <v>2095</v>
      </c>
      <c r="AC516" s="17" t="str">
        <f t="shared" ref="AC516:AC579" si="18">IF(AI516="ㅇ", "Y", IF(Z516="강다영", "", "Y"))</f>
        <v>Y</v>
      </c>
      <c r="AD516" s="17" t="s">
        <v>206</v>
      </c>
      <c r="AE516" s="26">
        <v>0.5625</v>
      </c>
      <c r="AF516" s="27"/>
      <c r="AG516" s="27"/>
      <c r="AI516" s="28" t="s">
        <v>57</v>
      </c>
    </row>
    <row r="517" spans="1:35" s="104" customFormat="1" ht="34.950000000000003" customHeight="1" x14ac:dyDescent="0.4">
      <c r="A517" s="92" t="s">
        <v>71</v>
      </c>
      <c r="B517" s="92" t="s">
        <v>37</v>
      </c>
      <c r="C517" s="93">
        <v>46014</v>
      </c>
      <c r="D517" s="92" t="s">
        <v>855</v>
      </c>
      <c r="E517" s="92" t="s">
        <v>934</v>
      </c>
      <c r="F517" s="92"/>
      <c r="G517" s="94"/>
      <c r="H517" s="92" t="s">
        <v>41</v>
      </c>
      <c r="I517" s="95"/>
      <c r="J517" s="92" t="str">
        <f>IFERROR(VLOOKUP(I517,[1]Sheet1!$A$1:$B$200,2,0),"_")</f>
        <v>_</v>
      </c>
      <c r="K517" s="95"/>
      <c r="L517" s="92" t="str">
        <f>IFERROR(VLOOKUP(K517,[1]Sheet1!$A$1:$B$200,2,0),"-")</f>
        <v>-</v>
      </c>
      <c r="M517" s="95"/>
      <c r="N517" s="92" t="str">
        <f>IFERROR(VLOOKUP(M517,[1]Sheet1!$G$2:$H$200,2,0),"-")</f>
        <v>-</v>
      </c>
      <c r="O517" s="94"/>
      <c r="P517" s="93"/>
      <c r="Q517" s="96" t="s">
        <v>2096</v>
      </c>
      <c r="R517" s="96"/>
      <c r="S517" s="97" t="str" cm="1">
        <f t="array" ref="S517">IF(
OR(AD517="",ISERROR(AD517)),
"-",
_xlfn.UNIQUE(_xlfn._xlws.FILTER([1]Sheet1!$D$2:$D$200,ISNUMBER(SEARCH(AD517,[1]Sheet1!$D$2:$D$200))))
)</f>
        <v>(주)부강에너지</v>
      </c>
      <c r="T517" s="98"/>
      <c r="U517" s="92" t="str" cm="1">
        <f t="array" ref="U517">IF(
OR(AD517="",ISERROR(AD517)),
"-",
_xlfn.UNIQUE(_xlfn._xlws.FILTER([1]Sheet1!$D$2:$D$200,ISNUMBER(SEARCH(AD517,[1]Sheet1!$D$2:$D$200))))
)</f>
        <v>(주)부강에너지</v>
      </c>
      <c r="V517" s="99"/>
      <c r="W517" s="99"/>
      <c r="X517" s="99">
        <f t="shared" si="17"/>
        <v>0</v>
      </c>
      <c r="Y517" s="100" t="s">
        <v>2097</v>
      </c>
      <c r="Z517" s="95"/>
      <c r="AA517" s="95"/>
      <c r="AB517" s="94" t="s">
        <v>2098</v>
      </c>
      <c r="AC517" s="93" t="str">
        <f t="shared" si="18"/>
        <v>Y</v>
      </c>
      <c r="AD517" s="93" t="s">
        <v>197</v>
      </c>
      <c r="AE517" s="101"/>
      <c r="AF517" s="102"/>
      <c r="AG517" s="102"/>
      <c r="AH517" s="103"/>
      <c r="AI517" s="103"/>
    </row>
    <row r="518" spans="1:35" s="104" customFormat="1" ht="34.799999999999997" customHeight="1" x14ac:dyDescent="0.4">
      <c r="A518" s="92" t="s">
        <v>71</v>
      </c>
      <c r="B518" s="92" t="s">
        <v>37</v>
      </c>
      <c r="C518" s="93">
        <v>46014</v>
      </c>
      <c r="D518" s="92" t="s">
        <v>855</v>
      </c>
      <c r="E518" s="92" t="s">
        <v>934</v>
      </c>
      <c r="F518" s="92"/>
      <c r="G518" s="94"/>
      <c r="H518" s="92" t="s">
        <v>41</v>
      </c>
      <c r="I518" s="95"/>
      <c r="J518" s="92" t="str">
        <f>IFERROR(VLOOKUP(I518,[1]Sheet1!$A$1:$B$200,2,0),"_")</f>
        <v>_</v>
      </c>
      <c r="K518" s="95"/>
      <c r="L518" s="92" t="str">
        <f>IFERROR(VLOOKUP(K518,[1]Sheet1!$A$1:$B$200,2,0),"-")</f>
        <v>-</v>
      </c>
      <c r="M518" s="95"/>
      <c r="N518" s="92" t="str">
        <f>IFERROR(VLOOKUP(M518,[1]Sheet1!$G$2:$H$200,2,0),"-")</f>
        <v>-</v>
      </c>
      <c r="O518" s="94"/>
      <c r="P518" s="93"/>
      <c r="Q518" s="96" t="s">
        <v>2096</v>
      </c>
      <c r="R518" s="96"/>
      <c r="S518" s="97" t="str" cm="1">
        <f t="array" ref="S518">IF(
OR(AD518="",ISERROR(AD518)),
"-",
_xlfn.UNIQUE(_xlfn._xlws.FILTER([1]Sheet1!$D$2:$D$200,ISNUMBER(SEARCH(AD518,[1]Sheet1!$D$2:$D$200))))
)</f>
        <v>(주)부강에너지</v>
      </c>
      <c r="T518" s="98"/>
      <c r="U518" s="92" t="str" cm="1">
        <f t="array" ref="U518">IF(
OR(AD518="",ISERROR(AD518)),
"-",
_xlfn.UNIQUE(_xlfn._xlws.FILTER([1]Sheet1!$D$2:$D$200,ISNUMBER(SEARCH(AD518,[1]Sheet1!$D$2:$D$200))))
)</f>
        <v>(주)부강에너지</v>
      </c>
      <c r="V518" s="99">
        <v>205500</v>
      </c>
      <c r="W518" s="99"/>
      <c r="X518" s="99">
        <f t="shared" ref="X518:X581" si="19">V518-W518</f>
        <v>205500</v>
      </c>
      <c r="Y518" s="100" t="s">
        <v>2099</v>
      </c>
      <c r="Z518" s="95"/>
      <c r="AA518" s="95"/>
      <c r="AB518" s="94" t="s">
        <v>2100</v>
      </c>
      <c r="AC518" s="93" t="str">
        <f t="shared" si="18"/>
        <v>Y</v>
      </c>
      <c r="AD518" s="93" t="s">
        <v>197</v>
      </c>
      <c r="AE518" s="101"/>
      <c r="AF518" s="102"/>
      <c r="AG518" s="102"/>
      <c r="AH518" s="103"/>
      <c r="AI518" s="103"/>
    </row>
    <row r="519" spans="1:35" ht="34.950000000000003" customHeight="1" x14ac:dyDescent="0.4">
      <c r="A519" s="16" t="s">
        <v>71</v>
      </c>
      <c r="B519" s="16" t="s">
        <v>37</v>
      </c>
      <c r="C519" s="17">
        <v>46015</v>
      </c>
      <c r="D519" s="16" t="s">
        <v>855</v>
      </c>
      <c r="E519" s="16" t="s">
        <v>934</v>
      </c>
      <c r="F519" s="16">
        <v>26969</v>
      </c>
      <c r="G519" s="18" t="s">
        <v>2101</v>
      </c>
      <c r="H519" s="16" t="s">
        <v>41</v>
      </c>
      <c r="I519" s="19" t="s">
        <v>42</v>
      </c>
      <c r="J519" s="16" t="str">
        <f>IFERROR(VLOOKUP(I519,[1]Sheet1!$A$1:$B$200,2,0),"_")</f>
        <v>P</v>
      </c>
      <c r="K519" s="19" t="s">
        <v>42</v>
      </c>
      <c r="L519" s="16" t="str">
        <f>IFERROR(VLOOKUP(K519,[1]Sheet1!$A$1:$B$200,2,0),"-")</f>
        <v>P</v>
      </c>
      <c r="M519" s="19" t="s">
        <v>77</v>
      </c>
      <c r="N519" s="16" t="str">
        <f>IFERROR(VLOOKUP(M519,[1]Sheet1!$G$2:$H$200,2,0),"-")</f>
        <v>KMTC</v>
      </c>
      <c r="O519" s="18" t="s">
        <v>55</v>
      </c>
      <c r="P519" s="17" t="s">
        <v>55</v>
      </c>
      <c r="Q519" s="20" t="s">
        <v>2102</v>
      </c>
      <c r="R519" s="20"/>
      <c r="S519" s="21" t="str" cm="1">
        <f t="array" ref="S519">IF(
OR(AD519="",ISERROR(AD519)),
"-",
_xlfn.UNIQUE(_xlfn._xlws.FILTER([1]Sheet1!$D$2:$D$200,ISNUMBER(SEARCH(AD519,[1]Sheet1!$D$2:$D$200))))
)</f>
        <v>에스지로지스틱</v>
      </c>
      <c r="T519" s="22" t="s">
        <v>1216</v>
      </c>
      <c r="U519" s="16" t="str" cm="1">
        <f t="array" ref="U519">IF(
OR(AD519="",ISERROR(AD519)),
"-",
_xlfn.UNIQUE(_xlfn._xlws.FILTER([1]Sheet1!$D$2:$D$200,ISNUMBER(SEARCH(AD519,[1]Sheet1!$D$2:$D$200))))
)</f>
        <v>에스지로지스틱</v>
      </c>
      <c r="V519" s="23">
        <v>310000</v>
      </c>
      <c r="W519" s="23">
        <v>274000</v>
      </c>
      <c r="X519" s="23">
        <f t="shared" si="19"/>
        <v>36000</v>
      </c>
      <c r="Y519" s="25" t="s">
        <v>2103</v>
      </c>
      <c r="Z519" s="19" t="s">
        <v>51</v>
      </c>
      <c r="AA519" s="19" t="s">
        <v>144</v>
      </c>
      <c r="AC519" s="17" t="str">
        <f t="shared" si="18"/>
        <v>Y</v>
      </c>
      <c r="AD519" s="17" t="s">
        <v>184</v>
      </c>
      <c r="AE519" s="26">
        <v>0.35416666666666669</v>
      </c>
      <c r="AF519" s="27"/>
      <c r="AG519" s="27"/>
      <c r="AI519" s="28" t="s">
        <v>57</v>
      </c>
    </row>
    <row r="520" spans="1:35" ht="34.799999999999997" customHeight="1" x14ac:dyDescent="0.4">
      <c r="A520" s="16" t="s">
        <v>71</v>
      </c>
      <c r="B520" s="16" t="s">
        <v>99</v>
      </c>
      <c r="C520" s="17">
        <v>46015</v>
      </c>
      <c r="D520" s="16" t="s">
        <v>126</v>
      </c>
      <c r="E520" s="16" t="s">
        <v>199</v>
      </c>
      <c r="F520" s="16">
        <v>22141</v>
      </c>
      <c r="G520" s="18" t="s">
        <v>1921</v>
      </c>
      <c r="H520" s="16" t="s">
        <v>41</v>
      </c>
      <c r="I520" s="19" t="s">
        <v>76</v>
      </c>
      <c r="J520" s="16" t="str">
        <f>IFERROR(VLOOKUP(I520,[1]Sheet1!$A$1:$B$200,2,0),"_")</f>
        <v>NJ</v>
      </c>
      <c r="K520" s="19" t="s">
        <v>76</v>
      </c>
      <c r="L520" s="16" t="str">
        <f>IFERROR(VLOOKUP(K520,[1]Sheet1!$A$1:$B$200,2,0),"-")</f>
        <v>NJ</v>
      </c>
      <c r="M520" s="19" t="s">
        <v>211</v>
      </c>
      <c r="N520" s="16" t="str">
        <f>IFERROR(VLOOKUP(M520,[1]Sheet1!$G$2:$H$200,2,0),"-")</f>
        <v>SITC</v>
      </c>
      <c r="O520" s="18" t="s">
        <v>55</v>
      </c>
      <c r="P520" s="17" t="s">
        <v>55</v>
      </c>
      <c r="Q520" s="20" t="s">
        <v>2104</v>
      </c>
      <c r="R520" s="20"/>
      <c r="S520" s="21" t="str" cm="1">
        <f t="array" ref="S520">IF(
OR(AD520="",ISERROR(AD520)),
"-",
_xlfn.UNIQUE(_xlfn._xlws.FILTER([1]Sheet1!$D$2:$D$200,ISNUMBER(SEARCH(AD520,[1]Sheet1!$D$2:$D$200))))
)</f>
        <v>로지아이솔루션</v>
      </c>
      <c r="T520" s="22" t="s">
        <v>568</v>
      </c>
      <c r="U520" s="16" t="str" cm="1">
        <f t="array" ref="U520">IF(
OR(AD520="",ISERROR(AD520)),
"-",
_xlfn.UNIQUE(_xlfn._xlws.FILTER([1]Sheet1!$D$2:$D$200,ISNUMBER(SEARCH(AD520,[1]Sheet1!$D$2:$D$200))))
)</f>
        <v>로지아이솔루션</v>
      </c>
      <c r="V520" s="23">
        <v>270000</v>
      </c>
      <c r="W520" s="23">
        <v>259850</v>
      </c>
      <c r="X520" s="23">
        <f t="shared" si="19"/>
        <v>10150</v>
      </c>
      <c r="Y520" s="25" t="s">
        <v>2105</v>
      </c>
      <c r="Z520" s="19" t="s">
        <v>51</v>
      </c>
      <c r="AA520" s="19" t="s">
        <v>81</v>
      </c>
      <c r="AB520" s="18" t="s">
        <v>2106</v>
      </c>
      <c r="AC520" s="17" t="str">
        <f t="shared" si="18"/>
        <v>Y</v>
      </c>
      <c r="AD520" s="17" t="s">
        <v>206</v>
      </c>
      <c r="AE520" s="26">
        <v>0.35416666666666669</v>
      </c>
      <c r="AF520" s="27"/>
      <c r="AG520" s="27"/>
      <c r="AI520" s="28" t="s">
        <v>228</v>
      </c>
    </row>
    <row r="521" spans="1:35" s="104" customFormat="1" ht="34.200000000000003" customHeight="1" x14ac:dyDescent="0.4">
      <c r="A521" s="92" t="s">
        <v>36</v>
      </c>
      <c r="B521" s="92" t="s">
        <v>37</v>
      </c>
      <c r="C521" s="93">
        <v>46015</v>
      </c>
      <c r="D521" s="92" t="s">
        <v>229</v>
      </c>
      <c r="E521" s="92" t="s">
        <v>229</v>
      </c>
      <c r="F521" s="92">
        <v>3641</v>
      </c>
      <c r="G521" s="94" t="s">
        <v>1933</v>
      </c>
      <c r="H521" s="92" t="s">
        <v>41</v>
      </c>
      <c r="I521" s="95" t="s">
        <v>2107</v>
      </c>
      <c r="J521" s="92" t="str">
        <f>IFERROR(VLOOKUP(I521,[1]Sheet1!$A$1:$B$200,2,0),"_")</f>
        <v>F2</v>
      </c>
      <c r="K521" s="95" t="s">
        <v>42</v>
      </c>
      <c r="L521" s="92" t="str">
        <f>IFERROR(VLOOKUP(K521,[1]Sheet1!$A$1:$B$200,2,0),"-")</f>
        <v>P</v>
      </c>
      <c r="M521" s="95" t="s">
        <v>191</v>
      </c>
      <c r="N521" s="92" t="str">
        <f>IFERROR(VLOOKUP(M521,[1]Sheet1!$G$2:$H$200,2,0),"-")</f>
        <v>HASL</v>
      </c>
      <c r="O521" s="94" t="s">
        <v>2108</v>
      </c>
      <c r="P521" s="93">
        <v>46024</v>
      </c>
      <c r="Q521" s="96" t="s">
        <v>2109</v>
      </c>
      <c r="R521" s="96" t="s">
        <v>2110</v>
      </c>
      <c r="S521" s="97" t="str" cm="1">
        <f t="array" ref="S521">IF(
OR(AD521="",ISERROR(AD521)),
"-",
_xlfn.UNIQUE(_xlfn._xlws.FILTER([1]Sheet1!$D$2:$D$200,ISNUMBER(SEARCH(AD521,[1]Sheet1!$D$2:$D$200))))
)</f>
        <v>(주)부강에너지</v>
      </c>
      <c r="T521" s="98" t="s">
        <v>937</v>
      </c>
      <c r="U521" s="92" t="str" cm="1">
        <f t="array" ref="U521">IF(
OR(AD521="",ISERROR(AD521)),
"-",
_xlfn.UNIQUE(_xlfn._xlws.FILTER([1]Sheet1!$D$2:$D$200,ISNUMBER(SEARCH(AD521,[1]Sheet1!$D$2:$D$200))))
)</f>
        <v>(주)부강에너지</v>
      </c>
      <c r="V521" s="99">
        <v>1200000</v>
      </c>
      <c r="W521" s="99">
        <v>963900</v>
      </c>
      <c r="X521" s="99">
        <f t="shared" si="19"/>
        <v>236100</v>
      </c>
      <c r="Y521" s="100" t="s">
        <v>2111</v>
      </c>
      <c r="Z521" s="95" t="s">
        <v>51</v>
      </c>
      <c r="AA521" s="95" t="s">
        <v>81</v>
      </c>
      <c r="AB521" s="94" t="s">
        <v>2112</v>
      </c>
      <c r="AC521" s="93" t="str">
        <f t="shared" si="18"/>
        <v>Y</v>
      </c>
      <c r="AD521" s="93" t="s">
        <v>197</v>
      </c>
      <c r="AE521" s="101">
        <v>0.375</v>
      </c>
      <c r="AF521" s="102"/>
      <c r="AG521" s="102"/>
      <c r="AH521" s="103"/>
      <c r="AI521" s="106" t="s">
        <v>228</v>
      </c>
    </row>
    <row r="522" spans="1:35" s="104" customFormat="1" ht="34.950000000000003" customHeight="1" x14ac:dyDescent="0.4">
      <c r="A522" s="92" t="s">
        <v>36</v>
      </c>
      <c r="B522" s="92" t="s">
        <v>37</v>
      </c>
      <c r="C522" s="93">
        <v>46015</v>
      </c>
      <c r="D522" s="92" t="s">
        <v>229</v>
      </c>
      <c r="E522" s="92" t="s">
        <v>229</v>
      </c>
      <c r="F522" s="92">
        <v>3641</v>
      </c>
      <c r="G522" s="94" t="s">
        <v>1933</v>
      </c>
      <c r="H522" s="92" t="s">
        <v>41</v>
      </c>
      <c r="I522" s="95" t="s">
        <v>2107</v>
      </c>
      <c r="J522" s="92" t="str">
        <f>IFERROR(VLOOKUP(I522,[1]Sheet1!$A$1:$B$200,2,0),"_")</f>
        <v>F2</v>
      </c>
      <c r="K522" s="95" t="s">
        <v>42</v>
      </c>
      <c r="L522" s="92" t="str">
        <f>IFERROR(VLOOKUP(K522,[1]Sheet1!$A$1:$B$200,2,0),"-")</f>
        <v>P</v>
      </c>
      <c r="M522" s="95" t="s">
        <v>191</v>
      </c>
      <c r="N522" s="92" t="str">
        <f>IFERROR(VLOOKUP(M522,[1]Sheet1!$G$2:$H$200,2,0),"-")</f>
        <v>HASL</v>
      </c>
      <c r="O522" s="94" t="s">
        <v>2108</v>
      </c>
      <c r="P522" s="93">
        <v>46024</v>
      </c>
      <c r="Q522" s="96" t="s">
        <v>2109</v>
      </c>
      <c r="R522" s="96" t="s">
        <v>2110</v>
      </c>
      <c r="S522" s="97" t="str" cm="1">
        <f t="array" ref="S522">IF(
OR(AD522="",ISERROR(AD522)),
"-",
_xlfn.UNIQUE(_xlfn._xlws.FILTER([1]Sheet1!$D$2:$D$200,ISNUMBER(SEARCH(AD522,[1]Sheet1!$D$2:$D$200))))
)</f>
        <v>(주)부강에너지</v>
      </c>
      <c r="T522" s="98" t="s">
        <v>937</v>
      </c>
      <c r="U522" s="92" t="str" cm="1">
        <f t="array" ref="U522">IF(
OR(AD522="",ISERROR(AD522)),
"-",
_xlfn.UNIQUE(_xlfn._xlws.FILTER([1]Sheet1!$D$2:$D$200,ISNUMBER(SEARCH(AD522,[1]Sheet1!$D$2:$D$200))))
)</f>
        <v>(주)부강에너지</v>
      </c>
      <c r="V522" s="99">
        <v>100000</v>
      </c>
      <c r="W522" s="99"/>
      <c r="X522" s="99">
        <f t="shared" si="19"/>
        <v>100000</v>
      </c>
      <c r="Y522" s="100" t="s">
        <v>2113</v>
      </c>
      <c r="Z522" s="95" t="s">
        <v>51</v>
      </c>
      <c r="AA522" s="95" t="s">
        <v>81</v>
      </c>
      <c r="AB522" s="94" t="s">
        <v>2114</v>
      </c>
      <c r="AC522" s="93" t="str">
        <f t="shared" si="18"/>
        <v>Y</v>
      </c>
      <c r="AD522" s="93" t="s">
        <v>197</v>
      </c>
      <c r="AE522" s="101">
        <v>0.375</v>
      </c>
      <c r="AF522" s="102"/>
      <c r="AG522" s="102"/>
      <c r="AH522" s="103"/>
      <c r="AI522" s="106" t="s">
        <v>228</v>
      </c>
    </row>
    <row r="523" spans="1:35" s="104" customFormat="1" ht="34.200000000000003" customHeight="1" x14ac:dyDescent="0.4">
      <c r="A523" s="92" t="s">
        <v>36</v>
      </c>
      <c r="B523" s="92" t="s">
        <v>37</v>
      </c>
      <c r="C523" s="93">
        <v>46015</v>
      </c>
      <c r="D523" s="92" t="s">
        <v>229</v>
      </c>
      <c r="E523" s="92" t="s">
        <v>229</v>
      </c>
      <c r="F523" s="92">
        <v>3641</v>
      </c>
      <c r="G523" s="94" t="s">
        <v>1933</v>
      </c>
      <c r="H523" s="92" t="s">
        <v>41</v>
      </c>
      <c r="I523" s="95" t="s">
        <v>2107</v>
      </c>
      <c r="J523" s="92" t="str">
        <f>IFERROR(VLOOKUP(I523,[1]Sheet1!$A$1:$B$200,2,0),"_")</f>
        <v>F2</v>
      </c>
      <c r="K523" s="95" t="s">
        <v>42</v>
      </c>
      <c r="L523" s="92" t="str">
        <f>IFERROR(VLOOKUP(K523,[1]Sheet1!$A$1:$B$200,2,0),"-")</f>
        <v>P</v>
      </c>
      <c r="M523" s="95" t="s">
        <v>191</v>
      </c>
      <c r="N523" s="92" t="str">
        <f>IFERROR(VLOOKUP(M523,[1]Sheet1!$G$2:$H$200,2,0),"-")</f>
        <v>HASL</v>
      </c>
      <c r="O523" s="94" t="s">
        <v>2108</v>
      </c>
      <c r="P523" s="93">
        <v>46024</v>
      </c>
      <c r="Q523" s="96" t="s">
        <v>2109</v>
      </c>
      <c r="R523" s="96" t="s">
        <v>2110</v>
      </c>
      <c r="S523" s="97" t="str" cm="1">
        <f t="array" ref="S523">IF(
OR(AD523="",ISERROR(AD523)),
"-",
_xlfn.UNIQUE(_xlfn._xlws.FILTER([1]Sheet1!$D$2:$D$200,ISNUMBER(SEARCH(AD523,[1]Sheet1!$D$2:$D$200))))
)</f>
        <v>디앤케이물류</v>
      </c>
      <c r="T523" s="98" t="s">
        <v>937</v>
      </c>
      <c r="U523" s="92" t="str" cm="1">
        <f t="array" ref="U523">IF(
OR(AD523="",ISERROR(AD523)),
"-",
_xlfn.UNIQUE(_xlfn._xlws.FILTER([1]Sheet1!$D$2:$D$200,ISNUMBER(SEARCH(AD523,[1]Sheet1!$D$2:$D$200))))
)</f>
        <v>디앤케이물류</v>
      </c>
      <c r="V523" s="99">
        <v>215000</v>
      </c>
      <c r="W523" s="99">
        <v>175000</v>
      </c>
      <c r="X523" s="99">
        <f t="shared" si="19"/>
        <v>40000</v>
      </c>
      <c r="Y523" s="100" t="s">
        <v>2115</v>
      </c>
      <c r="Z523" s="95" t="s">
        <v>51</v>
      </c>
      <c r="AA523" s="95" t="s">
        <v>81</v>
      </c>
      <c r="AB523" s="94" t="s">
        <v>2112</v>
      </c>
      <c r="AC523" s="93" t="str">
        <f t="shared" si="18"/>
        <v>Y</v>
      </c>
      <c r="AD523" s="93" t="s">
        <v>292</v>
      </c>
      <c r="AE523" s="101">
        <v>0.375</v>
      </c>
      <c r="AF523" s="102" t="s">
        <v>2116</v>
      </c>
      <c r="AG523" s="102" t="s">
        <v>2117</v>
      </c>
      <c r="AH523" s="103"/>
      <c r="AI523" s="106" t="s">
        <v>228</v>
      </c>
    </row>
    <row r="524" spans="1:35" ht="34.950000000000003" customHeight="1" x14ac:dyDescent="0.4">
      <c r="A524" s="16" t="s">
        <v>36</v>
      </c>
      <c r="B524" s="16" t="s">
        <v>99</v>
      </c>
      <c r="C524" s="17">
        <v>46015</v>
      </c>
      <c r="D524" s="16" t="s">
        <v>72</v>
      </c>
      <c r="E524" s="16" t="s">
        <v>914</v>
      </c>
      <c r="F524" s="16">
        <v>5981</v>
      </c>
      <c r="G524" s="18" t="s">
        <v>921</v>
      </c>
      <c r="H524" s="16" t="s">
        <v>41</v>
      </c>
      <c r="I524" s="19" t="s">
        <v>219</v>
      </c>
      <c r="J524" s="16" t="str">
        <f>IFERROR(VLOOKUP(I524,[1]Sheet1!$A$1:$B$200,2,0),"_")</f>
        <v>NN</v>
      </c>
      <c r="K524" s="19" t="s">
        <v>219</v>
      </c>
      <c r="L524" s="16" t="str">
        <f>IFERROR(VLOOKUP(K524,[1]Sheet1!$A$1:$B$200,2,0),"-")</f>
        <v>NN</v>
      </c>
      <c r="M524" s="19" t="s">
        <v>667</v>
      </c>
      <c r="N524" s="16" t="str">
        <f>IFERROR(VLOOKUP(M524,[1]Sheet1!$G$2:$H$200,2,0),"-")</f>
        <v>CKCO</v>
      </c>
      <c r="O524" s="18" t="s">
        <v>2118</v>
      </c>
      <c r="P524" s="17">
        <v>46020</v>
      </c>
      <c r="Q524" s="20" t="s">
        <v>2119</v>
      </c>
      <c r="R524" s="20" t="s">
        <v>2120</v>
      </c>
      <c r="S524" s="21" t="str" cm="1">
        <f t="array" ref="S524">IF(
OR(AD524="",ISERROR(AD524)),
"-",
_xlfn.UNIQUE(_xlfn._xlws.FILTER([1]Sheet1!$D$2:$D$200,ISNUMBER(SEARCH(AD524,[1]Sheet1!$D$2:$D$200))))
)</f>
        <v>태성종합물류</v>
      </c>
      <c r="T524" s="22" t="s">
        <v>715</v>
      </c>
      <c r="U524" s="16" t="str" cm="1">
        <f t="array" ref="U524">IF(
OR(AD524="",ISERROR(AD524)),
"-",
_xlfn.UNIQUE(_xlfn._xlws.FILTER([1]Sheet1!$D$2:$D$200,ISNUMBER(SEARCH(AD524,[1]Sheet1!$D$2:$D$200))))
)</f>
        <v>태성종합물류</v>
      </c>
      <c r="V524" s="23">
        <v>525000</v>
      </c>
      <c r="W524" s="23">
        <v>508700</v>
      </c>
      <c r="X524" s="23">
        <f t="shared" si="19"/>
        <v>16300</v>
      </c>
      <c r="Y524" s="25" t="s">
        <v>2121</v>
      </c>
      <c r="Z524" s="19" t="s">
        <v>51</v>
      </c>
      <c r="AA524" s="19" t="s">
        <v>81</v>
      </c>
      <c r="AC524" s="17" t="str">
        <f t="shared" si="18"/>
        <v>Y</v>
      </c>
      <c r="AD524" s="17" t="s">
        <v>82</v>
      </c>
      <c r="AE524" s="26">
        <v>0.5</v>
      </c>
      <c r="AF524" s="27"/>
      <c r="AG524" s="27"/>
      <c r="AI524" s="28" t="s">
        <v>228</v>
      </c>
    </row>
    <row r="525" spans="1:35" ht="34.950000000000003" customHeight="1" x14ac:dyDescent="0.4">
      <c r="A525" s="16" t="s">
        <v>36</v>
      </c>
      <c r="B525" s="16" t="s">
        <v>99</v>
      </c>
      <c r="C525" s="17">
        <v>46015</v>
      </c>
      <c r="D525" s="16" t="s">
        <v>72</v>
      </c>
      <c r="E525" s="16" t="s">
        <v>914</v>
      </c>
      <c r="F525" s="16">
        <v>5981</v>
      </c>
      <c r="G525" s="18" t="s">
        <v>921</v>
      </c>
      <c r="H525" s="16" t="s">
        <v>75</v>
      </c>
      <c r="I525" s="19" t="s">
        <v>219</v>
      </c>
      <c r="J525" s="16" t="str">
        <f>IFERROR(VLOOKUP(I525,[1]Sheet1!$A$1:$B$200,2,0),"_")</f>
        <v>NN</v>
      </c>
      <c r="K525" s="19" t="s">
        <v>219</v>
      </c>
      <c r="L525" s="16" t="str">
        <f>IFERROR(VLOOKUP(K525,[1]Sheet1!$A$1:$B$200,2,0),"-")</f>
        <v>NN</v>
      </c>
      <c r="M525" s="19" t="s">
        <v>667</v>
      </c>
      <c r="N525" s="16" t="str">
        <f>IFERROR(VLOOKUP(M525,[1]Sheet1!$G$2:$H$200,2,0),"-")</f>
        <v>CKCO</v>
      </c>
      <c r="O525" s="18" t="s">
        <v>2118</v>
      </c>
      <c r="P525" s="17">
        <v>46020</v>
      </c>
      <c r="Q525" s="20" t="s">
        <v>2122</v>
      </c>
      <c r="R525" s="20" t="s">
        <v>2123</v>
      </c>
      <c r="S525" s="21" t="str" cm="1">
        <f t="array" ref="S525">IF(
OR(AD525="",ISERROR(AD525)),
"-",
_xlfn.UNIQUE(_xlfn._xlws.FILTER([1]Sheet1!$D$2:$D$200,ISNUMBER(SEARCH(AD525,[1]Sheet1!$D$2:$D$200))))
)</f>
        <v>태성종합물류</v>
      </c>
      <c r="T525" s="22" t="s">
        <v>2124</v>
      </c>
      <c r="U525" s="16" t="str" cm="1">
        <f t="array" ref="U525">IF(
OR(AD525="",ISERROR(AD525)),
"-",
_xlfn.UNIQUE(_xlfn._xlws.FILTER([1]Sheet1!$D$2:$D$200,ISNUMBER(SEARCH(AD525,[1]Sheet1!$D$2:$D$200))))
)</f>
        <v>태성종합물류</v>
      </c>
      <c r="V525" s="23">
        <v>461000</v>
      </c>
      <c r="W525" s="23">
        <v>445600</v>
      </c>
      <c r="X525" s="23">
        <f t="shared" si="19"/>
        <v>15400</v>
      </c>
      <c r="Y525" s="25" t="s">
        <v>2121</v>
      </c>
      <c r="Z525" s="19" t="s">
        <v>51</v>
      </c>
      <c r="AA525" s="19" t="s">
        <v>81</v>
      </c>
      <c r="AC525" s="17" t="str">
        <f t="shared" si="18"/>
        <v>Y</v>
      </c>
      <c r="AD525" s="17" t="s">
        <v>82</v>
      </c>
      <c r="AE525" s="26">
        <v>0.52083333333333337</v>
      </c>
      <c r="AF525" s="27"/>
      <c r="AG525" s="27"/>
      <c r="AI525" s="28" t="s">
        <v>228</v>
      </c>
    </row>
    <row r="526" spans="1:35" ht="34.950000000000003" customHeight="1" x14ac:dyDescent="0.4">
      <c r="A526" s="16" t="s">
        <v>36</v>
      </c>
      <c r="B526" s="16" t="s">
        <v>99</v>
      </c>
      <c r="C526" s="17">
        <v>46015</v>
      </c>
      <c r="D526" s="16" t="s">
        <v>216</v>
      </c>
      <c r="E526" s="16" t="s">
        <v>217</v>
      </c>
      <c r="F526" s="16">
        <v>26907</v>
      </c>
      <c r="G526" s="18" t="s">
        <v>2125</v>
      </c>
      <c r="H526" s="16" t="s">
        <v>41</v>
      </c>
      <c r="I526" s="19" t="s">
        <v>99</v>
      </c>
      <c r="J526" s="16" t="str">
        <f>IFERROR(VLOOKUP(I526,[1]Sheet1!$A$1:$B$200,2,0),"_")</f>
        <v>IX</v>
      </c>
      <c r="K526" s="19" t="s">
        <v>220</v>
      </c>
      <c r="L526" s="16">
        <f>IFERROR(VLOOKUP(K526,[1]Sheet1!$A$1:$B$200,2,0),"-")</f>
        <v>81</v>
      </c>
      <c r="M526" s="19" t="s">
        <v>2126</v>
      </c>
      <c r="N526" s="16" t="str">
        <f>IFERROR(VLOOKUP(M526,[1]Sheet1!$G$2:$H$200,2,0),"-")</f>
        <v>DDMS</v>
      </c>
      <c r="O526" s="18" t="s">
        <v>2127</v>
      </c>
      <c r="P526" s="17">
        <v>46015</v>
      </c>
      <c r="Q526" s="20" t="s">
        <v>2128</v>
      </c>
      <c r="R526" s="20" t="s">
        <v>2129</v>
      </c>
      <c r="S526" s="21" t="str" cm="1">
        <f t="array" ref="S526">IF(
OR(AD526="",ISERROR(AD526)),
"-",
_xlfn.UNIQUE(_xlfn._xlws.FILTER([1]Sheet1!$D$2:$D$200,ISNUMBER(SEARCH(AD526,[1]Sheet1!$D$2:$D$200))))
)</f>
        <v>태성종합물류</v>
      </c>
      <c r="T526" s="22" t="s">
        <v>1130</v>
      </c>
      <c r="U526" s="16" t="str" cm="1">
        <f t="array" ref="U526">IF(
OR(AD526="",ISERROR(AD526)),
"-",
_xlfn.UNIQUE(_xlfn._xlws.FILTER([1]Sheet1!$D$2:$D$200,ISNUMBER(SEARCH(AD526,[1]Sheet1!$D$2:$D$200))))
)</f>
        <v>태성종합물류</v>
      </c>
      <c r="V526" s="23">
        <v>247000</v>
      </c>
      <c r="W526" s="23">
        <v>229700</v>
      </c>
      <c r="X526" s="23">
        <f t="shared" si="19"/>
        <v>17300</v>
      </c>
      <c r="Y526" s="25" t="s">
        <v>2130</v>
      </c>
      <c r="Z526" s="19" t="s">
        <v>51</v>
      </c>
      <c r="AA526" s="19" t="s">
        <v>93</v>
      </c>
      <c r="AC526" s="17" t="str">
        <f t="shared" si="18"/>
        <v>Y</v>
      </c>
      <c r="AD526" s="17" t="s">
        <v>82</v>
      </c>
      <c r="AE526" s="26">
        <v>0.33333333333333331</v>
      </c>
      <c r="AF526" s="27"/>
      <c r="AG526" s="27"/>
      <c r="AI526" s="28" t="s">
        <v>228</v>
      </c>
    </row>
    <row r="527" spans="1:35" ht="34.950000000000003" customHeight="1" x14ac:dyDescent="0.4">
      <c r="A527" s="16" t="s">
        <v>36</v>
      </c>
      <c r="B527" s="16" t="s">
        <v>99</v>
      </c>
      <c r="C527" s="17">
        <v>46015</v>
      </c>
      <c r="D527" s="16" t="s">
        <v>216</v>
      </c>
      <c r="E527" s="16" t="s">
        <v>217</v>
      </c>
      <c r="F527" s="16">
        <v>26907</v>
      </c>
      <c r="G527" s="18" t="s">
        <v>2125</v>
      </c>
      <c r="H527" s="16" t="s">
        <v>41</v>
      </c>
      <c r="I527" s="19" t="s">
        <v>99</v>
      </c>
      <c r="J527" s="16" t="str">
        <f>IFERROR(VLOOKUP(I527,[1]Sheet1!$A$1:$B$200,2,0),"_")</f>
        <v>IX</v>
      </c>
      <c r="K527" s="19" t="s">
        <v>220</v>
      </c>
      <c r="L527" s="16">
        <f>IFERROR(VLOOKUP(K527,[1]Sheet1!$A$1:$B$200,2,0),"-")</f>
        <v>81</v>
      </c>
      <c r="M527" s="19" t="s">
        <v>2126</v>
      </c>
      <c r="N527" s="16" t="str">
        <f>IFERROR(VLOOKUP(M527,[1]Sheet1!$G$2:$H$200,2,0),"-")</f>
        <v>DDMS</v>
      </c>
      <c r="O527" s="18" t="s">
        <v>2127</v>
      </c>
      <c r="P527" s="17">
        <v>46015</v>
      </c>
      <c r="Q527" s="20" t="s">
        <v>2128</v>
      </c>
      <c r="R527" s="20" t="s">
        <v>2129</v>
      </c>
      <c r="S527" s="21" t="str" cm="1">
        <f t="array" ref="S527">IF(
OR(AD527="",ISERROR(AD527)),
"-",
_xlfn.UNIQUE(_xlfn._xlws.FILTER([1]Sheet1!$D$2:$D$200,ISNUMBER(SEARCH(AD527,[1]Sheet1!$D$2:$D$200))))
)</f>
        <v>태성종합물류</v>
      </c>
      <c r="T527" s="22" t="s">
        <v>1130</v>
      </c>
      <c r="U527" s="16" t="str" cm="1">
        <f t="array" ref="U527">IF(
OR(AD527="",ISERROR(AD527)),
"-",
_xlfn.UNIQUE(_xlfn._xlws.FILTER([1]Sheet1!$D$2:$D$200,ISNUMBER(SEARCH(AD527,[1]Sheet1!$D$2:$D$200))))
)</f>
        <v>태성종합물류</v>
      </c>
      <c r="V527" s="23">
        <v>10000</v>
      </c>
      <c r="W527" s="23">
        <v>10000</v>
      </c>
      <c r="X527" s="23">
        <f t="shared" si="19"/>
        <v>0</v>
      </c>
      <c r="Y527" s="25" t="s">
        <v>2131</v>
      </c>
      <c r="Z527" s="19" t="s">
        <v>51</v>
      </c>
      <c r="AA527" s="19" t="s">
        <v>93</v>
      </c>
      <c r="AC527" s="17" t="str">
        <f t="shared" si="18"/>
        <v>Y</v>
      </c>
      <c r="AD527" s="17" t="s">
        <v>82</v>
      </c>
      <c r="AE527" s="26">
        <v>0.33333333333333331</v>
      </c>
      <c r="AF527" s="27"/>
      <c r="AG527" s="27"/>
      <c r="AI527" s="28" t="s">
        <v>228</v>
      </c>
    </row>
    <row r="528" spans="1:35" ht="34.950000000000003" customHeight="1" x14ac:dyDescent="0.4">
      <c r="A528" s="16" t="s">
        <v>36</v>
      </c>
      <c r="B528" s="16" t="s">
        <v>99</v>
      </c>
      <c r="C528" s="17">
        <v>46015</v>
      </c>
      <c r="D528" s="16" t="s">
        <v>216</v>
      </c>
      <c r="E528" s="16" t="s">
        <v>217</v>
      </c>
      <c r="F528" s="16">
        <v>26907</v>
      </c>
      <c r="G528" s="18" t="s">
        <v>2125</v>
      </c>
      <c r="H528" s="16" t="s">
        <v>41</v>
      </c>
      <c r="I528" s="19" t="s">
        <v>99</v>
      </c>
      <c r="J528" s="16" t="str">
        <f>IFERROR(VLOOKUP(I528,[1]Sheet1!$A$1:$B$200,2,0),"_")</f>
        <v>IX</v>
      </c>
      <c r="K528" s="19" t="s">
        <v>220</v>
      </c>
      <c r="L528" s="16">
        <f>IFERROR(VLOOKUP(K528,[1]Sheet1!$A$1:$B$200,2,0),"-")</f>
        <v>81</v>
      </c>
      <c r="M528" s="19" t="s">
        <v>221</v>
      </c>
      <c r="N528" s="16" t="str">
        <f>IFERROR(VLOOKUP(M528,[1]Sheet1!$G$2:$H$200,2,0),"-")</f>
        <v>DOOW</v>
      </c>
      <c r="O528" s="18" t="s">
        <v>2132</v>
      </c>
      <c r="P528" s="17">
        <v>46016</v>
      </c>
      <c r="Q528" s="20" t="s">
        <v>2133</v>
      </c>
      <c r="R528" s="20" t="s">
        <v>2134</v>
      </c>
      <c r="S528" s="21" t="str" cm="1">
        <f t="array" ref="S528">IF(
OR(AD528="",ISERROR(AD528)),
"-",
_xlfn.UNIQUE(_xlfn._xlws.FILTER([1]Sheet1!$D$2:$D$200,ISNUMBER(SEARCH(AD528,[1]Sheet1!$D$2:$D$200))))
)</f>
        <v>태성종합물류</v>
      </c>
      <c r="T528" s="22" t="s">
        <v>2135</v>
      </c>
      <c r="U528" s="16" t="str" cm="1">
        <f t="array" ref="U528">IF(
OR(AD528="",ISERROR(AD528)),
"-",
_xlfn.UNIQUE(_xlfn._xlws.FILTER([1]Sheet1!$D$2:$D$200,ISNUMBER(SEARCH(AD528,[1]Sheet1!$D$2:$D$200))))
)</f>
        <v>태성종합물류</v>
      </c>
      <c r="V528" s="23">
        <v>247000</v>
      </c>
      <c r="W528" s="23">
        <v>229700</v>
      </c>
      <c r="X528" s="23">
        <f t="shared" si="19"/>
        <v>17300</v>
      </c>
      <c r="Y528" s="25" t="s">
        <v>2136</v>
      </c>
      <c r="Z528" s="19" t="s">
        <v>51</v>
      </c>
      <c r="AA528" s="19" t="s">
        <v>93</v>
      </c>
      <c r="AC528" s="17" t="str">
        <f t="shared" si="18"/>
        <v>Y</v>
      </c>
      <c r="AD528" s="17" t="s">
        <v>82</v>
      </c>
      <c r="AE528" s="26">
        <v>0.45833333333333331</v>
      </c>
      <c r="AF528" s="27"/>
      <c r="AG528" s="27"/>
      <c r="AI528" s="28" t="s">
        <v>228</v>
      </c>
    </row>
    <row r="529" spans="1:35" ht="34.950000000000003" customHeight="1" x14ac:dyDescent="0.4">
      <c r="A529" s="16" t="s">
        <v>36</v>
      </c>
      <c r="B529" s="16" t="s">
        <v>99</v>
      </c>
      <c r="C529" s="17">
        <v>46015</v>
      </c>
      <c r="D529" s="16" t="s">
        <v>216</v>
      </c>
      <c r="E529" s="16" t="s">
        <v>217</v>
      </c>
      <c r="F529" s="16">
        <v>26907</v>
      </c>
      <c r="G529" s="18" t="s">
        <v>2125</v>
      </c>
      <c r="H529" s="16" t="s">
        <v>41</v>
      </c>
      <c r="I529" s="19" t="s">
        <v>99</v>
      </c>
      <c r="J529" s="16" t="str">
        <f>IFERROR(VLOOKUP(I529,[1]Sheet1!$A$1:$B$200,2,0),"_")</f>
        <v>IX</v>
      </c>
      <c r="K529" s="19" t="s">
        <v>220</v>
      </c>
      <c r="L529" s="16">
        <f>IFERROR(VLOOKUP(K529,[1]Sheet1!$A$1:$B$200,2,0),"-")</f>
        <v>81</v>
      </c>
      <c r="M529" s="19" t="s">
        <v>221</v>
      </c>
      <c r="N529" s="16" t="str">
        <f>IFERROR(VLOOKUP(M529,[1]Sheet1!$G$2:$H$200,2,0),"-")</f>
        <v>DOOW</v>
      </c>
      <c r="O529" s="18" t="s">
        <v>2132</v>
      </c>
      <c r="P529" s="17">
        <v>46016</v>
      </c>
      <c r="Q529" s="20" t="s">
        <v>2133</v>
      </c>
      <c r="R529" s="20" t="s">
        <v>2134</v>
      </c>
      <c r="S529" s="21" t="str" cm="1">
        <f t="array" ref="S529">IF(
OR(AD529="",ISERROR(AD529)),
"-",
_xlfn.UNIQUE(_xlfn._xlws.FILTER([1]Sheet1!$D$2:$D$200,ISNUMBER(SEARCH(AD529,[1]Sheet1!$D$2:$D$200))))
)</f>
        <v>태성종합물류</v>
      </c>
      <c r="T529" s="22" t="s">
        <v>2135</v>
      </c>
      <c r="U529" s="16" t="str" cm="1">
        <f t="array" ref="U529">IF(
OR(AD529="",ISERROR(AD529)),
"-",
_xlfn.UNIQUE(_xlfn._xlws.FILTER([1]Sheet1!$D$2:$D$200,ISNUMBER(SEARCH(AD529,[1]Sheet1!$D$2:$D$200))))
)</f>
        <v>태성종합물류</v>
      </c>
      <c r="V529" s="23">
        <v>10000</v>
      </c>
      <c r="W529" s="23">
        <v>10000</v>
      </c>
      <c r="X529" s="23">
        <f t="shared" si="19"/>
        <v>0</v>
      </c>
      <c r="Y529" s="25" t="s">
        <v>2137</v>
      </c>
      <c r="Z529" s="19" t="s">
        <v>51</v>
      </c>
      <c r="AA529" s="19" t="s">
        <v>93</v>
      </c>
      <c r="AC529" s="17" t="str">
        <f t="shared" si="18"/>
        <v>Y</v>
      </c>
      <c r="AD529" s="17" t="s">
        <v>82</v>
      </c>
      <c r="AE529" s="26">
        <v>0.45833333333333331</v>
      </c>
      <c r="AF529" s="27"/>
      <c r="AG529" s="27"/>
      <c r="AI529" s="28" t="s">
        <v>228</v>
      </c>
    </row>
    <row r="530" spans="1:35" ht="34.950000000000003" customHeight="1" x14ac:dyDescent="0.4">
      <c r="A530" s="16" t="s">
        <v>36</v>
      </c>
      <c r="B530" s="16" t="s">
        <v>37</v>
      </c>
      <c r="C530" s="17">
        <v>46015</v>
      </c>
      <c r="D530" s="16" t="s">
        <v>280</v>
      </c>
      <c r="E530" s="16" t="s">
        <v>281</v>
      </c>
      <c r="F530" s="16">
        <v>25997</v>
      </c>
      <c r="G530" s="18" t="s">
        <v>1755</v>
      </c>
      <c r="H530" s="16" t="s">
        <v>41</v>
      </c>
      <c r="I530" s="19" t="s">
        <v>328</v>
      </c>
      <c r="J530" s="16" t="str">
        <f>IFERROR(VLOOKUP(I530,[1]Sheet1!$A$1:$B$200,2,0),"_")</f>
        <v>BT</v>
      </c>
      <c r="K530" s="19" t="s">
        <v>42</v>
      </c>
      <c r="L530" s="16" t="str">
        <f>IFERROR(VLOOKUP(K530,[1]Sheet1!$A$1:$B$200,2,0),"-")</f>
        <v>P</v>
      </c>
      <c r="M530" s="19" t="s">
        <v>1756</v>
      </c>
      <c r="N530" s="16" t="str">
        <f>IFERROR(VLOOKUP(M530,[1]Sheet1!$G$2:$H$200,2,0),"-")</f>
        <v>SNLS</v>
      </c>
      <c r="O530" s="18" t="s">
        <v>2138</v>
      </c>
      <c r="P530" s="17">
        <v>46020</v>
      </c>
      <c r="Q530" s="20" t="s">
        <v>2139</v>
      </c>
      <c r="R530" s="20" t="s">
        <v>2140</v>
      </c>
      <c r="S530" s="21" t="str" cm="1">
        <f t="array" ref="S530">IF(
OR(AD530="",ISERROR(AD530)),
"-",
_xlfn.UNIQUE(_xlfn._xlws.FILTER([1]Sheet1!$D$2:$D$200,ISNUMBER(SEARCH(AD530,[1]Sheet1!$D$2:$D$200))))
)</f>
        <v>에스지로지스틱</v>
      </c>
      <c r="T530" s="22" t="s">
        <v>2141</v>
      </c>
      <c r="U530" s="16" t="str" cm="1">
        <f t="array" ref="U530">IF(
OR(AD530="",ISERROR(AD530)),
"-",
_xlfn.UNIQUE(_xlfn._xlws.FILTER([1]Sheet1!$D$2:$D$200,ISNUMBER(SEARCH(AD530,[1]Sheet1!$D$2:$D$200))))
)</f>
        <v>에스지로지스틱</v>
      </c>
      <c r="V530" s="23">
        <v>770000</v>
      </c>
      <c r="W530" s="23">
        <v>732000</v>
      </c>
      <c r="X530" s="23">
        <f t="shared" si="19"/>
        <v>38000</v>
      </c>
      <c r="Y530" s="25" t="s">
        <v>2142</v>
      </c>
      <c r="Z530" s="19" t="s">
        <v>51</v>
      </c>
      <c r="AA530" s="19" t="s">
        <v>115</v>
      </c>
      <c r="AB530" s="18" t="s">
        <v>1709</v>
      </c>
      <c r="AC530" s="17" t="str">
        <f t="shared" si="18"/>
        <v>Y</v>
      </c>
      <c r="AD530" s="17" t="s">
        <v>184</v>
      </c>
      <c r="AE530" s="26">
        <v>0.58333333333333337</v>
      </c>
      <c r="AF530" s="27"/>
      <c r="AG530" s="27"/>
      <c r="AI530" s="28" t="s">
        <v>228</v>
      </c>
    </row>
    <row r="531" spans="1:35" ht="34.950000000000003" customHeight="1" x14ac:dyDescent="0.4">
      <c r="A531" s="16" t="s">
        <v>36</v>
      </c>
      <c r="B531" s="16" t="s">
        <v>99</v>
      </c>
      <c r="C531" s="17">
        <v>46015</v>
      </c>
      <c r="D531" s="16" t="s">
        <v>1854</v>
      </c>
      <c r="E531" s="16" t="s">
        <v>2143</v>
      </c>
      <c r="F531" s="16">
        <v>27772</v>
      </c>
      <c r="G531" s="18" t="s">
        <v>2144</v>
      </c>
      <c r="H531" s="16" t="s">
        <v>41</v>
      </c>
      <c r="I531" s="19" t="s">
        <v>129</v>
      </c>
      <c r="J531" s="16" t="str">
        <f>IFERROR(VLOOKUP(I531,[1]Sheet1!$A$1:$B$200,2,0),"_")</f>
        <v>E1</v>
      </c>
      <c r="K531" s="19" t="s">
        <v>129</v>
      </c>
      <c r="L531" s="16" t="str">
        <f>IFERROR(VLOOKUP(K531,[1]Sheet1!$A$1:$B$200,2,0),"-")</f>
        <v>E1</v>
      </c>
      <c r="M531" s="19" t="s">
        <v>77</v>
      </c>
      <c r="N531" s="16" t="str">
        <f>IFERROR(VLOOKUP(M531,[1]Sheet1!$G$2:$H$200,2,0),"-")</f>
        <v>KMTC</v>
      </c>
      <c r="O531" s="18" t="s">
        <v>2145</v>
      </c>
      <c r="P531" s="17">
        <v>46020</v>
      </c>
      <c r="Q531" s="20" t="s">
        <v>2146</v>
      </c>
      <c r="R531" s="20" t="s">
        <v>2147</v>
      </c>
      <c r="S531" s="21" t="str" cm="1">
        <f t="array" ref="S531">IF(
OR(AD531="",ISERROR(AD531)),
"-",
_xlfn.UNIQUE(_xlfn._xlws.FILTER([1]Sheet1!$D$2:$D$200,ISNUMBER(SEARCH(AD531,[1]Sheet1!$D$2:$D$200))))
)</f>
        <v>로지아이솔루션</v>
      </c>
      <c r="T531" s="22" t="s">
        <v>1422</v>
      </c>
      <c r="U531" s="16" t="str" cm="1">
        <f t="array" ref="U531">IF(
OR(AD531="",ISERROR(AD531)),
"-",
_xlfn.UNIQUE(_xlfn._xlws.FILTER([1]Sheet1!$D$2:$D$200,ISNUMBER(SEARCH(AD531,[1]Sheet1!$D$2:$D$200))))
)</f>
        <v>로지아이솔루션</v>
      </c>
      <c r="V531" s="23">
        <v>268000</v>
      </c>
      <c r="W531" s="23">
        <v>258850</v>
      </c>
      <c r="X531" s="23">
        <f t="shared" si="19"/>
        <v>9150</v>
      </c>
      <c r="Y531" s="25" t="s">
        <v>2148</v>
      </c>
      <c r="Z531" s="19" t="s">
        <v>51</v>
      </c>
      <c r="AA531" s="19" t="s">
        <v>115</v>
      </c>
      <c r="AC531" s="17" t="str">
        <f t="shared" si="18"/>
        <v>Y</v>
      </c>
      <c r="AD531" s="17" t="s">
        <v>206</v>
      </c>
      <c r="AE531" s="26">
        <v>0.54166666666666663</v>
      </c>
      <c r="AF531" s="27"/>
      <c r="AG531" s="27"/>
      <c r="AI531" s="28" t="s">
        <v>228</v>
      </c>
    </row>
    <row r="532" spans="1:35" ht="34.950000000000003" customHeight="1" x14ac:dyDescent="0.4">
      <c r="A532" s="16" t="s">
        <v>71</v>
      </c>
      <c r="B532" s="16" t="s">
        <v>99</v>
      </c>
      <c r="C532" s="17">
        <v>46015</v>
      </c>
      <c r="D532" s="16" t="s">
        <v>308</v>
      </c>
      <c r="E532" s="16" t="s">
        <v>149</v>
      </c>
      <c r="F532" s="16">
        <v>28090</v>
      </c>
      <c r="G532" s="18" t="s">
        <v>1442</v>
      </c>
      <c r="H532" s="16" t="s">
        <v>687</v>
      </c>
      <c r="I532" s="19" t="s">
        <v>76</v>
      </c>
      <c r="J532" s="16" t="str">
        <f>IFERROR(VLOOKUP(I532,[1]Sheet1!$A$1:$B$200,2,0),"_")</f>
        <v>NJ</v>
      </c>
      <c r="K532" s="19" t="s">
        <v>76</v>
      </c>
      <c r="L532" s="16" t="str">
        <f>IFERROR(VLOOKUP(K532,[1]Sheet1!$A$1:$B$200,2,0),"-")</f>
        <v>NJ</v>
      </c>
      <c r="M532" s="19" t="s">
        <v>151</v>
      </c>
      <c r="N532" s="16" t="str">
        <f>IFERROR(VLOOKUP(M532,[1]Sheet1!$G$2:$H$200,2,0),"-")</f>
        <v>NSSL</v>
      </c>
      <c r="O532" s="18" t="s">
        <v>55</v>
      </c>
      <c r="P532" s="17" t="s">
        <v>55</v>
      </c>
      <c r="Q532" s="20" t="s">
        <v>2149</v>
      </c>
      <c r="R532" s="20"/>
      <c r="S532" s="21" t="str" cm="1">
        <f t="array" ref="S532">IF(
OR(AD532="",ISERROR(AD532)),
"-",
_xlfn.UNIQUE(_xlfn._xlws.FILTER([1]Sheet1!$D$2:$D$200,ISNUMBER(SEARCH(AD532,[1]Sheet1!$D$2:$D$200))))
)</f>
        <v>태성종합물류</v>
      </c>
      <c r="T532" s="22" t="s">
        <v>2150</v>
      </c>
      <c r="U532" s="16" t="str" cm="1">
        <f t="array" ref="U532">IF(
OR(AD532="",ISERROR(AD532)),
"-",
_xlfn.UNIQUE(_xlfn._xlws.FILTER([1]Sheet1!$D$2:$D$200,ISNUMBER(SEARCH(AD532,[1]Sheet1!$D$2:$D$200))))
)</f>
        <v>태성종합물류</v>
      </c>
      <c r="V532" s="23">
        <v>415000</v>
      </c>
      <c r="W532" s="23">
        <v>388200</v>
      </c>
      <c r="X532" s="23">
        <f t="shared" si="19"/>
        <v>26800</v>
      </c>
      <c r="Y532" s="25" t="s">
        <v>2151</v>
      </c>
      <c r="Z532" s="19" t="s">
        <v>51</v>
      </c>
      <c r="AA532" s="19" t="s">
        <v>93</v>
      </c>
      <c r="AB532" s="18" t="s">
        <v>1445</v>
      </c>
      <c r="AC532" s="17" t="str">
        <f t="shared" si="18"/>
        <v>Y</v>
      </c>
      <c r="AD532" s="17" t="s">
        <v>82</v>
      </c>
      <c r="AE532" s="26">
        <v>0.33333333333333331</v>
      </c>
      <c r="AF532" s="27"/>
      <c r="AG532" s="27"/>
      <c r="AI532" s="28" t="s">
        <v>228</v>
      </c>
    </row>
    <row r="533" spans="1:35" ht="34.950000000000003" customHeight="1" x14ac:dyDescent="0.4">
      <c r="A533" s="16" t="s">
        <v>71</v>
      </c>
      <c r="B533" s="16" t="s">
        <v>99</v>
      </c>
      <c r="C533" s="17">
        <v>46015</v>
      </c>
      <c r="D533" s="16" t="s">
        <v>308</v>
      </c>
      <c r="E533" s="16" t="s">
        <v>149</v>
      </c>
      <c r="F533" s="16">
        <v>28090</v>
      </c>
      <c r="G533" s="18" t="s">
        <v>1442</v>
      </c>
      <c r="H533" s="16" t="s">
        <v>687</v>
      </c>
      <c r="I533" s="19" t="s">
        <v>76</v>
      </c>
      <c r="J533" s="16" t="str">
        <f>IFERROR(VLOOKUP(I533,[1]Sheet1!$A$1:$B$200,2,0),"_")</f>
        <v>NJ</v>
      </c>
      <c r="K533" s="19" t="s">
        <v>76</v>
      </c>
      <c r="L533" s="16" t="str">
        <f>IFERROR(VLOOKUP(K533,[1]Sheet1!$A$1:$B$200,2,0),"-")</f>
        <v>NJ</v>
      </c>
      <c r="M533" s="19" t="s">
        <v>151</v>
      </c>
      <c r="N533" s="16" t="str">
        <f>IFERROR(VLOOKUP(M533,[1]Sheet1!$G$2:$H$200,2,0),"-")</f>
        <v>NSSL</v>
      </c>
      <c r="O533" s="18" t="s">
        <v>55</v>
      </c>
      <c r="P533" s="17" t="s">
        <v>55</v>
      </c>
      <c r="Q533" s="20" t="s">
        <v>2149</v>
      </c>
      <c r="R533" s="20"/>
      <c r="S533" s="21" t="str" cm="1">
        <f t="array" ref="S533">IF(
OR(AD533="",ISERROR(AD533)),
"-",
_xlfn.UNIQUE(_xlfn._xlws.FILTER([1]Sheet1!$D$2:$D$200,ISNUMBER(SEARCH(AD533,[1]Sheet1!$D$2:$D$200))))
)</f>
        <v>태성종합물류</v>
      </c>
      <c r="T533" s="22" t="s">
        <v>2150</v>
      </c>
      <c r="U533" s="16" t="str" cm="1">
        <f t="array" ref="U533">IF(
OR(AD533="",ISERROR(AD533)),
"-",
_xlfn.UNIQUE(_xlfn._xlws.FILTER([1]Sheet1!$D$2:$D$200,ISNUMBER(SEARCH(AD533,[1]Sheet1!$D$2:$D$200))))
)</f>
        <v>태성종합물류</v>
      </c>
      <c r="V533" s="23">
        <v>20000</v>
      </c>
      <c r="W533" s="23">
        <v>20000</v>
      </c>
      <c r="X533" s="23">
        <f t="shared" si="19"/>
        <v>0</v>
      </c>
      <c r="Y533" s="25" t="s">
        <v>2152</v>
      </c>
      <c r="Z533" s="19" t="s">
        <v>51</v>
      </c>
      <c r="AA533" s="19" t="s">
        <v>93</v>
      </c>
      <c r="AB533" s="18" t="s">
        <v>1445</v>
      </c>
      <c r="AC533" s="17" t="str">
        <f t="shared" si="18"/>
        <v>Y</v>
      </c>
      <c r="AD533" s="17" t="s">
        <v>82</v>
      </c>
      <c r="AE533" s="26">
        <v>0.33333333333333331</v>
      </c>
      <c r="AF533" s="27"/>
      <c r="AG533" s="27"/>
      <c r="AI533" s="28" t="s">
        <v>228</v>
      </c>
    </row>
    <row r="534" spans="1:35" ht="34.950000000000003" customHeight="1" x14ac:dyDescent="0.4">
      <c r="A534" s="16" t="s">
        <v>71</v>
      </c>
      <c r="B534" s="16" t="s">
        <v>99</v>
      </c>
      <c r="C534" s="17">
        <v>46015</v>
      </c>
      <c r="D534" s="16" t="s">
        <v>308</v>
      </c>
      <c r="E534" s="16" t="s">
        <v>149</v>
      </c>
      <c r="F534" s="16">
        <v>28093</v>
      </c>
      <c r="G534" s="18" t="s">
        <v>1554</v>
      </c>
      <c r="H534" s="16" t="s">
        <v>687</v>
      </c>
      <c r="I534" s="19" t="s">
        <v>76</v>
      </c>
      <c r="J534" s="16" t="str">
        <f>IFERROR(VLOOKUP(I534,[1]Sheet1!$A$1:$B$200,2,0),"_")</f>
        <v>NJ</v>
      </c>
      <c r="K534" s="19" t="s">
        <v>76</v>
      </c>
      <c r="L534" s="16" t="str">
        <f>IFERROR(VLOOKUP(K534,[1]Sheet1!$A$1:$B$200,2,0),"-")</f>
        <v>NJ</v>
      </c>
      <c r="M534" s="19" t="s">
        <v>273</v>
      </c>
      <c r="N534" s="16" t="str">
        <f>IFERROR(VLOOKUP(M534,[1]Sheet1!$G$2:$H$200,2,0),"-")</f>
        <v>DJSC</v>
      </c>
      <c r="O534" s="18" t="s">
        <v>55</v>
      </c>
      <c r="P534" s="17" t="s">
        <v>55</v>
      </c>
      <c r="Q534" s="20" t="s">
        <v>2153</v>
      </c>
      <c r="R534" s="20"/>
      <c r="S534" s="21" t="str" cm="1">
        <f t="array" ref="S534">IF(
OR(AD534="",ISERROR(AD534)),
"-",
_xlfn.UNIQUE(_xlfn._xlws.FILTER([1]Sheet1!$D$2:$D$200,ISNUMBER(SEARCH(AD534,[1]Sheet1!$D$2:$D$200))))
)</f>
        <v>태성종합물류</v>
      </c>
      <c r="T534" s="22" t="s">
        <v>901</v>
      </c>
      <c r="U534" s="16" t="str" cm="1">
        <f t="array" ref="U534">IF(
OR(AD534="",ISERROR(AD534)),
"-",
_xlfn.UNIQUE(_xlfn._xlws.FILTER([1]Sheet1!$D$2:$D$200,ISNUMBER(SEARCH(AD534,[1]Sheet1!$D$2:$D$200))))
)</f>
        <v>태성종합물류</v>
      </c>
      <c r="V534" s="23">
        <v>415000</v>
      </c>
      <c r="W534" s="23">
        <v>388200</v>
      </c>
      <c r="X534" s="23">
        <f t="shared" si="19"/>
        <v>26800</v>
      </c>
      <c r="Y534" s="25" t="s">
        <v>2154</v>
      </c>
      <c r="Z534" s="19" t="s">
        <v>51</v>
      </c>
      <c r="AA534" s="19" t="s">
        <v>93</v>
      </c>
      <c r="AB534" s="18" t="s">
        <v>1558</v>
      </c>
      <c r="AC534" s="17" t="str">
        <f t="shared" si="18"/>
        <v>Y</v>
      </c>
      <c r="AD534" s="17" t="s">
        <v>82</v>
      </c>
      <c r="AE534" s="26">
        <v>0.33333333333333331</v>
      </c>
      <c r="AF534" s="27"/>
      <c r="AG534" s="27"/>
      <c r="AI534" s="28" t="s">
        <v>228</v>
      </c>
    </row>
    <row r="535" spans="1:35" s="91" customFormat="1" ht="34.950000000000003" customHeight="1" x14ac:dyDescent="0.4">
      <c r="A535" s="19" t="s">
        <v>71</v>
      </c>
      <c r="B535" s="19" t="s">
        <v>99</v>
      </c>
      <c r="C535" s="72">
        <v>46015</v>
      </c>
      <c r="D535" s="19" t="s">
        <v>308</v>
      </c>
      <c r="E535" s="19" t="s">
        <v>149</v>
      </c>
      <c r="F535" s="19">
        <v>28090</v>
      </c>
      <c r="G535" s="35" t="s">
        <v>1442</v>
      </c>
      <c r="H535" s="19" t="s">
        <v>687</v>
      </c>
      <c r="I535" s="19" t="s">
        <v>76</v>
      </c>
      <c r="J535" s="19" t="str">
        <f>IFERROR(VLOOKUP(I535,[1]Sheet1!$A$1:$B$200,2,0),"_")</f>
        <v>NJ</v>
      </c>
      <c r="K535" s="19" t="s">
        <v>76</v>
      </c>
      <c r="L535" s="19" t="str">
        <f>IFERROR(VLOOKUP(K535,[1]Sheet1!$A$1:$B$200,2,0),"-")</f>
        <v>NJ</v>
      </c>
      <c r="M535" s="19" t="s">
        <v>1986</v>
      </c>
      <c r="N535" s="19" t="str">
        <f>IFERROR(VLOOKUP(M535,[1]Sheet1!$G$2:$H$200,2,0),"-")</f>
        <v>JCSC</v>
      </c>
      <c r="O535" s="35" t="s">
        <v>55</v>
      </c>
      <c r="P535" s="72" t="s">
        <v>55</v>
      </c>
      <c r="Q535" s="63" t="s">
        <v>2155</v>
      </c>
      <c r="R535" s="63"/>
      <c r="S535" s="73" t="str" cm="1">
        <f t="array" ref="S535">IF(
OR(AD535="",ISERROR(AD535)),
"-",
_xlfn.UNIQUE(_xlfn._xlws.FILTER([1]Sheet1!$D$2:$D$200,ISNUMBER(SEARCH(AD535,[1]Sheet1!$D$2:$D$200))))
)</f>
        <v>태성종합물류</v>
      </c>
      <c r="T535" s="22" t="s">
        <v>2026</v>
      </c>
      <c r="U535" s="19" t="str" cm="1">
        <f t="array" ref="U535">IF(
OR(AD535="",ISERROR(AD535)),
"-",
_xlfn.UNIQUE(_xlfn._xlws.FILTER([1]Sheet1!$D$2:$D$200,ISNUMBER(SEARCH(AD535,[1]Sheet1!$D$2:$D$200))))
)</f>
        <v>태성종합물류</v>
      </c>
      <c r="V535" s="24">
        <v>415000</v>
      </c>
      <c r="W535" s="24">
        <v>388200</v>
      </c>
      <c r="X535" s="24">
        <f t="shared" si="19"/>
        <v>26800</v>
      </c>
      <c r="Y535" s="88" t="s">
        <v>2156</v>
      </c>
      <c r="Z535" s="19" t="s">
        <v>51</v>
      </c>
      <c r="AA535" s="19" t="s">
        <v>93</v>
      </c>
      <c r="AB535" s="35" t="s">
        <v>1445</v>
      </c>
      <c r="AC535" s="72" t="str">
        <f t="shared" si="18"/>
        <v>Y</v>
      </c>
      <c r="AD535" s="72" t="s">
        <v>82</v>
      </c>
      <c r="AE535" s="89">
        <v>0.58333333333333337</v>
      </c>
      <c r="AF535" s="90"/>
      <c r="AG535" s="90"/>
      <c r="AH535" s="19"/>
      <c r="AI535" s="28" t="s">
        <v>228</v>
      </c>
    </row>
    <row r="536" spans="1:35" s="91" customFormat="1" ht="34.950000000000003" customHeight="1" x14ac:dyDescent="0.4">
      <c r="A536" s="19" t="s">
        <v>71</v>
      </c>
      <c r="B536" s="19" t="s">
        <v>99</v>
      </c>
      <c r="C536" s="72">
        <v>46015</v>
      </c>
      <c r="D536" s="19" t="s">
        <v>308</v>
      </c>
      <c r="E536" s="19" t="s">
        <v>149</v>
      </c>
      <c r="F536" s="19">
        <v>28093</v>
      </c>
      <c r="G536" s="35" t="s">
        <v>1554</v>
      </c>
      <c r="H536" s="19" t="s">
        <v>687</v>
      </c>
      <c r="I536" s="19" t="s">
        <v>76</v>
      </c>
      <c r="J536" s="19" t="str">
        <f>IFERROR(VLOOKUP(I536,[1]Sheet1!$A$1:$B$200,2,0),"_")</f>
        <v>NJ</v>
      </c>
      <c r="K536" s="19" t="s">
        <v>76</v>
      </c>
      <c r="L536" s="19" t="str">
        <f>IFERROR(VLOOKUP(K536,[1]Sheet1!$A$1:$B$200,2,0),"-")</f>
        <v>NJ</v>
      </c>
      <c r="M536" s="19" t="s">
        <v>221</v>
      </c>
      <c r="N536" s="19" t="str">
        <f>IFERROR(VLOOKUP(M536,[1]Sheet1!$G$2:$H$200,2,0),"-")</f>
        <v>DOOW</v>
      </c>
      <c r="O536" s="35" t="s">
        <v>55</v>
      </c>
      <c r="P536" s="72" t="s">
        <v>55</v>
      </c>
      <c r="Q536" s="63" t="s">
        <v>2157</v>
      </c>
      <c r="R536" s="63"/>
      <c r="S536" s="73" t="str" cm="1">
        <f t="array" ref="S536">IF(
OR(AD536="",ISERROR(AD536)),
"-",
_xlfn.UNIQUE(_xlfn._xlws.FILTER([1]Sheet1!$D$2:$D$200,ISNUMBER(SEARCH(AD536,[1]Sheet1!$D$2:$D$200))))
)</f>
        <v>태성종합물류</v>
      </c>
      <c r="T536" s="22" t="s">
        <v>2158</v>
      </c>
      <c r="U536" s="19" t="str" cm="1">
        <f t="array" ref="U536">IF(
OR(AD536="",ISERROR(AD536)),
"-",
_xlfn.UNIQUE(_xlfn._xlws.FILTER([1]Sheet1!$D$2:$D$200,ISNUMBER(SEARCH(AD536,[1]Sheet1!$D$2:$D$200))))
)</f>
        <v>태성종합물류</v>
      </c>
      <c r="V536" s="24">
        <v>415000</v>
      </c>
      <c r="W536" s="24">
        <v>388200</v>
      </c>
      <c r="X536" s="24">
        <f t="shared" si="19"/>
        <v>26800</v>
      </c>
      <c r="Y536" s="88" t="s">
        <v>2159</v>
      </c>
      <c r="Z536" s="19" t="s">
        <v>51</v>
      </c>
      <c r="AA536" s="19" t="s">
        <v>93</v>
      </c>
      <c r="AB536" s="35" t="s">
        <v>2160</v>
      </c>
      <c r="AC536" s="72" t="str">
        <f t="shared" si="18"/>
        <v>Y</v>
      </c>
      <c r="AD536" s="72" t="s">
        <v>82</v>
      </c>
      <c r="AE536" s="89">
        <v>0.58333333333333337</v>
      </c>
      <c r="AF536" s="90"/>
      <c r="AG536" s="90"/>
      <c r="AH536" s="19"/>
      <c r="AI536" s="28" t="s">
        <v>228</v>
      </c>
    </row>
    <row r="537" spans="1:35" ht="34.950000000000003" customHeight="1" x14ac:dyDescent="0.4">
      <c r="A537" s="16" t="s">
        <v>71</v>
      </c>
      <c r="B537" s="16" t="s">
        <v>99</v>
      </c>
      <c r="C537" s="17">
        <v>46015</v>
      </c>
      <c r="D537" s="16" t="s">
        <v>308</v>
      </c>
      <c r="E537" s="16" t="s">
        <v>149</v>
      </c>
      <c r="F537" s="16">
        <v>28093</v>
      </c>
      <c r="G537" s="18" t="s">
        <v>1554</v>
      </c>
      <c r="H537" s="16" t="s">
        <v>687</v>
      </c>
      <c r="I537" s="19" t="s">
        <v>76</v>
      </c>
      <c r="J537" s="16" t="str">
        <f>IFERROR(VLOOKUP(I537,[1]Sheet1!$A$1:$B$200,2,0),"_")</f>
        <v>NJ</v>
      </c>
      <c r="K537" s="19" t="s">
        <v>76</v>
      </c>
      <c r="L537" s="16" t="str">
        <f>IFERROR(VLOOKUP(K537,[1]Sheet1!$A$1:$B$200,2,0),"-")</f>
        <v>NJ</v>
      </c>
      <c r="M537" s="19" t="s">
        <v>151</v>
      </c>
      <c r="N537" s="16" t="str">
        <f>IFERROR(VLOOKUP(M537,[1]Sheet1!$G$2:$H$200,2,0),"-")</f>
        <v>NSSL</v>
      </c>
      <c r="O537" s="18" t="s">
        <v>55</v>
      </c>
      <c r="P537" s="17" t="s">
        <v>55</v>
      </c>
      <c r="Q537" s="20" t="s">
        <v>2161</v>
      </c>
      <c r="R537" s="20"/>
      <c r="S537" s="21" t="str" cm="1">
        <f t="array" ref="S537">IF(
OR(AD537="",ISERROR(AD537)),
"-",
_xlfn.UNIQUE(_xlfn._xlws.FILTER([1]Sheet1!$D$2:$D$200,ISNUMBER(SEARCH(AD537,[1]Sheet1!$D$2:$D$200))))
)</f>
        <v>태성종합물류</v>
      </c>
      <c r="T537" s="22" t="s">
        <v>2162</v>
      </c>
      <c r="U537" s="16" t="str" cm="1">
        <f t="array" ref="U537">IF(
OR(AD537="",ISERROR(AD537)),
"-",
_xlfn.UNIQUE(_xlfn._xlws.FILTER([1]Sheet1!$D$2:$D$200,ISNUMBER(SEARCH(AD537,[1]Sheet1!$D$2:$D$200))))
)</f>
        <v>태성종합물류</v>
      </c>
      <c r="V537" s="23">
        <v>415000</v>
      </c>
      <c r="W537" s="23">
        <v>388200</v>
      </c>
      <c r="X537" s="23">
        <f t="shared" si="19"/>
        <v>26800</v>
      </c>
      <c r="Y537" s="25" t="s">
        <v>2163</v>
      </c>
      <c r="Z537" s="19" t="s">
        <v>51</v>
      </c>
      <c r="AA537" s="19" t="s">
        <v>93</v>
      </c>
      <c r="AB537" s="18" t="s">
        <v>1558</v>
      </c>
      <c r="AC537" s="17" t="str">
        <f t="shared" si="18"/>
        <v>Y</v>
      </c>
      <c r="AD537" s="17" t="s">
        <v>82</v>
      </c>
      <c r="AE537" s="26">
        <v>0.70833333333333337</v>
      </c>
      <c r="AF537" s="27"/>
      <c r="AG537" s="27"/>
      <c r="AI537" s="28" t="s">
        <v>228</v>
      </c>
    </row>
    <row r="538" spans="1:35" ht="34.950000000000003" customHeight="1" x14ac:dyDescent="0.4">
      <c r="A538" s="16" t="s">
        <v>36</v>
      </c>
      <c r="B538" s="16" t="s">
        <v>37</v>
      </c>
      <c r="C538" s="17">
        <v>46015</v>
      </c>
      <c r="D538" s="16" t="s">
        <v>308</v>
      </c>
      <c r="E538" s="16" t="s">
        <v>941</v>
      </c>
      <c r="F538" s="16">
        <v>12365</v>
      </c>
      <c r="G538" s="18" t="s">
        <v>171</v>
      </c>
      <c r="H538" s="16" t="s">
        <v>41</v>
      </c>
      <c r="I538" s="19" t="s">
        <v>172</v>
      </c>
      <c r="J538" s="16" t="str">
        <f>IFERROR(VLOOKUP(I538,[1]Sheet1!$A$1:$B$200,2,0),"_")</f>
        <v>KW</v>
      </c>
      <c r="K538" s="19" t="s">
        <v>172</v>
      </c>
      <c r="L538" s="16" t="str">
        <f>IFERROR(VLOOKUP(K538,[1]Sheet1!$A$1:$B$200,2,0),"-")</f>
        <v>KW</v>
      </c>
      <c r="M538" s="19" t="s">
        <v>77</v>
      </c>
      <c r="N538" s="16" t="str">
        <f>IFERROR(VLOOKUP(M538,[1]Sheet1!$G$2:$H$200,2,0),"-")</f>
        <v>KMTC</v>
      </c>
      <c r="O538" s="18" t="s">
        <v>2164</v>
      </c>
      <c r="P538" s="17">
        <v>46018</v>
      </c>
      <c r="Q538" s="20" t="s">
        <v>2165</v>
      </c>
      <c r="R538" s="20" t="s">
        <v>2166</v>
      </c>
      <c r="S538" s="21" t="str" cm="1">
        <f t="array" ref="S538">IF(
OR(AD538="",ISERROR(AD538)),
"-",
_xlfn.UNIQUE(_xlfn._xlws.FILTER([1]Sheet1!$D$2:$D$200,ISNUMBER(SEARCH(AD538,[1]Sheet1!$D$2:$D$200))))
)</f>
        <v>(유)오식도물류</v>
      </c>
      <c r="T538" s="22" t="s">
        <v>945</v>
      </c>
      <c r="U538" s="16" t="str" cm="1">
        <f t="array" ref="U538">IF(
OR(AD538="",ISERROR(AD538)),
"-",
_xlfn.UNIQUE(_xlfn._xlws.FILTER([1]Sheet1!$D$2:$D$200,ISNUMBER(SEARCH(AD538,[1]Sheet1!$D$2:$D$200))))
)</f>
        <v>(유)오식도물류</v>
      </c>
      <c r="V538" s="23">
        <v>890000</v>
      </c>
      <c r="W538" s="23">
        <v>809200</v>
      </c>
      <c r="X538" s="23">
        <f t="shared" si="19"/>
        <v>80800</v>
      </c>
      <c r="Y538" s="25" t="s">
        <v>2167</v>
      </c>
      <c r="Z538" s="19" t="s">
        <v>51</v>
      </c>
      <c r="AA538" s="19" t="s">
        <v>93</v>
      </c>
      <c r="AB538" s="18" t="s">
        <v>178</v>
      </c>
      <c r="AC538" s="17" t="str">
        <f t="shared" si="18"/>
        <v>Y</v>
      </c>
      <c r="AD538" s="17" t="s">
        <v>179</v>
      </c>
      <c r="AE538" s="26">
        <v>0</v>
      </c>
      <c r="AF538" s="27"/>
      <c r="AG538" s="27"/>
      <c r="AI538" s="28" t="s">
        <v>228</v>
      </c>
    </row>
    <row r="539" spans="1:35" ht="34.950000000000003" customHeight="1" x14ac:dyDescent="0.4">
      <c r="A539" s="16" t="s">
        <v>71</v>
      </c>
      <c r="B539" s="16" t="s">
        <v>37</v>
      </c>
      <c r="C539" s="17">
        <v>46015</v>
      </c>
      <c r="D539" s="16" t="s">
        <v>308</v>
      </c>
      <c r="E539" s="36" t="s">
        <v>941</v>
      </c>
      <c r="F539" s="16">
        <v>12365</v>
      </c>
      <c r="G539" s="18" t="s">
        <v>171</v>
      </c>
      <c r="H539" s="16" t="s">
        <v>41</v>
      </c>
      <c r="I539" s="19" t="s">
        <v>172</v>
      </c>
      <c r="J539" s="16" t="str">
        <f>IFERROR(VLOOKUP(I539,[1]Sheet1!$A$1:$B$200,2,0),"_")</f>
        <v>KW</v>
      </c>
      <c r="K539" s="19" t="s">
        <v>172</v>
      </c>
      <c r="L539" s="16" t="str">
        <f>IFERROR(VLOOKUP(K539,[1]Sheet1!$A$1:$B$200,2,0),"-")</f>
        <v>KW</v>
      </c>
      <c r="M539" s="19" t="s">
        <v>77</v>
      </c>
      <c r="N539" s="16" t="str">
        <f>IFERROR(VLOOKUP(M539,[1]Sheet1!$G$2:$H$200,2,0),"-")</f>
        <v>KMTC</v>
      </c>
      <c r="O539" s="18" t="s">
        <v>2164</v>
      </c>
      <c r="P539" s="17">
        <v>46018</v>
      </c>
      <c r="Q539" s="20" t="s">
        <v>2168</v>
      </c>
      <c r="R539" s="20" t="s">
        <v>2169</v>
      </c>
      <c r="S539" s="21" t="str" cm="1">
        <f t="array" ref="S539">IF(
OR(AD539="",ISERROR(AD539)),
"-",
_xlfn.UNIQUE(_xlfn._xlws.FILTER([1]Sheet1!$D$2:$D$200,ISNUMBER(SEARCH(AD539,[1]Sheet1!$D$2:$D$200))))
)</f>
        <v>(유)오식도물류</v>
      </c>
      <c r="T539" s="22" t="s">
        <v>945</v>
      </c>
      <c r="U539" s="16" t="str" cm="1">
        <f t="array" ref="U539">IF(
OR(AD539="",ISERROR(AD539)),
"-",
_xlfn.UNIQUE(_xlfn._xlws.FILTER([1]Sheet1!$D$2:$D$200,ISNUMBER(SEARCH(AD539,[1]Sheet1!$D$2:$D$200))))
)</f>
        <v>(유)오식도물류</v>
      </c>
      <c r="V539" s="23">
        <v>890000</v>
      </c>
      <c r="W539" s="23">
        <v>809200</v>
      </c>
      <c r="X539" s="23">
        <f t="shared" si="19"/>
        <v>80800</v>
      </c>
      <c r="Y539" s="25" t="s">
        <v>2167</v>
      </c>
      <c r="Z539" s="19" t="s">
        <v>51</v>
      </c>
      <c r="AA539" s="19" t="s">
        <v>93</v>
      </c>
      <c r="AB539" s="18" t="s">
        <v>178</v>
      </c>
      <c r="AC539" s="17" t="str">
        <f t="shared" si="18"/>
        <v>Y</v>
      </c>
      <c r="AD539" s="17" t="s">
        <v>179</v>
      </c>
      <c r="AE539" s="26">
        <v>0</v>
      </c>
      <c r="AF539" s="27"/>
      <c r="AG539" s="27"/>
      <c r="AI539" s="28" t="s">
        <v>228</v>
      </c>
    </row>
    <row r="540" spans="1:35" ht="34.950000000000003" customHeight="1" x14ac:dyDescent="0.4">
      <c r="A540" s="16" t="s">
        <v>36</v>
      </c>
      <c r="B540" s="16" t="s">
        <v>37</v>
      </c>
      <c r="C540" s="17">
        <v>46015</v>
      </c>
      <c r="D540" s="16" t="s">
        <v>229</v>
      </c>
      <c r="E540" s="16" t="s">
        <v>229</v>
      </c>
      <c r="F540" s="16">
        <v>3641</v>
      </c>
      <c r="G540" s="18" t="s">
        <v>1461</v>
      </c>
      <c r="H540" s="16" t="s">
        <v>41</v>
      </c>
      <c r="I540" s="19" t="s">
        <v>99</v>
      </c>
      <c r="J540" s="16" t="str">
        <f>IFERROR(VLOOKUP(I540,[1]Sheet1!$A$1:$B$200,2,0),"_")</f>
        <v>IX</v>
      </c>
      <c r="K540" s="19" t="s">
        <v>363</v>
      </c>
      <c r="L540" s="16" t="str">
        <f>IFERROR(VLOOKUP(K540,[1]Sheet1!$A$1:$B$200,2,0),"-")</f>
        <v>BB</v>
      </c>
      <c r="M540" s="19" t="s">
        <v>364</v>
      </c>
      <c r="N540" s="16" t="str">
        <f>IFERROR(VLOOKUP(M540,[1]Sheet1!$G$2:$H$200,2,0),"-")</f>
        <v>CMAL</v>
      </c>
      <c r="O540" s="18" t="s">
        <v>1939</v>
      </c>
      <c r="P540" s="17">
        <v>46019</v>
      </c>
      <c r="Q540" s="20" t="s">
        <v>2170</v>
      </c>
      <c r="R540" s="20" t="s">
        <v>2171</v>
      </c>
      <c r="S540" s="21" t="str" cm="1">
        <f t="array" ref="S540">IF(
OR(AD540="",ISERROR(AD540)),
"-",
_xlfn.UNIQUE(_xlfn._xlws.FILTER([1]Sheet1!$D$2:$D$200,ISNUMBER(SEARCH(AD540,[1]Sheet1!$D$2:$D$200))))
)</f>
        <v>양양운수(주)</v>
      </c>
      <c r="T540" s="22" t="s">
        <v>235</v>
      </c>
      <c r="U540" s="16" t="str" cm="1">
        <f t="array" ref="U540">IF(
OR(AD540="",ISERROR(AD540)),
"-",
_xlfn.UNIQUE(_xlfn._xlws.FILTER([1]Sheet1!$D$2:$D$200,ISNUMBER(SEARCH(AD540,[1]Sheet1!$D$2:$D$200))))
)</f>
        <v>양양운수(주)</v>
      </c>
      <c r="V540" s="23">
        <v>860000</v>
      </c>
      <c r="W540" s="23">
        <v>770800</v>
      </c>
      <c r="X540" s="23">
        <f t="shared" si="19"/>
        <v>89200</v>
      </c>
      <c r="Y540" s="25" t="s">
        <v>2172</v>
      </c>
      <c r="Z540" s="19" t="s">
        <v>51</v>
      </c>
      <c r="AA540" s="19" t="s">
        <v>81</v>
      </c>
      <c r="AB540" s="18" t="s">
        <v>2173</v>
      </c>
      <c r="AC540" s="17" t="str">
        <f t="shared" si="18"/>
        <v>Y</v>
      </c>
      <c r="AD540" s="17" t="s">
        <v>619</v>
      </c>
      <c r="AE540" s="26">
        <v>0.4375</v>
      </c>
      <c r="AF540" s="27"/>
      <c r="AG540" s="27"/>
      <c r="AI540" s="28" t="s">
        <v>228</v>
      </c>
    </row>
    <row r="541" spans="1:35" ht="34.950000000000003" customHeight="1" x14ac:dyDescent="0.4">
      <c r="A541" s="16" t="s">
        <v>36</v>
      </c>
      <c r="B541" s="16" t="s">
        <v>37</v>
      </c>
      <c r="C541" s="17">
        <v>46015</v>
      </c>
      <c r="D541" s="16" t="s">
        <v>229</v>
      </c>
      <c r="E541" s="16" t="s">
        <v>229</v>
      </c>
      <c r="F541" s="16">
        <v>3641</v>
      </c>
      <c r="G541" s="18" t="s">
        <v>1461</v>
      </c>
      <c r="H541" s="16" t="s">
        <v>41</v>
      </c>
      <c r="I541" s="19" t="s">
        <v>99</v>
      </c>
      <c r="J541" s="16" t="str">
        <f>IFERROR(VLOOKUP(I541,[1]Sheet1!$A$1:$B$200,2,0),"_")</f>
        <v>IX</v>
      </c>
      <c r="K541" s="19" t="s">
        <v>363</v>
      </c>
      <c r="L541" s="16" t="str">
        <f>IFERROR(VLOOKUP(K541,[1]Sheet1!$A$1:$B$200,2,0),"-")</f>
        <v>BB</v>
      </c>
      <c r="M541" s="19" t="s">
        <v>364</v>
      </c>
      <c r="N541" s="16" t="str">
        <f>IFERROR(VLOOKUP(M541,[1]Sheet1!$G$2:$H$200,2,0),"-")</f>
        <v>CMAL</v>
      </c>
      <c r="O541" s="18" t="s">
        <v>1939</v>
      </c>
      <c r="P541" s="17">
        <v>46019</v>
      </c>
      <c r="Q541" s="20" t="s">
        <v>2170</v>
      </c>
      <c r="R541" s="20" t="s">
        <v>2171</v>
      </c>
      <c r="S541" s="21" t="str" cm="1">
        <f t="array" ref="S541">IF(
OR(AD541="",ISERROR(AD541)),
"-",
_xlfn.UNIQUE(_xlfn._xlws.FILTER([1]Sheet1!$D$2:$D$200,ISNUMBER(SEARCH(AD541,[1]Sheet1!$D$2:$D$200))))
)</f>
        <v>양양운수(주)</v>
      </c>
      <c r="T541" s="22" t="s">
        <v>235</v>
      </c>
      <c r="U541" s="16" t="str" cm="1">
        <f t="array" ref="U541">IF(
OR(AD541="",ISERROR(AD541)),
"-",
_xlfn.UNIQUE(_xlfn._xlws.FILTER([1]Sheet1!$D$2:$D$200,ISNUMBER(SEARCH(AD541,[1]Sheet1!$D$2:$D$200))))
)</f>
        <v>양양운수(주)</v>
      </c>
      <c r="V541" s="23">
        <v>100000</v>
      </c>
      <c r="W541" s="23">
        <v>100000</v>
      </c>
      <c r="X541" s="23">
        <f t="shared" si="19"/>
        <v>0</v>
      </c>
      <c r="Y541" s="25" t="s">
        <v>2174</v>
      </c>
      <c r="Z541" s="19" t="s">
        <v>51</v>
      </c>
      <c r="AA541" s="19" t="s">
        <v>81</v>
      </c>
      <c r="AB541" s="18" t="s">
        <v>2175</v>
      </c>
      <c r="AC541" s="17" t="str">
        <f t="shared" si="18"/>
        <v>Y</v>
      </c>
      <c r="AD541" s="17" t="s">
        <v>619</v>
      </c>
      <c r="AE541" s="26">
        <v>0.4375</v>
      </c>
      <c r="AF541" s="27"/>
      <c r="AG541" s="27"/>
      <c r="AI541" s="28" t="s">
        <v>228</v>
      </c>
    </row>
    <row r="542" spans="1:35" ht="34.950000000000003" customHeight="1" x14ac:dyDescent="0.4">
      <c r="A542" s="16" t="s">
        <v>36</v>
      </c>
      <c r="B542" s="16" t="s">
        <v>37</v>
      </c>
      <c r="C542" s="17">
        <v>46015</v>
      </c>
      <c r="D542" s="16" t="s">
        <v>2176</v>
      </c>
      <c r="E542" s="16" t="s">
        <v>2177</v>
      </c>
      <c r="F542" s="16">
        <v>13849</v>
      </c>
      <c r="G542" s="18" t="s">
        <v>2178</v>
      </c>
      <c r="H542" s="16" t="s">
        <v>41</v>
      </c>
      <c r="I542" s="19" t="s">
        <v>137</v>
      </c>
      <c r="J542" s="16" t="str">
        <f>IFERROR(VLOOKUP(I542,[1]Sheet1!$A$1:$B$200,2,0),"_")</f>
        <v>BE</v>
      </c>
      <c r="K542" s="19" t="s">
        <v>272</v>
      </c>
      <c r="L542" s="16" t="str">
        <f>IFERROR(VLOOKUP(K542,[1]Sheet1!$A$1:$B$200,2,0),"-")</f>
        <v>Z9</v>
      </c>
      <c r="M542" s="19" t="s">
        <v>130</v>
      </c>
      <c r="N542" s="16" t="str">
        <f>IFERROR(VLOOKUP(M542,[1]Sheet1!$G$2:$H$200,2,0),"-")</f>
        <v>PCLU</v>
      </c>
      <c r="O542" s="18" t="s">
        <v>2179</v>
      </c>
      <c r="P542" s="17">
        <v>46021</v>
      </c>
      <c r="Q542" s="20" t="s">
        <v>2180</v>
      </c>
      <c r="R542" s="20" t="s">
        <v>2181</v>
      </c>
      <c r="S542" s="21" t="str" cm="1">
        <f t="array" ref="S542">IF(
OR(AD542="",ISERROR(AD542)),
"-",
_xlfn.UNIQUE(_xlfn._xlws.FILTER([1]Sheet1!$D$2:$D$200,ISNUMBER(SEARCH(AD542,[1]Sheet1!$D$2:$D$200))))
)</f>
        <v>양양운수(주)</v>
      </c>
      <c r="T542" s="22" t="s">
        <v>2182</v>
      </c>
      <c r="U542" s="16" t="str" cm="1">
        <f t="array" ref="U542">IF(
OR(AD542="",ISERROR(AD542)),
"-",
_xlfn.UNIQUE(_xlfn._xlws.FILTER([1]Sheet1!$D$2:$D$200,ISNUMBER(SEARCH(AD542,[1]Sheet1!$D$2:$D$200))))
)</f>
        <v>양양운수(주)</v>
      </c>
      <c r="V542" s="23">
        <v>662000</v>
      </c>
      <c r="W542" s="23">
        <v>562500</v>
      </c>
      <c r="X542" s="23">
        <f t="shared" si="19"/>
        <v>99500</v>
      </c>
      <c r="Y542" s="25" t="s">
        <v>2183</v>
      </c>
      <c r="Z542" s="19" t="s">
        <v>51</v>
      </c>
      <c r="AA542" s="19" t="s">
        <v>52</v>
      </c>
      <c r="AC542" s="17" t="str">
        <f t="shared" si="18"/>
        <v>Y</v>
      </c>
      <c r="AD542" s="17" t="s">
        <v>619</v>
      </c>
      <c r="AE542" s="26">
        <v>0.35416666666666669</v>
      </c>
      <c r="AF542" s="27"/>
      <c r="AG542" s="27"/>
      <c r="AI542" s="28" t="s">
        <v>228</v>
      </c>
    </row>
    <row r="543" spans="1:35" ht="34.950000000000003" customHeight="1" x14ac:dyDescent="0.4">
      <c r="A543" s="16" t="s">
        <v>36</v>
      </c>
      <c r="B543" s="16" t="s">
        <v>37</v>
      </c>
      <c r="C543" s="17">
        <v>46015</v>
      </c>
      <c r="D543" s="16" t="s">
        <v>109</v>
      </c>
      <c r="E543" s="16" t="s">
        <v>2081</v>
      </c>
      <c r="F543" s="16">
        <v>15203</v>
      </c>
      <c r="G543" s="18" t="s">
        <v>2082</v>
      </c>
      <c r="H543" s="16" t="s">
        <v>41</v>
      </c>
      <c r="I543" s="19" t="s">
        <v>328</v>
      </c>
      <c r="J543" s="16" t="str">
        <f>IFERROR(VLOOKUP(I543,[1]Sheet1!$A$1:$B$200,2,0),"_")</f>
        <v>BT</v>
      </c>
      <c r="K543" s="19" t="s">
        <v>328</v>
      </c>
      <c r="L543" s="16" t="str">
        <f>IFERROR(VLOOKUP(K543,[1]Sheet1!$A$1:$B$200,2,0),"-")</f>
        <v>BT</v>
      </c>
      <c r="M543" s="19" t="s">
        <v>211</v>
      </c>
      <c r="N543" s="16" t="str">
        <f>IFERROR(VLOOKUP(M543,[1]Sheet1!$G$2:$H$200,2,0),"-")</f>
        <v>SITC</v>
      </c>
      <c r="O543" s="18" t="s">
        <v>1782</v>
      </c>
      <c r="P543" s="17">
        <v>46017</v>
      </c>
      <c r="Q543" s="20" t="s">
        <v>2184</v>
      </c>
      <c r="R543" s="20" t="s">
        <v>2185</v>
      </c>
      <c r="S543" s="21" t="str" cm="1">
        <f t="array" ref="S543">IF(
OR(AD543="",ISERROR(AD543)),
"-",
_xlfn.UNIQUE(_xlfn._xlws.FILTER([1]Sheet1!$D$2:$D$200,ISNUMBER(SEARCH(AD543,[1]Sheet1!$D$2:$D$200))))
)</f>
        <v>에스지로지스틱</v>
      </c>
      <c r="T543" s="22" t="s">
        <v>407</v>
      </c>
      <c r="U543" s="16" t="str" cm="1">
        <f t="array" ref="U543">IF(
OR(AD543="",ISERROR(AD543)),
"-",
_xlfn.UNIQUE(_xlfn._xlws.FILTER([1]Sheet1!$D$2:$D$200,ISNUMBER(SEARCH(AD543,[1]Sheet1!$D$2:$D$200))))
)</f>
        <v>에스지로지스틱</v>
      </c>
      <c r="V543" s="23">
        <v>310000</v>
      </c>
      <c r="W543" s="23">
        <v>296000</v>
      </c>
      <c r="X543" s="23">
        <f t="shared" si="19"/>
        <v>14000</v>
      </c>
      <c r="Y543" s="25" t="s">
        <v>2086</v>
      </c>
      <c r="Z543" s="19" t="s">
        <v>51</v>
      </c>
      <c r="AA543" s="19" t="s">
        <v>115</v>
      </c>
      <c r="AC543" s="17" t="str">
        <f t="shared" si="18"/>
        <v>Y</v>
      </c>
      <c r="AD543" s="17" t="s">
        <v>184</v>
      </c>
      <c r="AE543" s="26">
        <v>0.375</v>
      </c>
      <c r="AF543" s="27"/>
      <c r="AG543" s="27"/>
      <c r="AI543" s="28" t="s">
        <v>228</v>
      </c>
    </row>
    <row r="544" spans="1:35" ht="34.950000000000003" customHeight="1" x14ac:dyDescent="0.4">
      <c r="A544" s="16" t="s">
        <v>36</v>
      </c>
      <c r="B544" s="16" t="s">
        <v>37</v>
      </c>
      <c r="C544" s="17">
        <v>46015</v>
      </c>
      <c r="D544" s="16" t="s">
        <v>109</v>
      </c>
      <c r="E544" s="16" t="s">
        <v>2081</v>
      </c>
      <c r="F544" s="16">
        <v>15203</v>
      </c>
      <c r="G544" s="18" t="s">
        <v>2082</v>
      </c>
      <c r="H544" s="16" t="s">
        <v>41</v>
      </c>
      <c r="I544" s="19" t="s">
        <v>328</v>
      </c>
      <c r="J544" s="16" t="str">
        <f>IFERROR(VLOOKUP(I544,[1]Sheet1!$A$1:$B$200,2,0),"_")</f>
        <v>BT</v>
      </c>
      <c r="K544" s="19" t="s">
        <v>328</v>
      </c>
      <c r="L544" s="16" t="str">
        <f>IFERROR(VLOOKUP(K544,[1]Sheet1!$A$1:$B$200,2,0),"-")</f>
        <v>BT</v>
      </c>
      <c r="M544" s="19" t="s">
        <v>211</v>
      </c>
      <c r="N544" s="16" t="str">
        <f>IFERROR(VLOOKUP(M544,[1]Sheet1!$G$2:$H$200,2,0),"-")</f>
        <v>SITC</v>
      </c>
      <c r="O544" s="18" t="s">
        <v>1782</v>
      </c>
      <c r="P544" s="17">
        <v>46017</v>
      </c>
      <c r="Q544" s="20" t="s">
        <v>2186</v>
      </c>
      <c r="R544" s="20" t="s">
        <v>2187</v>
      </c>
      <c r="S544" s="21" t="str" cm="1">
        <f t="array" ref="S544">IF(
OR(AD544="",ISERROR(AD544)),
"-",
_xlfn.UNIQUE(_xlfn._xlws.FILTER([1]Sheet1!$D$2:$D$200,ISNUMBER(SEARCH(AD544,[1]Sheet1!$D$2:$D$200))))
)</f>
        <v>동방 익스프레스</v>
      </c>
      <c r="T544" s="22" t="s">
        <v>2188</v>
      </c>
      <c r="U544" s="16" t="str" cm="1">
        <f t="array" ref="U544">IF(
OR(AD544="",ISERROR(AD544)),
"-",
_xlfn.UNIQUE(_xlfn._xlws.FILTER([1]Sheet1!$D$2:$D$200,ISNUMBER(SEARCH(AD544,[1]Sheet1!$D$2:$D$200))))
)</f>
        <v>동방 익스프레스</v>
      </c>
      <c r="V544" s="23">
        <v>310000</v>
      </c>
      <c r="W544" s="23">
        <v>296000</v>
      </c>
      <c r="X544" s="23">
        <f t="shared" si="19"/>
        <v>14000</v>
      </c>
      <c r="Y544" s="25" t="s">
        <v>2086</v>
      </c>
      <c r="Z544" s="19" t="s">
        <v>51</v>
      </c>
      <c r="AA544" s="19" t="s">
        <v>115</v>
      </c>
      <c r="AC544" s="17" t="str">
        <f t="shared" si="18"/>
        <v>Y</v>
      </c>
      <c r="AD544" s="17" t="s">
        <v>2189</v>
      </c>
      <c r="AE544" s="26">
        <v>0.54166666666666663</v>
      </c>
      <c r="AF544" s="27"/>
      <c r="AG544" s="27"/>
      <c r="AI544" s="28" t="s">
        <v>228</v>
      </c>
    </row>
    <row r="545" spans="1:35" ht="34.950000000000003" customHeight="1" x14ac:dyDescent="0.4">
      <c r="A545" s="16" t="s">
        <v>36</v>
      </c>
      <c r="B545" s="16" t="s">
        <v>37</v>
      </c>
      <c r="C545" s="17">
        <v>46015</v>
      </c>
      <c r="D545" s="16" t="s">
        <v>109</v>
      </c>
      <c r="E545" s="16" t="s">
        <v>2081</v>
      </c>
      <c r="F545" s="16">
        <v>15203</v>
      </c>
      <c r="G545" s="18" t="s">
        <v>2082</v>
      </c>
      <c r="H545" s="16" t="s">
        <v>41</v>
      </c>
      <c r="I545" s="19" t="s">
        <v>328</v>
      </c>
      <c r="J545" s="16" t="str">
        <f>IFERROR(VLOOKUP(I545,[1]Sheet1!$A$1:$B$200,2,0),"_")</f>
        <v>BT</v>
      </c>
      <c r="K545" s="19" t="s">
        <v>328</v>
      </c>
      <c r="L545" s="16" t="str">
        <f>IFERROR(VLOOKUP(K545,[1]Sheet1!$A$1:$B$200,2,0),"-")</f>
        <v>BT</v>
      </c>
      <c r="M545" s="19" t="s">
        <v>211</v>
      </c>
      <c r="N545" s="16" t="str">
        <f>IFERROR(VLOOKUP(M545,[1]Sheet1!$G$2:$H$200,2,0),"-")</f>
        <v>SITC</v>
      </c>
      <c r="O545" s="18" t="s">
        <v>1782</v>
      </c>
      <c r="P545" s="17">
        <v>46017</v>
      </c>
      <c r="Q545" s="20" t="s">
        <v>2190</v>
      </c>
      <c r="R545" s="20" t="s">
        <v>2191</v>
      </c>
      <c r="S545" s="21" t="str" cm="1">
        <f t="array" ref="S545">IF(
OR(AD545="",ISERROR(AD545)),
"-",
_xlfn.UNIQUE(_xlfn._xlws.FILTER([1]Sheet1!$D$2:$D$200,ISNUMBER(SEARCH(AD545,[1]Sheet1!$D$2:$D$200))))
)</f>
        <v>백승운수</v>
      </c>
      <c r="T545" s="22" t="s">
        <v>650</v>
      </c>
      <c r="U545" s="16" t="str" cm="1">
        <f t="array" ref="U545">IF(
OR(AD545="",ISERROR(AD545)),
"-",
_xlfn.UNIQUE(_xlfn._xlws.FILTER([1]Sheet1!$D$2:$D$200,ISNUMBER(SEARCH(AD545,[1]Sheet1!$D$2:$D$200))))
)</f>
        <v>백승운수</v>
      </c>
      <c r="V545" s="23">
        <v>310000</v>
      </c>
      <c r="W545" s="23">
        <v>296000</v>
      </c>
      <c r="X545" s="23">
        <f t="shared" si="19"/>
        <v>14000</v>
      </c>
      <c r="Y545" s="25" t="s">
        <v>2086</v>
      </c>
      <c r="Z545" s="19" t="s">
        <v>51</v>
      </c>
      <c r="AA545" s="19" t="s">
        <v>115</v>
      </c>
      <c r="AC545" s="17" t="str">
        <f t="shared" si="18"/>
        <v>Y</v>
      </c>
      <c r="AD545" s="17" t="s">
        <v>2192</v>
      </c>
      <c r="AE545" s="26">
        <v>0.58333333333333337</v>
      </c>
      <c r="AF545" s="27"/>
      <c r="AG545" s="27"/>
      <c r="AI545" s="28" t="s">
        <v>228</v>
      </c>
    </row>
    <row r="546" spans="1:35" ht="34.950000000000003" customHeight="1" x14ac:dyDescent="0.4">
      <c r="A546" s="16" t="s">
        <v>36</v>
      </c>
      <c r="B546" s="16" t="s">
        <v>37</v>
      </c>
      <c r="C546" s="17">
        <v>46015</v>
      </c>
      <c r="D546" s="16" t="s">
        <v>109</v>
      </c>
      <c r="E546" s="16" t="s">
        <v>2081</v>
      </c>
      <c r="F546" s="16">
        <v>15203</v>
      </c>
      <c r="G546" s="18" t="s">
        <v>2082</v>
      </c>
      <c r="H546" s="16" t="s">
        <v>41</v>
      </c>
      <c r="I546" s="19" t="s">
        <v>328</v>
      </c>
      <c r="J546" s="16" t="str">
        <f>IFERROR(VLOOKUP(I546,[1]Sheet1!$A$1:$B$200,2,0),"_")</f>
        <v>BT</v>
      </c>
      <c r="K546" s="19" t="s">
        <v>328</v>
      </c>
      <c r="L546" s="16" t="str">
        <f>IFERROR(VLOOKUP(K546,[1]Sheet1!$A$1:$B$200,2,0),"-")</f>
        <v>BT</v>
      </c>
      <c r="M546" s="19" t="s">
        <v>211</v>
      </c>
      <c r="N546" s="16" t="str">
        <f>IFERROR(VLOOKUP(M546,[1]Sheet1!$G$2:$H$200,2,0),"-")</f>
        <v>SITC</v>
      </c>
      <c r="O546" s="18" t="s">
        <v>1782</v>
      </c>
      <c r="P546" s="17">
        <v>46017</v>
      </c>
      <c r="Q546" s="20" t="s">
        <v>2193</v>
      </c>
      <c r="R546" s="20" t="s">
        <v>2194</v>
      </c>
      <c r="S546" s="21" t="str" cm="1">
        <f t="array" ref="S546">IF(
OR(AD546="",ISERROR(AD546)),
"-",
_xlfn.UNIQUE(_xlfn._xlws.FILTER([1]Sheet1!$D$2:$D$200,ISNUMBER(SEARCH(AD546,[1]Sheet1!$D$2:$D$200))))
)</f>
        <v>에스지로지스틱</v>
      </c>
      <c r="T546" s="22" t="s">
        <v>2195</v>
      </c>
      <c r="U546" s="16" t="str" cm="1">
        <f t="array" ref="U546">IF(
OR(AD546="",ISERROR(AD546)),
"-",
_xlfn.UNIQUE(_xlfn._xlws.FILTER([1]Sheet1!$D$2:$D$200,ISNUMBER(SEARCH(AD546,[1]Sheet1!$D$2:$D$200))))
)</f>
        <v>에스지로지스틱</v>
      </c>
      <c r="V546" s="23">
        <v>310000</v>
      </c>
      <c r="W546" s="23">
        <v>296000</v>
      </c>
      <c r="X546" s="23">
        <f t="shared" si="19"/>
        <v>14000</v>
      </c>
      <c r="Y546" s="25" t="s">
        <v>2086</v>
      </c>
      <c r="Z546" s="19" t="s">
        <v>51</v>
      </c>
      <c r="AA546" s="19" t="s">
        <v>115</v>
      </c>
      <c r="AC546" s="17" t="str">
        <f t="shared" si="18"/>
        <v>Y</v>
      </c>
      <c r="AD546" s="17" t="s">
        <v>184</v>
      </c>
      <c r="AE546" s="26">
        <v>0.625</v>
      </c>
      <c r="AF546" s="27"/>
      <c r="AG546" s="27"/>
      <c r="AI546" s="28" t="s">
        <v>228</v>
      </c>
    </row>
    <row r="547" spans="1:35" ht="34.950000000000003" customHeight="1" x14ac:dyDescent="0.4">
      <c r="A547" s="16" t="s">
        <v>71</v>
      </c>
      <c r="B547" s="16" t="s">
        <v>37</v>
      </c>
      <c r="C547" s="17">
        <v>46015</v>
      </c>
      <c r="D547" s="16" t="s">
        <v>855</v>
      </c>
      <c r="E547" s="16" t="s">
        <v>934</v>
      </c>
      <c r="F547" s="16">
        <v>26896</v>
      </c>
      <c r="G547" s="18" t="s">
        <v>2196</v>
      </c>
      <c r="H547" s="16" t="s">
        <v>41</v>
      </c>
      <c r="I547" s="19" t="s">
        <v>42</v>
      </c>
      <c r="J547" s="16" t="str">
        <f>IFERROR(VLOOKUP(I547,[1]Sheet1!$A$1:$B$200,2,0),"_")</f>
        <v>P</v>
      </c>
      <c r="K547" s="19" t="s">
        <v>42</v>
      </c>
      <c r="L547" s="16" t="str">
        <f>IFERROR(VLOOKUP(K547,[1]Sheet1!$A$1:$B$200,2,0),"-")</f>
        <v>P</v>
      </c>
      <c r="M547" s="19" t="s">
        <v>151</v>
      </c>
      <c r="N547" s="16" t="str">
        <f>IFERROR(VLOOKUP(M547,[1]Sheet1!$G$2:$H$200,2,0),"-")</f>
        <v>NSSL</v>
      </c>
      <c r="O547" s="18" t="s">
        <v>55</v>
      </c>
      <c r="P547" s="17" t="s">
        <v>55</v>
      </c>
      <c r="Q547" s="20" t="s">
        <v>2197</v>
      </c>
      <c r="R547" s="20"/>
      <c r="S547" s="21" t="str" cm="1">
        <f t="array" ref="S547">IF(
OR(AD547="",ISERROR(AD547)),
"-",
_xlfn.UNIQUE(_xlfn._xlws.FILTER([1]Sheet1!$D$2:$D$200,ISNUMBER(SEARCH(AD547,[1]Sheet1!$D$2:$D$200))))
)</f>
        <v>율세</v>
      </c>
      <c r="T547" s="22" t="s">
        <v>2198</v>
      </c>
      <c r="U547" s="16" t="str" cm="1">
        <f t="array" ref="U547">IF(
OR(AD547="",ISERROR(AD547)),
"-",
_xlfn.UNIQUE(_xlfn._xlws.FILTER([1]Sheet1!$D$2:$D$200,ISNUMBER(SEARCH(AD547,[1]Sheet1!$D$2:$D$200))))
)</f>
        <v>율세</v>
      </c>
      <c r="V547" s="23">
        <v>840000</v>
      </c>
      <c r="W547" s="23">
        <v>799900</v>
      </c>
      <c r="X547" s="23">
        <f t="shared" si="19"/>
        <v>40100</v>
      </c>
      <c r="Y547" s="25" t="s">
        <v>2199</v>
      </c>
      <c r="Z547" s="19" t="s">
        <v>51</v>
      </c>
      <c r="AA547" s="19" t="s">
        <v>144</v>
      </c>
      <c r="AB547" s="18" t="s">
        <v>2200</v>
      </c>
      <c r="AC547" s="17" t="str">
        <f t="shared" si="18"/>
        <v>Y</v>
      </c>
      <c r="AD547" s="17" t="s">
        <v>123</v>
      </c>
      <c r="AE547" s="26">
        <v>0.33333333333333331</v>
      </c>
      <c r="AF547" s="27"/>
      <c r="AG547" s="27"/>
      <c r="AI547" s="28" t="s">
        <v>228</v>
      </c>
    </row>
    <row r="548" spans="1:35" ht="34.950000000000003" customHeight="1" x14ac:dyDescent="0.4">
      <c r="A548" s="16" t="s">
        <v>71</v>
      </c>
      <c r="B548" s="16" t="s">
        <v>37</v>
      </c>
      <c r="C548" s="17">
        <v>46015</v>
      </c>
      <c r="D548" s="16" t="s">
        <v>855</v>
      </c>
      <c r="E548" s="16" t="s">
        <v>934</v>
      </c>
      <c r="F548" s="16">
        <v>26896</v>
      </c>
      <c r="G548" s="18" t="s">
        <v>2196</v>
      </c>
      <c r="H548" s="16" t="s">
        <v>41</v>
      </c>
      <c r="I548" s="19" t="s">
        <v>42</v>
      </c>
      <c r="J548" s="16" t="str">
        <f>IFERROR(VLOOKUP(I548,[1]Sheet1!$A$1:$B$200,2,0),"_")</f>
        <v>P</v>
      </c>
      <c r="K548" s="19" t="s">
        <v>42</v>
      </c>
      <c r="L548" s="16" t="str">
        <f>IFERROR(VLOOKUP(K548,[1]Sheet1!$A$1:$B$200,2,0),"-")</f>
        <v>P</v>
      </c>
      <c r="M548" s="19" t="s">
        <v>151</v>
      </c>
      <c r="N548" s="16" t="str">
        <f>IFERROR(VLOOKUP(M548,[1]Sheet1!$G$2:$H$200,2,0),"-")</f>
        <v>NSSL</v>
      </c>
      <c r="O548" s="18" t="s">
        <v>55</v>
      </c>
      <c r="P548" s="17" t="s">
        <v>55</v>
      </c>
      <c r="Q548" s="20" t="s">
        <v>2197</v>
      </c>
      <c r="R548" s="20"/>
      <c r="S548" s="21" t="str" cm="1">
        <f t="array" ref="S548">IF(
OR(AD548="",ISERROR(AD548)),
"-",
_xlfn.UNIQUE(_xlfn._xlws.FILTER([1]Sheet1!$D$2:$D$200,ISNUMBER(SEARCH(AD548,[1]Sheet1!$D$2:$D$200))))
)</f>
        <v>율세</v>
      </c>
      <c r="T548" s="22" t="s">
        <v>2198</v>
      </c>
      <c r="U548" s="16" t="str" cm="1">
        <f t="array" ref="U548">IF(
OR(AD548="",ISERROR(AD548)),
"-",
_xlfn.UNIQUE(_xlfn._xlws.FILTER([1]Sheet1!$D$2:$D$200,ISNUMBER(SEARCH(AD548,[1]Sheet1!$D$2:$D$200))))
)</f>
        <v>율세</v>
      </c>
      <c r="V548" s="23">
        <v>164400</v>
      </c>
      <c r="W548" s="23">
        <v>164400</v>
      </c>
      <c r="X548" s="23">
        <f t="shared" si="19"/>
        <v>0</v>
      </c>
      <c r="Y548" s="25" t="s">
        <v>2201</v>
      </c>
      <c r="Z548" s="19" t="s">
        <v>51</v>
      </c>
      <c r="AA548" s="19" t="s">
        <v>144</v>
      </c>
      <c r="AB548" s="18" t="s">
        <v>2200</v>
      </c>
      <c r="AC548" s="17" t="str">
        <f t="shared" si="18"/>
        <v>Y</v>
      </c>
      <c r="AD548" s="17" t="s">
        <v>123</v>
      </c>
      <c r="AE548" s="26">
        <v>0.33333333333333331</v>
      </c>
      <c r="AF548" s="27"/>
      <c r="AG548" s="27"/>
      <c r="AI548" s="28" t="s">
        <v>228</v>
      </c>
    </row>
    <row r="549" spans="1:35" ht="34.950000000000003" customHeight="1" x14ac:dyDescent="0.4">
      <c r="A549" s="16" t="s">
        <v>71</v>
      </c>
      <c r="B549" s="16" t="s">
        <v>37</v>
      </c>
      <c r="C549" s="17">
        <v>46015</v>
      </c>
      <c r="D549" s="21" t="s">
        <v>2202</v>
      </c>
      <c r="E549" s="16" t="s">
        <v>110</v>
      </c>
      <c r="F549" s="16">
        <v>12650</v>
      </c>
      <c r="G549" s="18" t="s">
        <v>1306</v>
      </c>
      <c r="H549" s="16" t="s">
        <v>41</v>
      </c>
      <c r="I549" s="19" t="s">
        <v>272</v>
      </c>
      <c r="J549" s="16" t="str">
        <f>IFERROR(VLOOKUP(I549,[1]Sheet1!$A$1:$B$200,2,0),"_")</f>
        <v>Z9</v>
      </c>
      <c r="K549" s="19" t="s">
        <v>272</v>
      </c>
      <c r="L549" s="16" t="str">
        <f>IFERROR(VLOOKUP(K549,[1]Sheet1!$A$1:$B$200,2,0),"-")</f>
        <v>Z9</v>
      </c>
      <c r="M549" s="19" t="s">
        <v>77</v>
      </c>
      <c r="N549" s="16" t="str">
        <f>IFERROR(VLOOKUP(M549,[1]Sheet1!$G$2:$H$200,2,0),"-")</f>
        <v>KMTC</v>
      </c>
      <c r="O549" s="18" t="s">
        <v>55</v>
      </c>
      <c r="P549" s="17" t="s">
        <v>55</v>
      </c>
      <c r="Q549" s="20" t="s">
        <v>2203</v>
      </c>
      <c r="R549" s="20"/>
      <c r="S549" s="21" t="str" cm="1">
        <f t="array" ref="S549">IF(
OR(AD549="",ISERROR(AD549)),
"-",
_xlfn.UNIQUE(_xlfn._xlws.FILTER([1]Sheet1!$D$2:$D$200,ISNUMBER(SEARCH(AD549,[1]Sheet1!$D$2:$D$200))))
)</f>
        <v>동방 익스프레스</v>
      </c>
      <c r="T549" s="22" t="s">
        <v>430</v>
      </c>
      <c r="U549" s="16" t="str" cm="1">
        <f t="array" ref="U549">IF(
OR(AD549="",ISERROR(AD549)),
"-",
_xlfn.UNIQUE(_xlfn._xlws.FILTER([1]Sheet1!$D$2:$D$200,ISNUMBER(SEARCH(AD549,[1]Sheet1!$D$2:$D$200))))
)</f>
        <v>동방 익스프레스</v>
      </c>
      <c r="V549" s="23">
        <v>415000</v>
      </c>
      <c r="W549" s="23">
        <v>388000</v>
      </c>
      <c r="X549" s="23">
        <f t="shared" si="19"/>
        <v>27000</v>
      </c>
      <c r="Y549" s="25" t="s">
        <v>2068</v>
      </c>
      <c r="Z549" s="19" t="s">
        <v>51</v>
      </c>
      <c r="AA549" s="19" t="s">
        <v>115</v>
      </c>
      <c r="AC549" s="17" t="str">
        <f t="shared" si="18"/>
        <v>Y</v>
      </c>
      <c r="AD549" s="17" t="s">
        <v>116</v>
      </c>
      <c r="AE549" s="26">
        <v>0.3125</v>
      </c>
      <c r="AF549" s="27"/>
      <c r="AG549" s="27"/>
      <c r="AI549" s="28" t="s">
        <v>228</v>
      </c>
    </row>
    <row r="550" spans="1:35" ht="34.950000000000003" customHeight="1" x14ac:dyDescent="0.4">
      <c r="A550" s="16" t="s">
        <v>71</v>
      </c>
      <c r="B550" s="16" t="s">
        <v>37</v>
      </c>
      <c r="C550" s="17">
        <v>46015</v>
      </c>
      <c r="D550" s="21" t="s">
        <v>2202</v>
      </c>
      <c r="E550" s="16" t="s">
        <v>110</v>
      </c>
      <c r="F550" s="16">
        <v>12650</v>
      </c>
      <c r="G550" s="18" t="s">
        <v>1306</v>
      </c>
      <c r="H550" s="16" t="s">
        <v>41</v>
      </c>
      <c r="I550" s="19" t="s">
        <v>272</v>
      </c>
      <c r="J550" s="16" t="str">
        <f>IFERROR(VLOOKUP(I550,[1]Sheet1!$A$1:$B$200,2,0),"_")</f>
        <v>Z9</v>
      </c>
      <c r="K550" s="19" t="s">
        <v>272</v>
      </c>
      <c r="L550" s="16" t="str">
        <f>IFERROR(VLOOKUP(K550,[1]Sheet1!$A$1:$B$200,2,0),"-")</f>
        <v>Z9</v>
      </c>
      <c r="M550" s="19" t="s">
        <v>77</v>
      </c>
      <c r="N550" s="16" t="str">
        <f>IFERROR(VLOOKUP(M550,[1]Sheet1!$G$2:$H$200,2,0),"-")</f>
        <v>KMTC</v>
      </c>
      <c r="O550" s="18" t="s">
        <v>55</v>
      </c>
      <c r="P550" s="17" t="s">
        <v>55</v>
      </c>
      <c r="Q550" s="20" t="s">
        <v>2204</v>
      </c>
      <c r="R550" s="20"/>
      <c r="S550" s="21" t="str" cm="1">
        <f t="array" ref="S550">IF(
OR(AD550="",ISERROR(AD550)),
"-",
_xlfn.UNIQUE(_xlfn._xlws.FILTER([1]Sheet1!$D$2:$D$200,ISNUMBER(SEARCH(AD550,[1]Sheet1!$D$2:$D$200))))
)</f>
        <v>백승운수</v>
      </c>
      <c r="T550" s="22" t="s">
        <v>650</v>
      </c>
      <c r="U550" s="16" t="str" cm="1">
        <f t="array" ref="U550">IF(
OR(AD550="",ISERROR(AD550)),
"-",
_xlfn.UNIQUE(_xlfn._xlws.FILTER([1]Sheet1!$D$2:$D$200,ISNUMBER(SEARCH(AD550,[1]Sheet1!$D$2:$D$200))))
)</f>
        <v>백승운수</v>
      </c>
      <c r="V550" s="23">
        <v>415000</v>
      </c>
      <c r="W550" s="23">
        <v>388000</v>
      </c>
      <c r="X550" s="23">
        <f t="shared" si="19"/>
        <v>27000</v>
      </c>
      <c r="Y550" s="25" t="s">
        <v>2068</v>
      </c>
      <c r="Z550" s="19" t="s">
        <v>51</v>
      </c>
      <c r="AA550" s="19" t="s">
        <v>115</v>
      </c>
      <c r="AC550" s="17" t="str">
        <f t="shared" si="18"/>
        <v>Y</v>
      </c>
      <c r="AD550" s="17" t="s">
        <v>95</v>
      </c>
      <c r="AE550" s="26">
        <v>0.33333333333333331</v>
      </c>
      <c r="AF550" s="27"/>
      <c r="AG550" s="27"/>
      <c r="AI550" s="28" t="s">
        <v>228</v>
      </c>
    </row>
    <row r="551" spans="1:35" ht="34.950000000000003" customHeight="1" x14ac:dyDescent="0.4">
      <c r="A551" s="16" t="s">
        <v>71</v>
      </c>
      <c r="B551" s="16" t="s">
        <v>37</v>
      </c>
      <c r="C551" s="17">
        <v>46015</v>
      </c>
      <c r="D551" s="21" t="s">
        <v>2202</v>
      </c>
      <c r="E551" s="16" t="s">
        <v>110</v>
      </c>
      <c r="F551" s="16">
        <v>12650</v>
      </c>
      <c r="G551" s="18" t="s">
        <v>1306</v>
      </c>
      <c r="H551" s="16" t="s">
        <v>41</v>
      </c>
      <c r="I551" s="19" t="s">
        <v>272</v>
      </c>
      <c r="J551" s="16" t="str">
        <f>IFERROR(VLOOKUP(I551,[1]Sheet1!$A$1:$B$200,2,0),"_")</f>
        <v>Z9</v>
      </c>
      <c r="K551" s="19" t="s">
        <v>272</v>
      </c>
      <c r="L551" s="16" t="str">
        <f>IFERROR(VLOOKUP(K551,[1]Sheet1!$A$1:$B$200,2,0),"-")</f>
        <v>Z9</v>
      </c>
      <c r="M551" s="19" t="s">
        <v>77</v>
      </c>
      <c r="N551" s="16" t="str">
        <f>IFERROR(VLOOKUP(M551,[1]Sheet1!$G$2:$H$200,2,0),"-")</f>
        <v>KMTC</v>
      </c>
      <c r="O551" s="18" t="s">
        <v>55</v>
      </c>
      <c r="P551" s="17" t="s">
        <v>55</v>
      </c>
      <c r="Q551" s="20" t="s">
        <v>2205</v>
      </c>
      <c r="R551" s="20"/>
      <c r="S551" s="21" t="str" cm="1">
        <f t="array" ref="S551">IF(
OR(AD551="",ISERROR(AD551)),
"-",
_xlfn.UNIQUE(_xlfn._xlws.FILTER([1]Sheet1!$D$2:$D$200,ISNUMBER(SEARCH(AD551,[1]Sheet1!$D$2:$D$200))))
)</f>
        <v>에스지로지스틱</v>
      </c>
      <c r="T551" s="22" t="s">
        <v>2085</v>
      </c>
      <c r="U551" s="16" t="str" cm="1">
        <f t="array" ref="U551">IF(
OR(AD551="",ISERROR(AD551)),
"-",
_xlfn.UNIQUE(_xlfn._xlws.FILTER([1]Sheet1!$D$2:$D$200,ISNUMBER(SEARCH(AD551,[1]Sheet1!$D$2:$D$200))))
)</f>
        <v>에스지로지스틱</v>
      </c>
      <c r="V551" s="23">
        <v>415000</v>
      </c>
      <c r="W551" s="23">
        <v>388000</v>
      </c>
      <c r="X551" s="23">
        <f t="shared" si="19"/>
        <v>27000</v>
      </c>
      <c r="Y551" s="25" t="s">
        <v>2068</v>
      </c>
      <c r="Z551" s="19" t="s">
        <v>51</v>
      </c>
      <c r="AA551" s="19" t="s">
        <v>115</v>
      </c>
      <c r="AC551" s="17" t="str">
        <f t="shared" si="18"/>
        <v>Y</v>
      </c>
      <c r="AD551" s="17" t="s">
        <v>184</v>
      </c>
      <c r="AE551" s="26">
        <v>0.35416666666666669</v>
      </c>
      <c r="AF551" s="27"/>
      <c r="AG551" s="27"/>
      <c r="AI551" s="28" t="s">
        <v>228</v>
      </c>
    </row>
    <row r="552" spans="1:35" ht="34.950000000000003" customHeight="1" x14ac:dyDescent="0.4">
      <c r="A552" s="16" t="s">
        <v>71</v>
      </c>
      <c r="B552" s="16" t="s">
        <v>37</v>
      </c>
      <c r="C552" s="17">
        <v>46015</v>
      </c>
      <c r="D552" s="21" t="s">
        <v>2202</v>
      </c>
      <c r="E552" s="16" t="s">
        <v>110</v>
      </c>
      <c r="F552" s="16">
        <v>12650</v>
      </c>
      <c r="G552" s="18" t="s">
        <v>1306</v>
      </c>
      <c r="H552" s="16" t="s">
        <v>41</v>
      </c>
      <c r="I552" s="19" t="s">
        <v>272</v>
      </c>
      <c r="J552" s="16" t="str">
        <f>IFERROR(VLOOKUP(I552,[1]Sheet1!$A$1:$B$200,2,0),"_")</f>
        <v>Z9</v>
      </c>
      <c r="K552" s="19" t="s">
        <v>272</v>
      </c>
      <c r="L552" s="16" t="str">
        <f>IFERROR(VLOOKUP(K552,[1]Sheet1!$A$1:$B$200,2,0),"-")</f>
        <v>Z9</v>
      </c>
      <c r="M552" s="19" t="s">
        <v>77</v>
      </c>
      <c r="N552" s="16" t="str">
        <f>IFERROR(VLOOKUP(M552,[1]Sheet1!$G$2:$H$200,2,0),"-")</f>
        <v>KMTC</v>
      </c>
      <c r="O552" s="18" t="s">
        <v>55</v>
      </c>
      <c r="P552" s="17" t="s">
        <v>55</v>
      </c>
      <c r="Q552" s="20" t="s">
        <v>2206</v>
      </c>
      <c r="R552" s="20"/>
      <c r="S552" s="21" t="str" cm="1">
        <f t="array" ref="S552">IF(
OR(AD552="",ISERROR(AD552)),
"-",
_xlfn.UNIQUE(_xlfn._xlws.FILTER([1]Sheet1!$D$2:$D$200,ISNUMBER(SEARCH(AD552,[1]Sheet1!$D$2:$D$200))))
)</f>
        <v>에스지로지스틱</v>
      </c>
      <c r="T552" s="22" t="s">
        <v>255</v>
      </c>
      <c r="U552" s="16" t="str" cm="1">
        <f t="array" ref="U552">IF(
OR(AD552="",ISERROR(AD552)),
"-",
_xlfn.UNIQUE(_xlfn._xlws.FILTER([1]Sheet1!$D$2:$D$200,ISNUMBER(SEARCH(AD552,[1]Sheet1!$D$2:$D$200))))
)</f>
        <v>에스지로지스틱</v>
      </c>
      <c r="V552" s="23">
        <v>415000</v>
      </c>
      <c r="W552" s="23">
        <v>388000</v>
      </c>
      <c r="X552" s="23">
        <f t="shared" si="19"/>
        <v>27000</v>
      </c>
      <c r="Y552" s="25" t="s">
        <v>2068</v>
      </c>
      <c r="Z552" s="19" t="s">
        <v>51</v>
      </c>
      <c r="AA552" s="19" t="s">
        <v>115</v>
      </c>
      <c r="AC552" s="17" t="str">
        <f t="shared" si="18"/>
        <v>Y</v>
      </c>
      <c r="AD552" s="17" t="s">
        <v>184</v>
      </c>
      <c r="AE552" s="26">
        <v>0.375</v>
      </c>
      <c r="AF552" s="27"/>
      <c r="AG552" s="27"/>
      <c r="AI552" s="28" t="s">
        <v>228</v>
      </c>
    </row>
    <row r="553" spans="1:35" ht="34.950000000000003" customHeight="1" x14ac:dyDescent="0.4">
      <c r="A553" s="16" t="s">
        <v>71</v>
      </c>
      <c r="B553" s="16" t="s">
        <v>37</v>
      </c>
      <c r="C553" s="17">
        <v>46015</v>
      </c>
      <c r="D553" s="21" t="s">
        <v>2202</v>
      </c>
      <c r="E553" s="16" t="s">
        <v>110</v>
      </c>
      <c r="F553" s="16">
        <v>12650</v>
      </c>
      <c r="G553" s="18" t="s">
        <v>1306</v>
      </c>
      <c r="H553" s="16" t="s">
        <v>41</v>
      </c>
      <c r="I553" s="19" t="s">
        <v>272</v>
      </c>
      <c r="J553" s="16" t="str">
        <f>IFERROR(VLOOKUP(I553,[1]Sheet1!$A$1:$B$200,2,0),"_")</f>
        <v>Z9</v>
      </c>
      <c r="K553" s="19" t="s">
        <v>272</v>
      </c>
      <c r="L553" s="16" t="str">
        <f>IFERROR(VLOOKUP(K553,[1]Sheet1!$A$1:$B$200,2,0),"-")</f>
        <v>Z9</v>
      </c>
      <c r="M553" s="19" t="s">
        <v>77</v>
      </c>
      <c r="N553" s="16" t="str">
        <f>IFERROR(VLOOKUP(M553,[1]Sheet1!$G$2:$H$200,2,0),"-")</f>
        <v>KMTC</v>
      </c>
      <c r="O553" s="18" t="s">
        <v>55</v>
      </c>
      <c r="P553" s="17" t="s">
        <v>55</v>
      </c>
      <c r="Q553" s="20" t="s">
        <v>2207</v>
      </c>
      <c r="R553" s="20"/>
      <c r="S553" s="21" t="str" cm="1">
        <f t="array" ref="S553">IF(
OR(AD553="",ISERROR(AD553)),
"-",
_xlfn.UNIQUE(_xlfn._xlws.FILTER([1]Sheet1!$D$2:$D$200,ISNUMBER(SEARCH(AD553,[1]Sheet1!$D$2:$D$200))))
)</f>
        <v>에스지로지스틱</v>
      </c>
      <c r="T553" s="22" t="s">
        <v>2208</v>
      </c>
      <c r="U553" s="16" t="str" cm="1">
        <f t="array" ref="U553">IF(
OR(AD553="",ISERROR(AD553)),
"-",
_xlfn.UNIQUE(_xlfn._xlws.FILTER([1]Sheet1!$D$2:$D$200,ISNUMBER(SEARCH(AD553,[1]Sheet1!$D$2:$D$200))))
)</f>
        <v>에스지로지스틱</v>
      </c>
      <c r="V553" s="23">
        <v>415000</v>
      </c>
      <c r="W553" s="23">
        <v>388000</v>
      </c>
      <c r="X553" s="23">
        <f t="shared" si="19"/>
        <v>27000</v>
      </c>
      <c r="Y553" s="25" t="s">
        <v>2068</v>
      </c>
      <c r="Z553" s="19" t="s">
        <v>51</v>
      </c>
      <c r="AA553" s="19" t="s">
        <v>115</v>
      </c>
      <c r="AC553" s="17" t="str">
        <f t="shared" si="18"/>
        <v>Y</v>
      </c>
      <c r="AD553" s="17" t="s">
        <v>184</v>
      </c>
      <c r="AE553" s="26">
        <v>0.39583333333333331</v>
      </c>
      <c r="AF553" s="27"/>
      <c r="AG553" s="27"/>
      <c r="AI553" s="28" t="s">
        <v>228</v>
      </c>
    </row>
    <row r="554" spans="1:35" ht="34.950000000000003" customHeight="1" x14ac:dyDescent="0.4">
      <c r="A554" s="16" t="s">
        <v>71</v>
      </c>
      <c r="B554" s="16" t="s">
        <v>37</v>
      </c>
      <c r="C554" s="17">
        <v>46015</v>
      </c>
      <c r="D554" s="16" t="s">
        <v>1624</v>
      </c>
      <c r="E554" s="16" t="s">
        <v>2209</v>
      </c>
      <c r="F554" s="16">
        <v>26241</v>
      </c>
      <c r="G554" s="18" t="s">
        <v>2210</v>
      </c>
      <c r="H554" s="16" t="s">
        <v>41</v>
      </c>
      <c r="I554" s="19" t="s">
        <v>86</v>
      </c>
      <c r="J554" s="16" t="str">
        <f>IFERROR(VLOOKUP(I554,[1]Sheet1!$A$1:$B$200,2,0),"_")</f>
        <v>HP</v>
      </c>
      <c r="K554" s="19" t="s">
        <v>137</v>
      </c>
      <c r="L554" s="16" t="str">
        <f>IFERROR(VLOOKUP(K554,[1]Sheet1!$A$1:$B$200,2,0),"-")</f>
        <v>BE</v>
      </c>
      <c r="M554" s="19" t="s">
        <v>87</v>
      </c>
      <c r="N554" s="16" t="str">
        <f>IFERROR(VLOOKUP(M554,[1]Sheet1!$G$2:$H$200,2,0),"-")</f>
        <v>HDMU</v>
      </c>
      <c r="O554" s="18" t="s">
        <v>55</v>
      </c>
      <c r="P554" s="17" t="s">
        <v>55</v>
      </c>
      <c r="Q554" s="20" t="s">
        <v>2211</v>
      </c>
      <c r="R554" s="20"/>
      <c r="S554" s="21" t="str" cm="1">
        <f t="array" ref="S554">IF(
OR(AD554="",ISERROR(AD554)),
"-",
_xlfn.UNIQUE(_xlfn._xlws.FILTER([1]Sheet1!$D$2:$D$200,ISNUMBER(SEARCH(AD554,[1]Sheet1!$D$2:$D$200))))
)</f>
        <v>에이치엔엘트랜스</v>
      </c>
      <c r="T554" s="22" t="s">
        <v>2212</v>
      </c>
      <c r="U554" s="16" t="str" cm="1">
        <f t="array" ref="U554">IF(
OR(AD554="",ISERROR(AD554)),
"-",
_xlfn.UNIQUE(_xlfn._xlws.FILTER([1]Sheet1!$D$2:$D$200,ISNUMBER(SEARCH(AD554,[1]Sheet1!$D$2:$D$200))))
)</f>
        <v>에이치엔엘트랜스</v>
      </c>
      <c r="V554" s="23">
        <v>574000</v>
      </c>
      <c r="W554" s="23">
        <v>532400</v>
      </c>
      <c r="X554" s="23">
        <f t="shared" si="19"/>
        <v>41600</v>
      </c>
      <c r="Y554" s="25" t="s">
        <v>2213</v>
      </c>
      <c r="Z554" s="19" t="s">
        <v>51</v>
      </c>
      <c r="AA554" s="19" t="s">
        <v>144</v>
      </c>
      <c r="AB554" s="18" t="s">
        <v>2214</v>
      </c>
      <c r="AC554" s="17" t="str">
        <f t="shared" si="18"/>
        <v/>
      </c>
      <c r="AD554" s="17" t="s">
        <v>324</v>
      </c>
      <c r="AE554" s="26">
        <v>0.375</v>
      </c>
      <c r="AF554" s="27"/>
      <c r="AG554" s="27"/>
    </row>
    <row r="555" spans="1:35" ht="34.950000000000003" customHeight="1" x14ac:dyDescent="0.4">
      <c r="A555" s="16" t="s">
        <v>71</v>
      </c>
      <c r="B555" s="16" t="s">
        <v>37</v>
      </c>
      <c r="C555" s="17">
        <v>46015</v>
      </c>
      <c r="D555" s="16" t="s">
        <v>1624</v>
      </c>
      <c r="E555" s="16" t="s">
        <v>2209</v>
      </c>
      <c r="F555" s="16">
        <v>26241</v>
      </c>
      <c r="G555" s="18" t="s">
        <v>2210</v>
      </c>
      <c r="H555" s="16" t="s">
        <v>41</v>
      </c>
      <c r="I555" s="19" t="s">
        <v>86</v>
      </c>
      <c r="J555" s="16" t="str">
        <f>IFERROR(VLOOKUP(I555,[1]Sheet1!$A$1:$B$200,2,0),"_")</f>
        <v>HP</v>
      </c>
      <c r="K555" s="19" t="s">
        <v>137</v>
      </c>
      <c r="L555" s="16" t="str">
        <f>IFERROR(VLOOKUP(K555,[1]Sheet1!$A$1:$B$200,2,0),"-")</f>
        <v>BE</v>
      </c>
      <c r="M555" s="19" t="s">
        <v>87</v>
      </c>
      <c r="N555" s="16" t="str">
        <f>IFERROR(VLOOKUP(M555,[1]Sheet1!$G$2:$H$200,2,0),"-")</f>
        <v>HDMU</v>
      </c>
      <c r="O555" s="18" t="s">
        <v>55</v>
      </c>
      <c r="P555" s="17" t="s">
        <v>55</v>
      </c>
      <c r="Q555" s="20" t="s">
        <v>2211</v>
      </c>
      <c r="R555" s="20"/>
      <c r="S555" s="21" t="str" cm="1">
        <f t="array" ref="S555">IF(
OR(AD555="",ISERROR(AD555)),
"-",
_xlfn.UNIQUE(_xlfn._xlws.FILTER([1]Sheet1!$D$2:$D$200,ISNUMBER(SEARCH(AD555,[1]Sheet1!$D$2:$D$200))))
)</f>
        <v>에이치엔엘트랜스</v>
      </c>
      <c r="T555" s="22" t="s">
        <v>2212</v>
      </c>
      <c r="U555" s="16" t="str" cm="1">
        <f t="array" ref="U555">IF(
OR(AD555="",ISERROR(AD555)),
"-",
_xlfn.UNIQUE(_xlfn._xlws.FILTER([1]Sheet1!$D$2:$D$200,ISNUMBER(SEARCH(AD555,[1]Sheet1!$D$2:$D$200))))
)</f>
        <v>에이치엔엘트랜스</v>
      </c>
      <c r="V555" s="23">
        <v>10000</v>
      </c>
      <c r="W555" s="23">
        <v>10000</v>
      </c>
      <c r="X555" s="23">
        <f t="shared" si="19"/>
        <v>0</v>
      </c>
      <c r="Y555" s="25" t="s">
        <v>2215</v>
      </c>
      <c r="Z555" s="19" t="s">
        <v>51</v>
      </c>
      <c r="AA555" s="19" t="s">
        <v>144</v>
      </c>
      <c r="AB555" s="18" t="s">
        <v>2214</v>
      </c>
      <c r="AC555" s="17" t="str">
        <f t="shared" si="18"/>
        <v/>
      </c>
      <c r="AD555" s="17" t="s">
        <v>324</v>
      </c>
      <c r="AE555" s="26">
        <v>0.375</v>
      </c>
      <c r="AF555" s="27"/>
      <c r="AG555" s="27"/>
    </row>
    <row r="556" spans="1:35" ht="34.950000000000003" customHeight="1" x14ac:dyDescent="0.4">
      <c r="A556" s="16" t="s">
        <v>71</v>
      </c>
      <c r="B556" s="16" t="s">
        <v>37</v>
      </c>
      <c r="C556" s="17">
        <v>46015</v>
      </c>
      <c r="D556" s="16" t="s">
        <v>1624</v>
      </c>
      <c r="E556" s="16" t="s">
        <v>2209</v>
      </c>
      <c r="F556" s="16">
        <v>26241</v>
      </c>
      <c r="G556" s="18" t="s">
        <v>2210</v>
      </c>
      <c r="H556" s="16" t="s">
        <v>41</v>
      </c>
      <c r="I556" s="19" t="s">
        <v>86</v>
      </c>
      <c r="J556" s="16" t="str">
        <f>IFERROR(VLOOKUP(I556,[1]Sheet1!$A$1:$B$200,2,0),"_")</f>
        <v>HP</v>
      </c>
      <c r="K556" s="19" t="s">
        <v>137</v>
      </c>
      <c r="L556" s="16" t="str">
        <f>IFERROR(VLOOKUP(K556,[1]Sheet1!$A$1:$B$200,2,0),"-")</f>
        <v>BE</v>
      </c>
      <c r="M556" s="19" t="s">
        <v>87</v>
      </c>
      <c r="N556" s="16" t="str">
        <f>IFERROR(VLOOKUP(M556,[1]Sheet1!$G$2:$H$200,2,0),"-")</f>
        <v>HDMU</v>
      </c>
      <c r="O556" s="18" t="s">
        <v>55</v>
      </c>
      <c r="P556" s="17" t="s">
        <v>55</v>
      </c>
      <c r="Q556" s="20" t="s">
        <v>2211</v>
      </c>
      <c r="R556" s="20"/>
      <c r="S556" s="21" t="str" cm="1">
        <f t="array" ref="S556">IF(
OR(AD556="",ISERROR(AD556)),
"-",
_xlfn.UNIQUE(_xlfn._xlws.FILTER([1]Sheet1!$D$2:$D$200,ISNUMBER(SEARCH(AD556,[1]Sheet1!$D$2:$D$200))))
)</f>
        <v>에이치엔엘트랜스</v>
      </c>
      <c r="T556" s="22" t="s">
        <v>2212</v>
      </c>
      <c r="U556" s="16" t="str" cm="1">
        <f t="array" ref="U556">IF(
OR(AD556="",ISERROR(AD556)),
"-",
_xlfn.UNIQUE(_xlfn._xlws.FILTER([1]Sheet1!$D$2:$D$200,ISNUMBER(SEARCH(AD556,[1]Sheet1!$D$2:$D$200))))
)</f>
        <v>에이치엔엘트랜스</v>
      </c>
      <c r="V556" s="23">
        <v>100000</v>
      </c>
      <c r="W556" s="23">
        <v>60000</v>
      </c>
      <c r="X556" s="23">
        <f t="shared" si="19"/>
        <v>40000</v>
      </c>
      <c r="Y556" s="25" t="s">
        <v>2216</v>
      </c>
      <c r="Z556" s="19" t="s">
        <v>51</v>
      </c>
      <c r="AA556" s="19" t="s">
        <v>144</v>
      </c>
      <c r="AB556" s="18" t="s">
        <v>2214</v>
      </c>
      <c r="AC556" s="17" t="str">
        <f t="shared" si="18"/>
        <v/>
      </c>
      <c r="AD556" s="17" t="s">
        <v>324</v>
      </c>
      <c r="AE556" s="26">
        <v>0.375</v>
      </c>
      <c r="AF556" s="27"/>
      <c r="AG556" s="27"/>
    </row>
    <row r="557" spans="1:35" ht="34.950000000000003" customHeight="1" x14ac:dyDescent="0.4">
      <c r="A557" s="16" t="s">
        <v>36</v>
      </c>
      <c r="B557" s="16" t="s">
        <v>37</v>
      </c>
      <c r="C557" s="17">
        <v>46015</v>
      </c>
      <c r="D557" s="16" t="s">
        <v>1624</v>
      </c>
      <c r="E557" s="16" t="s">
        <v>2217</v>
      </c>
      <c r="F557" s="16">
        <v>28947</v>
      </c>
      <c r="G557" s="18" t="s">
        <v>2218</v>
      </c>
      <c r="H557" s="16" t="s">
        <v>59</v>
      </c>
      <c r="I557" s="19" t="s">
        <v>1073</v>
      </c>
      <c r="J557" s="16" t="str">
        <f>IFERROR(VLOOKUP(I557,[1]Sheet1!$A$1:$B$200,2,0),"_")</f>
        <v>HWA</v>
      </c>
      <c r="K557" s="19" t="s">
        <v>317</v>
      </c>
      <c r="L557" s="16" t="str">
        <f>IFERROR(VLOOKUP(K557,[1]Sheet1!$A$1:$B$200,2,0),"-")</f>
        <v>HN</v>
      </c>
      <c r="M557" s="19" t="s">
        <v>2219</v>
      </c>
      <c r="N557" s="16" t="str">
        <f>IFERROR(VLOOKUP(M557,[1]Sheet1!$G$2:$H$200,2,0),"-")</f>
        <v>XXXX</v>
      </c>
      <c r="O557" s="18" t="s">
        <v>55</v>
      </c>
      <c r="P557" s="17" t="s">
        <v>55</v>
      </c>
      <c r="Q557" s="20" t="s">
        <v>1480</v>
      </c>
      <c r="R557" s="20"/>
      <c r="S557" s="21" t="str" cm="1">
        <f t="array" ref="S557">IF(
OR(AD557="",ISERROR(AD557)),
"-",
_xlfn.UNIQUE(_xlfn._xlws.FILTER([1]Sheet1!$D$2:$D$200,ISNUMBER(SEARCH(AD557,[1]Sheet1!$D$2:$D$200))))
)</f>
        <v>(주)유진로직스</v>
      </c>
      <c r="T557" s="22" t="s">
        <v>2220</v>
      </c>
      <c r="U557" s="16" t="str" cm="1">
        <f t="array" ref="U557">IF(
OR(AD557="",ISERROR(AD557)),
"-",
_xlfn.UNIQUE(_xlfn._xlws.FILTER([1]Sheet1!$D$2:$D$200,ISNUMBER(SEARCH(AD557,[1]Sheet1!$D$2:$D$200))))
)</f>
        <v>(주)유진로직스</v>
      </c>
      <c r="V557" s="23">
        <v>580000</v>
      </c>
      <c r="W557" s="23">
        <v>549000</v>
      </c>
      <c r="X557" s="23">
        <f t="shared" si="19"/>
        <v>31000</v>
      </c>
      <c r="Y557" s="25" t="s">
        <v>2221</v>
      </c>
      <c r="Z557" s="19" t="s">
        <v>51</v>
      </c>
      <c r="AA557" s="19" t="s">
        <v>144</v>
      </c>
      <c r="AB557" s="18" t="s">
        <v>2222</v>
      </c>
      <c r="AC557" s="17" t="str">
        <f t="shared" si="18"/>
        <v>Y</v>
      </c>
      <c r="AD557" s="17" t="s">
        <v>70</v>
      </c>
      <c r="AE557" s="26">
        <v>0.58333333333333337</v>
      </c>
      <c r="AF557" s="27"/>
      <c r="AG557" s="27"/>
      <c r="AI557" s="28" t="s">
        <v>228</v>
      </c>
    </row>
    <row r="558" spans="1:35" ht="34.950000000000003" customHeight="1" x14ac:dyDescent="0.4">
      <c r="A558" s="16" t="s">
        <v>36</v>
      </c>
      <c r="B558" s="16" t="s">
        <v>37</v>
      </c>
      <c r="C558" s="17">
        <v>46015</v>
      </c>
      <c r="D558" s="16" t="s">
        <v>1624</v>
      </c>
      <c r="E558" s="16" t="s">
        <v>2217</v>
      </c>
      <c r="F558" s="16">
        <v>28947</v>
      </c>
      <c r="G558" s="18" t="s">
        <v>2218</v>
      </c>
      <c r="H558" s="16" t="s">
        <v>59</v>
      </c>
      <c r="I558" s="19" t="s">
        <v>1073</v>
      </c>
      <c r="J558" s="16" t="str">
        <f>IFERROR(VLOOKUP(I558,[1]Sheet1!$A$1:$B$200,2,0),"_")</f>
        <v>HWA</v>
      </c>
      <c r="K558" s="19" t="s">
        <v>317</v>
      </c>
      <c r="L558" s="16" t="str">
        <f>IFERROR(VLOOKUP(K558,[1]Sheet1!$A$1:$B$200,2,0),"-")</f>
        <v>HN</v>
      </c>
      <c r="M558" s="19" t="s">
        <v>2219</v>
      </c>
      <c r="N558" s="16" t="str">
        <f>IFERROR(VLOOKUP(M558,[1]Sheet1!$G$2:$H$200,2,0),"-")</f>
        <v>XXXX</v>
      </c>
      <c r="O558" s="18" t="s">
        <v>55</v>
      </c>
      <c r="P558" s="17" t="s">
        <v>55</v>
      </c>
      <c r="Q558" s="20" t="s">
        <v>2223</v>
      </c>
      <c r="R558" s="20"/>
      <c r="S558" s="21" t="str" cm="1">
        <f t="array" ref="S558">IF(
OR(AD558="",ISERROR(AD558)),
"-",
_xlfn.UNIQUE(_xlfn._xlws.FILTER([1]Sheet1!$D$2:$D$200,ISNUMBER(SEARCH(AD558,[1]Sheet1!$D$2:$D$200))))
)</f>
        <v>(주)유진로직스</v>
      </c>
      <c r="T558" s="22" t="s">
        <v>2224</v>
      </c>
      <c r="U558" s="16" t="str" cm="1">
        <f t="array" ref="U558">IF(
OR(AD558="",ISERROR(AD558)),
"-",
_xlfn.UNIQUE(_xlfn._xlws.FILTER([1]Sheet1!$D$2:$D$200,ISNUMBER(SEARCH(AD558,[1]Sheet1!$D$2:$D$200))))
)</f>
        <v>(주)유진로직스</v>
      </c>
      <c r="V558" s="23">
        <v>580000</v>
      </c>
      <c r="W558" s="23">
        <v>549000</v>
      </c>
      <c r="X558" s="23">
        <f t="shared" si="19"/>
        <v>31000</v>
      </c>
      <c r="Y558" s="25" t="s">
        <v>2221</v>
      </c>
      <c r="Z558" s="19" t="s">
        <v>51</v>
      </c>
      <c r="AA558" s="19" t="s">
        <v>144</v>
      </c>
      <c r="AB558" s="18" t="s">
        <v>2222</v>
      </c>
      <c r="AC558" s="17" t="str">
        <f t="shared" si="18"/>
        <v>Y</v>
      </c>
      <c r="AD558" s="17" t="s">
        <v>70</v>
      </c>
      <c r="AE558" s="26">
        <v>0.58333333333333337</v>
      </c>
      <c r="AF558" s="27"/>
      <c r="AG558" s="27"/>
      <c r="AI558" s="28" t="s">
        <v>228</v>
      </c>
    </row>
    <row r="559" spans="1:35" ht="34.950000000000003" customHeight="1" x14ac:dyDescent="0.4">
      <c r="A559" s="16" t="s">
        <v>36</v>
      </c>
      <c r="B559" s="16" t="s">
        <v>37</v>
      </c>
      <c r="C559" s="17">
        <v>46015</v>
      </c>
      <c r="D559" s="16" t="s">
        <v>1624</v>
      </c>
      <c r="E559" s="16" t="s">
        <v>2217</v>
      </c>
      <c r="F559" s="16">
        <v>28947</v>
      </c>
      <c r="G559" s="18" t="s">
        <v>2218</v>
      </c>
      <c r="H559" s="16" t="s">
        <v>59</v>
      </c>
      <c r="I559" s="19" t="s">
        <v>1073</v>
      </c>
      <c r="J559" s="16" t="str">
        <f>IFERROR(VLOOKUP(I559,[1]Sheet1!$A$1:$B$200,2,0),"_")</f>
        <v>HWA</v>
      </c>
      <c r="K559" s="19" t="s">
        <v>317</v>
      </c>
      <c r="L559" s="16" t="str">
        <f>IFERROR(VLOOKUP(K559,[1]Sheet1!$A$1:$B$200,2,0),"-")</f>
        <v>HN</v>
      </c>
      <c r="M559" s="19" t="s">
        <v>2219</v>
      </c>
      <c r="N559" s="16" t="str">
        <f>IFERROR(VLOOKUP(M559,[1]Sheet1!$G$2:$H$200,2,0),"-")</f>
        <v>XXXX</v>
      </c>
      <c r="O559" s="18" t="s">
        <v>55</v>
      </c>
      <c r="P559" s="17" t="s">
        <v>55</v>
      </c>
      <c r="Q559" s="20" t="s">
        <v>791</v>
      </c>
      <c r="R559" s="20"/>
      <c r="S559" s="21" t="str" cm="1">
        <f t="array" ref="S559">IF(
OR(AD559="",ISERROR(AD559)),
"-",
_xlfn.UNIQUE(_xlfn._xlws.FILTER([1]Sheet1!$D$2:$D$200,ISNUMBER(SEARCH(AD559,[1]Sheet1!$D$2:$D$200))))
)</f>
        <v>(주)유진로직스</v>
      </c>
      <c r="T559" s="22" t="s">
        <v>2225</v>
      </c>
      <c r="U559" s="16" t="str" cm="1">
        <f t="array" ref="U559">IF(
OR(AD559="",ISERROR(AD559)),
"-",
_xlfn.UNIQUE(_xlfn._xlws.FILTER([1]Sheet1!$D$2:$D$200,ISNUMBER(SEARCH(AD559,[1]Sheet1!$D$2:$D$200))))
)</f>
        <v>(주)유진로직스</v>
      </c>
      <c r="V559" s="23">
        <v>450000</v>
      </c>
      <c r="W559" s="23">
        <v>426000</v>
      </c>
      <c r="X559" s="23">
        <f t="shared" si="19"/>
        <v>24000</v>
      </c>
      <c r="Y559" s="25" t="s">
        <v>2221</v>
      </c>
      <c r="Z559" s="19" t="s">
        <v>51</v>
      </c>
      <c r="AA559" s="19" t="s">
        <v>144</v>
      </c>
      <c r="AB559" s="18" t="s">
        <v>2222</v>
      </c>
      <c r="AC559" s="17" t="str">
        <f t="shared" si="18"/>
        <v>Y</v>
      </c>
      <c r="AD559" s="17" t="s">
        <v>70</v>
      </c>
      <c r="AE559" s="26">
        <v>0.58333333333333337</v>
      </c>
      <c r="AF559" s="27"/>
      <c r="AG559" s="27"/>
      <c r="AI559" s="28" t="s">
        <v>228</v>
      </c>
    </row>
    <row r="560" spans="1:35" ht="34.950000000000003" customHeight="1" x14ac:dyDescent="0.4">
      <c r="A560" s="16" t="s">
        <v>71</v>
      </c>
      <c r="B560" s="16" t="s">
        <v>37</v>
      </c>
      <c r="C560" s="17">
        <v>46015</v>
      </c>
      <c r="D560" s="16" t="s">
        <v>72</v>
      </c>
      <c r="E560" s="16" t="s">
        <v>2226</v>
      </c>
      <c r="F560" s="16">
        <v>23806</v>
      </c>
      <c r="G560" s="18" t="s">
        <v>2227</v>
      </c>
      <c r="H560" s="16" t="s">
        <v>75</v>
      </c>
      <c r="I560" s="19" t="s">
        <v>42</v>
      </c>
      <c r="J560" s="16" t="str">
        <f>IFERROR(VLOOKUP(I560,[1]Sheet1!$A$1:$B$200,2,0),"_")</f>
        <v>P</v>
      </c>
      <c r="K560" s="19" t="s">
        <v>1354</v>
      </c>
      <c r="L560" s="16" t="str">
        <f>IFERROR(VLOOKUP(K560,[1]Sheet1!$A$1:$B$200,2,0),"-")</f>
        <v>MF</v>
      </c>
      <c r="M560" s="19" t="s">
        <v>2228</v>
      </c>
      <c r="N560" s="16" t="str">
        <f>IFERROR(VLOOKUP(M560,[1]Sheet1!$G$2:$H$200,2,0),"-")</f>
        <v>PSLU</v>
      </c>
      <c r="O560" s="18" t="s">
        <v>2229</v>
      </c>
      <c r="P560" s="17">
        <v>46015</v>
      </c>
      <c r="Q560" s="20" t="s">
        <v>2230</v>
      </c>
      <c r="R560" s="20"/>
      <c r="S560" s="21" t="str" cm="1">
        <f t="array" ref="S560">IF(
OR(AD560="",ISERROR(AD560)),
"-",
_xlfn.UNIQUE(_xlfn._xlws.FILTER([1]Sheet1!$D$2:$D$200,ISNUMBER(SEARCH(AD560,[1]Sheet1!$D$2:$D$200))))
)</f>
        <v>세방육운</v>
      </c>
      <c r="T560" s="22" t="s">
        <v>2231</v>
      </c>
      <c r="U560" s="16" t="str" cm="1">
        <f t="array" ref="U560">IF(
OR(AD560="",ISERROR(AD560)),
"-",
_xlfn.UNIQUE(_xlfn._xlws.FILTER([1]Sheet1!$D$2:$D$200,ISNUMBER(SEARCH(AD560,[1]Sheet1!$D$2:$D$200))))
)</f>
        <v>세방육운</v>
      </c>
      <c r="V560" s="23">
        <v>835000</v>
      </c>
      <c r="W560" s="23">
        <v>648300</v>
      </c>
      <c r="X560" s="23">
        <f t="shared" si="19"/>
        <v>186700</v>
      </c>
      <c r="Y560" s="25" t="s">
        <v>2232</v>
      </c>
      <c r="Z560" s="19" t="s">
        <v>51</v>
      </c>
      <c r="AA560" s="19" t="s">
        <v>81</v>
      </c>
      <c r="AC560" s="17" t="str">
        <f t="shared" si="18"/>
        <v>Y</v>
      </c>
      <c r="AD560" s="17" t="s">
        <v>2233</v>
      </c>
      <c r="AE560" s="26" t="s">
        <v>2234</v>
      </c>
      <c r="AF560" s="27"/>
      <c r="AG560" s="27"/>
      <c r="AI560" s="28" t="s">
        <v>228</v>
      </c>
    </row>
    <row r="561" spans="1:35" ht="34.950000000000003" customHeight="1" x14ac:dyDescent="0.4">
      <c r="A561" s="16" t="s">
        <v>36</v>
      </c>
      <c r="B561" s="16" t="s">
        <v>37</v>
      </c>
      <c r="C561" s="17">
        <v>46015</v>
      </c>
      <c r="D561" s="16" t="s">
        <v>38</v>
      </c>
      <c r="E561" s="16" t="s">
        <v>39</v>
      </c>
      <c r="F561" s="16">
        <v>27636</v>
      </c>
      <c r="G561" s="18" t="s">
        <v>1185</v>
      </c>
      <c r="H561" s="16" t="s">
        <v>59</v>
      </c>
      <c r="I561" s="19" t="s">
        <v>60</v>
      </c>
      <c r="J561" s="16" t="str">
        <f>IFERROR(VLOOKUP(I561,[1]Sheet1!$A$1:$B$200,2,0),"_")</f>
        <v>KQ</v>
      </c>
      <c r="K561" s="19" t="s">
        <v>751</v>
      </c>
      <c r="L561" s="16" t="str">
        <f>IFERROR(VLOOKUP(K561,[1]Sheet1!$A$1:$B$200,2,0),"-")</f>
        <v>PN</v>
      </c>
      <c r="M561" s="19" t="s">
        <v>64</v>
      </c>
      <c r="N561" s="16" t="str">
        <f>IFERROR(VLOOKUP(M561,[1]Sheet1!$G$2:$H$200,2,0),"-")</f>
        <v>XXXX</v>
      </c>
      <c r="O561" s="18" t="s">
        <v>55</v>
      </c>
      <c r="P561" s="17" t="s">
        <v>55</v>
      </c>
      <c r="Q561" s="20" t="s">
        <v>830</v>
      </c>
      <c r="R561" s="20" t="s">
        <v>2235</v>
      </c>
      <c r="S561" s="21" t="str" cm="1">
        <f t="array" ref="S561">IF(
OR(AD561="",ISERROR(AD561)),
"-",
_xlfn.UNIQUE(_xlfn._xlws.FILTER([1]Sheet1!$D$2:$D$200,ISNUMBER(SEARCH(AD561,[1]Sheet1!$D$2:$D$200))))
)</f>
        <v>(주)유진로직스</v>
      </c>
      <c r="T561" s="22" t="s">
        <v>1642</v>
      </c>
      <c r="U561" s="16" t="str" cm="1">
        <f t="array" ref="U561">IF(
OR(AD561="",ISERROR(AD561)),
"-",
_xlfn.UNIQUE(_xlfn._xlws.FILTER([1]Sheet1!$D$2:$D$200,ISNUMBER(SEARCH(AD561,[1]Sheet1!$D$2:$D$200))))
)</f>
        <v>(주)유진로직스</v>
      </c>
      <c r="V561" s="23">
        <v>90000</v>
      </c>
      <c r="W561" s="23">
        <v>60000</v>
      </c>
      <c r="X561" s="23">
        <f t="shared" si="19"/>
        <v>30000</v>
      </c>
      <c r="Y561" s="25" t="s">
        <v>2236</v>
      </c>
      <c r="Z561" s="19" t="s">
        <v>51</v>
      </c>
      <c r="AA561" s="19" t="s">
        <v>52</v>
      </c>
      <c r="AB561" s="18" t="s">
        <v>2237</v>
      </c>
      <c r="AC561" s="17" t="str">
        <f t="shared" si="18"/>
        <v>Y</v>
      </c>
      <c r="AD561" s="17" t="s">
        <v>70</v>
      </c>
      <c r="AE561" s="26">
        <v>0.41666666666666669</v>
      </c>
      <c r="AF561" s="27"/>
      <c r="AG561" s="27"/>
      <c r="AI561" s="28" t="s">
        <v>228</v>
      </c>
    </row>
    <row r="562" spans="1:35" ht="34.799999999999997" customHeight="1" x14ac:dyDescent="0.4">
      <c r="A562" s="16" t="s">
        <v>36</v>
      </c>
      <c r="B562" s="16" t="s">
        <v>37</v>
      </c>
      <c r="C562" s="17">
        <v>46015</v>
      </c>
      <c r="D562" s="16" t="s">
        <v>248</v>
      </c>
      <c r="E562" s="16" t="s">
        <v>315</v>
      </c>
      <c r="F562" s="16">
        <v>24022</v>
      </c>
      <c r="G562" s="18" t="s">
        <v>1848</v>
      </c>
      <c r="H562" s="16" t="s">
        <v>41</v>
      </c>
      <c r="I562" s="19" t="s">
        <v>86</v>
      </c>
      <c r="J562" s="16" t="str">
        <f>IFERROR(VLOOKUP(I562,[1]Sheet1!$A$1:$B$200,2,0),"_")</f>
        <v>HP</v>
      </c>
      <c r="K562" s="19" t="s">
        <v>86</v>
      </c>
      <c r="L562" s="16" t="str">
        <f>IFERROR(VLOOKUP(K562,[1]Sheet1!$A$1:$B$200,2,0),"-")</f>
        <v>HP</v>
      </c>
      <c r="M562" s="19" t="s">
        <v>318</v>
      </c>
      <c r="N562" s="16" t="str">
        <f>IFERROR(VLOOKUP(M562,[1]Sheet1!$G$2:$H$200,2,0),"-")</f>
        <v>SM</v>
      </c>
      <c r="O562" s="18" t="s">
        <v>1849</v>
      </c>
      <c r="P562" s="17">
        <v>46016</v>
      </c>
      <c r="Q562" s="20" t="s">
        <v>1850</v>
      </c>
      <c r="R562" s="20" t="s">
        <v>1851</v>
      </c>
      <c r="S562" s="21" t="str" cm="1">
        <f t="array" ref="S562">IF(
OR(AD562="",ISERROR(AD562)),
"-",
_xlfn.UNIQUE(_xlfn._xlws.FILTER([1]Sheet1!$D$2:$D$200,ISNUMBER(SEARCH(AD562,[1]Sheet1!$D$2:$D$200))))
)</f>
        <v>에이치엔엘트랜스</v>
      </c>
      <c r="T562" s="22" t="s">
        <v>2238</v>
      </c>
      <c r="U562" s="16" t="str" cm="1">
        <f t="array" ref="U562">IF(
OR(AD562="",ISERROR(AD562)),
"-",
_xlfn.UNIQUE(_xlfn._xlws.FILTER([1]Sheet1!$D$2:$D$200,ISNUMBER(SEARCH(AD562,[1]Sheet1!$D$2:$D$200))))
)</f>
        <v>에이치엔엘트랜스</v>
      </c>
      <c r="V562" s="23">
        <v>418000</v>
      </c>
      <c r="W562" s="23">
        <v>385000</v>
      </c>
      <c r="X562" s="23">
        <f t="shared" si="19"/>
        <v>33000</v>
      </c>
      <c r="Y562" s="25" t="s">
        <v>1852</v>
      </c>
      <c r="Z562" s="19" t="s">
        <v>51</v>
      </c>
      <c r="AA562" s="19" t="s">
        <v>144</v>
      </c>
      <c r="AB562" s="18" t="s">
        <v>2239</v>
      </c>
      <c r="AC562" s="17" t="str">
        <f t="shared" si="18"/>
        <v>Y</v>
      </c>
      <c r="AD562" s="17" t="s">
        <v>324</v>
      </c>
      <c r="AE562" s="26">
        <v>0.79166666666666663</v>
      </c>
      <c r="AF562" s="27"/>
      <c r="AG562" s="27"/>
      <c r="AI562" s="28" t="s">
        <v>228</v>
      </c>
    </row>
    <row r="563" spans="1:35" ht="34.799999999999997" customHeight="1" x14ac:dyDescent="0.4">
      <c r="A563" s="16" t="s">
        <v>36</v>
      </c>
      <c r="B563" s="16" t="s">
        <v>37</v>
      </c>
      <c r="C563" s="17">
        <v>46015</v>
      </c>
      <c r="D563" s="16" t="s">
        <v>261</v>
      </c>
      <c r="E563" s="16" t="s">
        <v>2240</v>
      </c>
      <c r="F563" s="16">
        <v>24963</v>
      </c>
      <c r="G563" s="18" t="s">
        <v>2241</v>
      </c>
      <c r="H563" s="16" t="s">
        <v>41</v>
      </c>
      <c r="I563" s="19" t="s">
        <v>272</v>
      </c>
      <c r="J563" s="16" t="str">
        <f>IFERROR(VLOOKUP(I563,[1]Sheet1!$A$1:$B$200,2,0),"_")</f>
        <v>Z9</v>
      </c>
      <c r="K563" s="19" t="s">
        <v>272</v>
      </c>
      <c r="L563" s="16" t="str">
        <f>IFERROR(VLOOKUP(K563,[1]Sheet1!$A$1:$B$200,2,0),"-")</f>
        <v>Z9</v>
      </c>
      <c r="M563" s="19" t="s">
        <v>667</v>
      </c>
      <c r="N563" s="16" t="str">
        <f>IFERROR(VLOOKUP(M563,[1]Sheet1!$G$2:$H$200,2,0),"-")</f>
        <v>CKCO</v>
      </c>
      <c r="O563" s="18" t="s">
        <v>2242</v>
      </c>
      <c r="P563" s="17">
        <v>46017</v>
      </c>
      <c r="Q563" s="20" t="s">
        <v>2243</v>
      </c>
      <c r="R563" s="20" t="s">
        <v>2244</v>
      </c>
      <c r="S563" s="21" t="str" cm="1">
        <f t="array" ref="S563">IF(
OR(AD563="",ISERROR(AD563)),
"-",
_xlfn.UNIQUE(_xlfn._xlws.FILTER([1]Sheet1!$D$2:$D$200,ISNUMBER(SEARCH(AD563,[1]Sheet1!$D$2:$D$200))))
)</f>
        <v>(주)천경</v>
      </c>
      <c r="T563" s="22" t="s">
        <v>2245</v>
      </c>
      <c r="U563" s="16" t="str" cm="1">
        <f t="array" ref="U563">IF(
OR(AD563="",ISERROR(AD563)),
"-",
_xlfn.UNIQUE(_xlfn._xlws.FILTER([1]Sheet1!$D$2:$D$200,ISNUMBER(SEARCH(AD563,[1]Sheet1!$D$2:$D$200))))
)</f>
        <v>(주)천경</v>
      </c>
      <c r="V563" s="23">
        <v>260000</v>
      </c>
      <c r="W563" s="23">
        <v>247800</v>
      </c>
      <c r="X563" s="23">
        <f t="shared" si="19"/>
        <v>12200</v>
      </c>
      <c r="Y563" s="25" t="s">
        <v>2246</v>
      </c>
      <c r="Z563" s="19" t="s">
        <v>51</v>
      </c>
      <c r="AA563" s="19" t="s">
        <v>93</v>
      </c>
      <c r="AC563" s="17" t="str">
        <f t="shared" si="18"/>
        <v>Y</v>
      </c>
      <c r="AD563" s="17" t="s">
        <v>473</v>
      </c>
      <c r="AE563" s="26">
        <v>0.58333333333333337</v>
      </c>
      <c r="AF563" s="27"/>
      <c r="AG563" s="27"/>
      <c r="AI563" s="28" t="s">
        <v>228</v>
      </c>
    </row>
    <row r="564" spans="1:35" ht="34.799999999999997" customHeight="1" x14ac:dyDescent="0.4">
      <c r="A564" s="16" t="s">
        <v>71</v>
      </c>
      <c r="B564" s="16" t="s">
        <v>37</v>
      </c>
      <c r="C564" s="17">
        <v>46015</v>
      </c>
      <c r="D564" s="16" t="s">
        <v>72</v>
      </c>
      <c r="E564" s="16" t="s">
        <v>2226</v>
      </c>
      <c r="F564" s="16">
        <v>23806</v>
      </c>
      <c r="G564" s="18" t="s">
        <v>2247</v>
      </c>
      <c r="H564" s="16" t="s">
        <v>59</v>
      </c>
      <c r="I564" s="19" t="s">
        <v>817</v>
      </c>
      <c r="J564" s="16" t="str">
        <f>IFERROR(VLOOKUP(I564,[1]Sheet1!$A$1:$B$200,2,0),"_")</f>
        <v>PP</v>
      </c>
      <c r="K564" s="19" t="s">
        <v>1354</v>
      </c>
      <c r="L564" s="16" t="str">
        <f>IFERROR(VLOOKUP(K564,[1]Sheet1!$A$1:$B$200,2,0),"-")</f>
        <v>MF</v>
      </c>
      <c r="M564" s="19" t="s">
        <v>2219</v>
      </c>
      <c r="N564" s="16" t="str">
        <f>IFERROR(VLOOKUP(M564,[1]Sheet1!$G$2:$H$200,2,0),"-")</f>
        <v>XXXX</v>
      </c>
      <c r="O564" s="18" t="s">
        <v>55</v>
      </c>
      <c r="P564" s="17" t="s">
        <v>55</v>
      </c>
      <c r="Q564" s="20" t="s">
        <v>791</v>
      </c>
      <c r="R564" s="20"/>
      <c r="S564" s="21" t="str" cm="1">
        <f t="array" ref="S564">IF(
OR(AD564="",ISERROR(AD564)),
"-",
_xlfn.UNIQUE(_xlfn._xlws.FILTER([1]Sheet1!$D$2:$D$200,ISNUMBER(SEARCH(AD564,[1]Sheet1!$D$2:$D$200))))
)</f>
        <v>(주)유진로직스</v>
      </c>
      <c r="T564" s="22" t="s">
        <v>2248</v>
      </c>
      <c r="U564" s="16" t="str" cm="1">
        <f t="array" ref="U564">IF(
OR(AD564="",ISERROR(AD564)),
"-",
_xlfn.UNIQUE(_xlfn._xlws.FILTER([1]Sheet1!$D$2:$D$200,ISNUMBER(SEARCH(AD564,[1]Sheet1!$D$2:$D$200))))
)</f>
        <v>(주)유진로직스</v>
      </c>
      <c r="V564" s="23">
        <v>410000</v>
      </c>
      <c r="W564" s="23">
        <v>353000</v>
      </c>
      <c r="X564" s="23">
        <f t="shared" si="19"/>
        <v>57000</v>
      </c>
      <c r="Y564" s="25" t="s">
        <v>2249</v>
      </c>
      <c r="Z564" s="19" t="s">
        <v>51</v>
      </c>
      <c r="AA564" s="19" t="s">
        <v>81</v>
      </c>
      <c r="AB564" s="18" t="s">
        <v>2250</v>
      </c>
      <c r="AC564" s="17" t="str">
        <f t="shared" si="18"/>
        <v>Y</v>
      </c>
      <c r="AD564" s="17" t="s">
        <v>70</v>
      </c>
      <c r="AE564" s="26" t="s">
        <v>2251</v>
      </c>
      <c r="AF564" s="27"/>
      <c r="AG564" s="27"/>
      <c r="AI564" s="28" t="s">
        <v>228</v>
      </c>
    </row>
    <row r="565" spans="1:35" ht="34.799999999999997" customHeight="1" x14ac:dyDescent="0.4">
      <c r="A565" s="16" t="s">
        <v>36</v>
      </c>
      <c r="B565" s="16" t="s">
        <v>37</v>
      </c>
      <c r="C565" s="17">
        <v>46015</v>
      </c>
      <c r="D565" s="16" t="s">
        <v>248</v>
      </c>
      <c r="E565" s="16" t="s">
        <v>2252</v>
      </c>
      <c r="F565" s="16">
        <v>28605</v>
      </c>
      <c r="G565" s="18" t="s">
        <v>2253</v>
      </c>
      <c r="H565" s="16" t="s">
        <v>41</v>
      </c>
      <c r="I565" s="19" t="s">
        <v>751</v>
      </c>
      <c r="J565" s="16" t="str">
        <f>IFERROR(VLOOKUP(I565,[1]Sheet1!$A$1:$B$200,2,0),"_")</f>
        <v>PN</v>
      </c>
      <c r="K565" s="19" t="s">
        <v>730</v>
      </c>
      <c r="L565" s="16" t="str">
        <f>IFERROR(VLOOKUP(K565,[1]Sheet1!$A$1:$B$200,2,0),"-")</f>
        <v>TG</v>
      </c>
      <c r="M565" s="19" t="s">
        <v>1160</v>
      </c>
      <c r="N565" s="16" t="str">
        <f>IFERROR(VLOOKUP(M565,[1]Sheet1!$G$2:$H$200,2,0),"-")</f>
        <v>RSA</v>
      </c>
      <c r="O565" s="31" t="s">
        <v>2254</v>
      </c>
      <c r="P565" s="17">
        <v>46014</v>
      </c>
      <c r="Q565" s="20" t="s">
        <v>2255</v>
      </c>
      <c r="R565" s="20" t="s">
        <v>2256</v>
      </c>
      <c r="S565" s="21" t="str" cm="1">
        <f t="array" ref="S565">IF(
OR(AD565="",ISERROR(AD565)),
"-",
_xlfn.UNIQUE(_xlfn._xlws.FILTER([1]Sheet1!$D$2:$D$200,ISNUMBER(SEARCH(AD565,[1]Sheet1!$D$2:$D$200))))
)</f>
        <v>(주)부강에너지</v>
      </c>
      <c r="T565" s="22" t="s">
        <v>426</v>
      </c>
      <c r="U565" s="16" t="str" cm="1">
        <f t="array" ref="U565">IF(
OR(AD565="",ISERROR(AD565)),
"-",
_xlfn.UNIQUE(_xlfn._xlws.FILTER([1]Sheet1!$D$2:$D$200,ISNUMBER(SEARCH(AD565,[1]Sheet1!$D$2:$D$200))))
)</f>
        <v>(주)부강에너지</v>
      </c>
      <c r="V565" s="23">
        <v>165000</v>
      </c>
      <c r="W565" s="23">
        <v>137000</v>
      </c>
      <c r="X565" s="23">
        <f t="shared" si="19"/>
        <v>28000</v>
      </c>
      <c r="Y565" s="25" t="s">
        <v>2257</v>
      </c>
      <c r="Z565" s="19" t="s">
        <v>51</v>
      </c>
      <c r="AA565" s="19" t="s">
        <v>144</v>
      </c>
      <c r="AC565" s="17" t="str">
        <f t="shared" si="18"/>
        <v>Y</v>
      </c>
      <c r="AD565" s="17" t="s">
        <v>197</v>
      </c>
      <c r="AE565" s="26">
        <v>0.58333333333333337</v>
      </c>
      <c r="AF565" s="27"/>
      <c r="AG565" s="27"/>
      <c r="AI565" s="28" t="s">
        <v>228</v>
      </c>
    </row>
    <row r="566" spans="1:35" ht="34.799999999999997" customHeight="1" x14ac:dyDescent="0.4">
      <c r="A566" s="16" t="s">
        <v>36</v>
      </c>
      <c r="B566" s="16" t="s">
        <v>37</v>
      </c>
      <c r="C566" s="17">
        <v>46015</v>
      </c>
      <c r="D566" s="16" t="s">
        <v>248</v>
      </c>
      <c r="E566" s="16" t="s">
        <v>2252</v>
      </c>
      <c r="F566" s="16">
        <v>28605</v>
      </c>
      <c r="G566" s="18" t="s">
        <v>2253</v>
      </c>
      <c r="H566" s="16" t="s">
        <v>41</v>
      </c>
      <c r="I566" s="19" t="s">
        <v>751</v>
      </c>
      <c r="J566" s="16" t="str">
        <f>IFERROR(VLOOKUP(I566,[1]Sheet1!$A$1:$B$200,2,0),"_")</f>
        <v>PN</v>
      </c>
      <c r="K566" s="19" t="s">
        <v>730</v>
      </c>
      <c r="L566" s="16" t="str">
        <f>IFERROR(VLOOKUP(K566,[1]Sheet1!$A$1:$B$200,2,0),"-")</f>
        <v>TG</v>
      </c>
      <c r="M566" s="19" t="s">
        <v>1160</v>
      </c>
      <c r="N566" s="16" t="str">
        <f>IFERROR(VLOOKUP(M566,[1]Sheet1!$G$2:$H$200,2,0),"-")</f>
        <v>RSA</v>
      </c>
      <c r="O566" s="31" t="s">
        <v>2254</v>
      </c>
      <c r="P566" s="17">
        <v>46014</v>
      </c>
      <c r="Q566" s="20" t="s">
        <v>2255</v>
      </c>
      <c r="R566" s="20" t="s">
        <v>2256</v>
      </c>
      <c r="S566" s="21" t="str" cm="1">
        <f t="array" ref="S566">IF(
OR(AD566="",ISERROR(AD566)),
"-",
_xlfn.UNIQUE(_xlfn._xlws.FILTER([1]Sheet1!$D$2:$D$200,ISNUMBER(SEARCH(AD566,[1]Sheet1!$D$2:$D$200))))
)</f>
        <v>(주)부강에너지</v>
      </c>
      <c r="T566" s="22" t="s">
        <v>426</v>
      </c>
      <c r="U566" s="16" t="str" cm="1">
        <f t="array" ref="U566">IF(
OR(AD566="",ISERROR(AD566)),
"-",
_xlfn.UNIQUE(_xlfn._xlws.FILTER([1]Sheet1!$D$2:$D$200,ISNUMBER(SEARCH(AD566,[1]Sheet1!$D$2:$D$200))))
)</f>
        <v>(주)부강에너지</v>
      </c>
      <c r="V566" s="23">
        <v>10000</v>
      </c>
      <c r="W566" s="23">
        <v>10000</v>
      </c>
      <c r="X566" s="23">
        <f t="shared" si="19"/>
        <v>0</v>
      </c>
      <c r="Y566" s="25" t="s">
        <v>2258</v>
      </c>
      <c r="Z566" s="19" t="s">
        <v>51</v>
      </c>
      <c r="AA566" s="19" t="s">
        <v>144</v>
      </c>
      <c r="AC566" s="17" t="str">
        <f t="shared" si="18"/>
        <v>Y</v>
      </c>
      <c r="AD566" s="17" t="s">
        <v>197</v>
      </c>
      <c r="AE566" s="26">
        <v>0.58333333333333337</v>
      </c>
      <c r="AF566" s="27"/>
      <c r="AG566" s="27"/>
      <c r="AI566" s="28" t="s">
        <v>228</v>
      </c>
    </row>
    <row r="567" spans="1:35" ht="34.799999999999997" customHeight="1" x14ac:dyDescent="0.4">
      <c r="A567" s="16" t="s">
        <v>36</v>
      </c>
      <c r="B567" s="16" t="s">
        <v>37</v>
      </c>
      <c r="C567" s="17">
        <v>46016</v>
      </c>
      <c r="D567" s="16" t="s">
        <v>248</v>
      </c>
      <c r="E567" s="16" t="s">
        <v>536</v>
      </c>
      <c r="F567" s="16">
        <v>8577</v>
      </c>
      <c r="G567" s="18" t="s">
        <v>537</v>
      </c>
      <c r="H567" s="16" t="s">
        <v>59</v>
      </c>
      <c r="I567" s="19" t="s">
        <v>538</v>
      </c>
      <c r="J567" s="16" t="str">
        <f>IFERROR(VLOOKUP(I567,[1]Sheet1!$A$1:$B$200,2,0),"_")</f>
        <v>OS</v>
      </c>
      <c r="K567" s="19" t="s">
        <v>730</v>
      </c>
      <c r="L567" s="16" t="str">
        <f>IFERROR(VLOOKUP(K567,[1]Sheet1!$A$1:$B$200,2,0),"-")</f>
        <v>TG</v>
      </c>
      <c r="M567" s="19" t="s">
        <v>87</v>
      </c>
      <c r="N567" s="16" t="str">
        <f>IFERROR(VLOOKUP(M567,[1]Sheet1!$G$2:$H$200,2,0),"-")</f>
        <v>HDMU</v>
      </c>
      <c r="O567" s="18" t="s">
        <v>55</v>
      </c>
      <c r="P567" s="17" t="s">
        <v>55</v>
      </c>
      <c r="Q567" s="20" t="s">
        <v>799</v>
      </c>
      <c r="R567" s="20"/>
      <c r="S567" s="21" t="str" cm="1">
        <f t="array" ref="S567">IF(
OR(AD567="",ISERROR(AD567)),
"-",
_xlfn.UNIQUE(_xlfn._xlws.FILTER([1]Sheet1!$D$2:$D$200,ISNUMBER(SEARCH(AD567,[1]Sheet1!$D$2:$D$200))))
)</f>
        <v>(주)유진로직스</v>
      </c>
      <c r="T567" s="22" t="s">
        <v>2259</v>
      </c>
      <c r="U567" s="16" t="str" cm="1">
        <f t="array" ref="U567">IF(
OR(AD567="",ISERROR(AD567)),
"-",
_xlfn.UNIQUE(_xlfn._xlws.FILTER([1]Sheet1!$D$2:$D$200,ISNUMBER(SEARCH(AD567,[1]Sheet1!$D$2:$D$200))))
)</f>
        <v>(주)유진로직스</v>
      </c>
      <c r="V567" s="23">
        <v>500000</v>
      </c>
      <c r="W567" s="23">
        <v>480000</v>
      </c>
      <c r="X567" s="23">
        <f t="shared" si="19"/>
        <v>20000</v>
      </c>
      <c r="Y567" s="25" t="s">
        <v>2260</v>
      </c>
      <c r="Z567" s="19" t="s">
        <v>51</v>
      </c>
      <c r="AA567" s="19" t="s">
        <v>144</v>
      </c>
      <c r="AB567" s="18" t="s">
        <v>2261</v>
      </c>
      <c r="AC567" s="17" t="str">
        <f t="shared" si="18"/>
        <v>Y</v>
      </c>
      <c r="AD567" s="17" t="s">
        <v>70</v>
      </c>
      <c r="AF567" s="27" t="s">
        <v>2262</v>
      </c>
      <c r="AG567" s="27" t="s">
        <v>2263</v>
      </c>
      <c r="AI567" s="28" t="s">
        <v>228</v>
      </c>
    </row>
    <row r="568" spans="1:35" ht="34.799999999999997" customHeight="1" x14ac:dyDescent="0.4">
      <c r="A568" s="16" t="s">
        <v>36</v>
      </c>
      <c r="B568" s="16" t="s">
        <v>37</v>
      </c>
      <c r="C568" s="17">
        <v>46016</v>
      </c>
      <c r="D568" s="16" t="s">
        <v>248</v>
      </c>
      <c r="E568" s="16" t="s">
        <v>536</v>
      </c>
      <c r="F568" s="16">
        <v>8577</v>
      </c>
      <c r="G568" s="18" t="s">
        <v>537</v>
      </c>
      <c r="H568" s="16" t="s">
        <v>59</v>
      </c>
      <c r="I568" s="19" t="s">
        <v>538</v>
      </c>
      <c r="J568" s="16" t="str">
        <f>IFERROR(VLOOKUP(I568,[1]Sheet1!$A$1:$B$200,2,0),"_")</f>
        <v>OS</v>
      </c>
      <c r="K568" s="19" t="s">
        <v>730</v>
      </c>
      <c r="L568" s="16" t="str">
        <f>IFERROR(VLOOKUP(K568,[1]Sheet1!$A$1:$B$200,2,0),"-")</f>
        <v>TG</v>
      </c>
      <c r="M568" s="19" t="s">
        <v>87</v>
      </c>
      <c r="N568" s="16" t="str">
        <f>IFERROR(VLOOKUP(M568,[1]Sheet1!$G$2:$H$200,2,0),"-")</f>
        <v>HDMU</v>
      </c>
      <c r="O568" s="18" t="s">
        <v>55</v>
      </c>
      <c r="P568" s="17" t="s">
        <v>55</v>
      </c>
      <c r="Q568" s="20" t="s">
        <v>799</v>
      </c>
      <c r="R568" s="20"/>
      <c r="S568" s="21" t="str" cm="1">
        <f t="array" ref="S568">IF(
OR(AD568="",ISERROR(AD568)),
"-",
_xlfn.UNIQUE(_xlfn._xlws.FILTER([1]Sheet1!$D$2:$D$200,ISNUMBER(SEARCH(AD568,[1]Sheet1!$D$2:$D$200))))
)</f>
        <v>(주)유진로직스</v>
      </c>
      <c r="T568" s="22" t="s">
        <v>2259</v>
      </c>
      <c r="U568" s="16" t="str" cm="1">
        <f t="array" ref="U568">IF(
OR(AD568="",ISERROR(AD568)),
"-",
_xlfn.UNIQUE(_xlfn._xlws.FILTER([1]Sheet1!$D$2:$D$200,ISNUMBER(SEARCH(AD568,[1]Sheet1!$D$2:$D$200))))
)</f>
        <v>(주)유진로직스</v>
      </c>
      <c r="V568" s="23">
        <v>50000</v>
      </c>
      <c r="W568" s="23">
        <v>30000</v>
      </c>
      <c r="X568" s="23">
        <f t="shared" si="19"/>
        <v>20000</v>
      </c>
      <c r="Y568" s="25" t="s">
        <v>2264</v>
      </c>
      <c r="Z568" s="19" t="s">
        <v>51</v>
      </c>
      <c r="AA568" s="19" t="s">
        <v>144</v>
      </c>
      <c r="AB568" s="18" t="s">
        <v>2261</v>
      </c>
      <c r="AC568" s="17" t="str">
        <f t="shared" si="18"/>
        <v>Y</v>
      </c>
      <c r="AD568" s="17" t="s">
        <v>70</v>
      </c>
      <c r="AF568" s="27" t="s">
        <v>2262</v>
      </c>
      <c r="AG568" s="27" t="s">
        <v>2263</v>
      </c>
      <c r="AI568" s="28" t="s">
        <v>228</v>
      </c>
    </row>
    <row r="569" spans="1:35" ht="34.950000000000003" customHeight="1" x14ac:dyDescent="0.4">
      <c r="A569" s="16" t="s">
        <v>36</v>
      </c>
      <c r="B569" s="16" t="s">
        <v>37</v>
      </c>
      <c r="C569" s="17">
        <v>46017</v>
      </c>
      <c r="D569" s="16" t="s">
        <v>442</v>
      </c>
      <c r="E569" s="16" t="s">
        <v>442</v>
      </c>
      <c r="F569" s="16">
        <v>2707</v>
      </c>
      <c r="G569" s="18" t="s">
        <v>2265</v>
      </c>
      <c r="H569" s="16" t="s">
        <v>41</v>
      </c>
      <c r="I569" s="19" t="s">
        <v>730</v>
      </c>
      <c r="J569" s="16" t="str">
        <f>IFERROR(VLOOKUP(I569,[1]Sheet1!$A$1:$B$200,2,0),"_")</f>
        <v>TG</v>
      </c>
      <c r="K569" s="19" t="s">
        <v>86</v>
      </c>
      <c r="L569" s="16" t="str">
        <f>IFERROR(VLOOKUP(K569,[1]Sheet1!$A$1:$B$200,2,0),"-")</f>
        <v>HP</v>
      </c>
      <c r="M569" s="19" t="s">
        <v>2266</v>
      </c>
      <c r="N569" s="16" t="str">
        <f>IFERROR(VLOOKUP(M569,[1]Sheet1!$G$2:$H$200,2,0),"-")</f>
        <v>VSS</v>
      </c>
      <c r="O569" s="18" t="s">
        <v>2267</v>
      </c>
      <c r="P569" s="17">
        <v>46021</v>
      </c>
      <c r="Q569" s="20" t="s">
        <v>2268</v>
      </c>
      <c r="R569" s="20" t="s">
        <v>2269</v>
      </c>
      <c r="S569" s="21" t="str" cm="1">
        <f t="array" ref="S569">IF(
OR(AD569="",ISERROR(AD569)),
"-",
_xlfn.UNIQUE(_xlfn._xlws.FILTER([1]Sheet1!$D$2:$D$200,ISNUMBER(SEARCH(AD569,[1]Sheet1!$D$2:$D$200))))
)</f>
        <v>(주)부강에너지</v>
      </c>
      <c r="T569" s="22" t="s">
        <v>756</v>
      </c>
      <c r="U569" s="16" t="str" cm="1">
        <f t="array" ref="U569">IF(
OR(AD569="",ISERROR(AD569)),
"-",
_xlfn.UNIQUE(_xlfn._xlws.FILTER([1]Sheet1!$D$2:$D$200,ISNUMBER(SEARCH(AD569,[1]Sheet1!$D$2:$D$200))))
)</f>
        <v>(주)부강에너지</v>
      </c>
      <c r="V569" s="23">
        <v>1200000</v>
      </c>
      <c r="W569" s="23">
        <v>957200</v>
      </c>
      <c r="X569" s="23">
        <f t="shared" si="19"/>
        <v>242800</v>
      </c>
      <c r="Y569" s="25" t="s">
        <v>2270</v>
      </c>
      <c r="Z569" s="19" t="s">
        <v>51</v>
      </c>
      <c r="AA569" s="19" t="s">
        <v>81</v>
      </c>
      <c r="AB569" s="18" t="s">
        <v>2271</v>
      </c>
      <c r="AC569" s="17" t="str">
        <f t="shared" si="18"/>
        <v>Y</v>
      </c>
      <c r="AD569" s="17" t="s">
        <v>197</v>
      </c>
      <c r="AE569" s="26">
        <v>0.375</v>
      </c>
      <c r="AF569" s="27"/>
      <c r="AG569" s="27"/>
      <c r="AI569" s="28" t="s">
        <v>228</v>
      </c>
    </row>
    <row r="570" spans="1:35" ht="34.950000000000003" customHeight="1" x14ac:dyDescent="0.4">
      <c r="A570" s="16" t="s">
        <v>36</v>
      </c>
      <c r="B570" s="16" t="s">
        <v>37</v>
      </c>
      <c r="C570" s="17">
        <v>46017</v>
      </c>
      <c r="D570" s="16" t="s">
        <v>442</v>
      </c>
      <c r="E570" s="16" t="s">
        <v>442</v>
      </c>
      <c r="F570" s="16">
        <v>2707</v>
      </c>
      <c r="G570" s="18" t="s">
        <v>2265</v>
      </c>
      <c r="H570" s="16" t="s">
        <v>41</v>
      </c>
      <c r="I570" s="19" t="s">
        <v>730</v>
      </c>
      <c r="J570" s="16" t="str">
        <f>IFERROR(VLOOKUP(I570,[1]Sheet1!$A$1:$B$200,2,0),"_")</f>
        <v>TG</v>
      </c>
      <c r="K570" s="19" t="s">
        <v>86</v>
      </c>
      <c r="L570" s="16" t="str">
        <f>IFERROR(VLOOKUP(K570,[1]Sheet1!$A$1:$B$200,2,0),"-")</f>
        <v>HP</v>
      </c>
      <c r="M570" s="19" t="s">
        <v>2266</v>
      </c>
      <c r="N570" s="16" t="str">
        <f>IFERROR(VLOOKUP(M570,[1]Sheet1!$G$2:$H$200,2,0),"-")</f>
        <v>VSS</v>
      </c>
      <c r="O570" s="18" t="s">
        <v>2267</v>
      </c>
      <c r="P570" s="17">
        <v>46021</v>
      </c>
      <c r="Q570" s="20" t="s">
        <v>2268</v>
      </c>
      <c r="R570" s="20" t="s">
        <v>2269</v>
      </c>
      <c r="S570" s="21" t="str" cm="1">
        <f t="array" ref="S570">IF(
OR(AD570="",ISERROR(AD570)),
"-",
_xlfn.UNIQUE(_xlfn._xlws.FILTER([1]Sheet1!$D$2:$D$200,ISNUMBER(SEARCH(AD570,[1]Sheet1!$D$2:$D$200))))
)</f>
        <v>(주)부강에너지</v>
      </c>
      <c r="T570" s="22" t="s">
        <v>756</v>
      </c>
      <c r="U570" s="16" t="str" cm="1">
        <f t="array" ref="U570">IF(
OR(AD570="",ISERROR(AD570)),
"-",
_xlfn.UNIQUE(_xlfn._xlws.FILTER([1]Sheet1!$D$2:$D$200,ISNUMBER(SEARCH(AD570,[1]Sheet1!$D$2:$D$200))))
)</f>
        <v>(주)부강에너지</v>
      </c>
      <c r="V570" s="23">
        <v>100000</v>
      </c>
      <c r="W570" s="23">
        <v>50000</v>
      </c>
      <c r="X570" s="23">
        <f t="shared" si="19"/>
        <v>50000</v>
      </c>
      <c r="Y570" s="25" t="s">
        <v>2272</v>
      </c>
      <c r="Z570" s="19" t="s">
        <v>51</v>
      </c>
      <c r="AA570" s="19" t="s">
        <v>81</v>
      </c>
      <c r="AB570" s="18" t="s">
        <v>2271</v>
      </c>
      <c r="AC570" s="17" t="str">
        <f t="shared" si="18"/>
        <v>Y</v>
      </c>
      <c r="AD570" s="17" t="s">
        <v>197</v>
      </c>
      <c r="AE570" s="26">
        <v>0.375</v>
      </c>
      <c r="AF570" s="27"/>
      <c r="AG570" s="27"/>
      <c r="AI570" s="28" t="s">
        <v>228</v>
      </c>
    </row>
    <row r="571" spans="1:35" s="104" customFormat="1" ht="34.950000000000003" customHeight="1" x14ac:dyDescent="0.4">
      <c r="A571" s="92" t="s">
        <v>36</v>
      </c>
      <c r="B571" s="92" t="s">
        <v>37</v>
      </c>
      <c r="C571" s="93">
        <v>46017</v>
      </c>
      <c r="D571" s="92" t="s">
        <v>229</v>
      </c>
      <c r="E571" s="92" t="s">
        <v>229</v>
      </c>
      <c r="F571" s="92">
        <v>3641</v>
      </c>
      <c r="G571" s="94" t="s">
        <v>1933</v>
      </c>
      <c r="H571" s="92" t="s">
        <v>41</v>
      </c>
      <c r="I571" s="95" t="s">
        <v>730</v>
      </c>
      <c r="J571" s="92" t="str">
        <f>IFERROR(VLOOKUP(I571,[1]Sheet1!$A$1:$B$200,2,0),"_")</f>
        <v>TG</v>
      </c>
      <c r="K571" s="95" t="s">
        <v>86</v>
      </c>
      <c r="L571" s="92" t="str">
        <f>IFERROR(VLOOKUP(K571,[1]Sheet1!$A$1:$B$200,2,0),"-")</f>
        <v>HP</v>
      </c>
      <c r="M571" s="95" t="s">
        <v>2266</v>
      </c>
      <c r="N571" s="92" t="str">
        <f>IFERROR(VLOOKUP(M571,[1]Sheet1!$G$2:$H$200,2,0),"-")</f>
        <v>VSS</v>
      </c>
      <c r="O571" s="94" t="s">
        <v>2267</v>
      </c>
      <c r="P571" s="93">
        <v>45659</v>
      </c>
      <c r="Q571" s="96" t="s">
        <v>2273</v>
      </c>
      <c r="R571" s="96" t="s">
        <v>2274</v>
      </c>
      <c r="S571" s="97" t="str" cm="1">
        <f t="array" ref="S571">IF(
OR(AD571="",ISERROR(AD571)),
"-",
_xlfn.UNIQUE(_xlfn._xlws.FILTER([1]Sheet1!$D$2:$D$200,ISNUMBER(SEARCH(AD571,[1]Sheet1!$D$2:$D$200))))
)</f>
        <v>(주)부강에너지</v>
      </c>
      <c r="T571" s="98" t="s">
        <v>851</v>
      </c>
      <c r="U571" s="92" t="str" cm="1">
        <f t="array" ref="U571">IF(
OR(AD571="",ISERROR(AD571)),
"-",
_xlfn.UNIQUE(_xlfn._xlws.FILTER([1]Sheet1!$D$2:$D$200,ISNUMBER(SEARCH(AD571,[1]Sheet1!$D$2:$D$200))))
)</f>
        <v>(주)부강에너지</v>
      </c>
      <c r="V571" s="99">
        <v>1200000</v>
      </c>
      <c r="W571" s="99">
        <v>957200</v>
      </c>
      <c r="X571" s="99">
        <f t="shared" si="19"/>
        <v>242800</v>
      </c>
      <c r="Y571" s="100" t="s">
        <v>2275</v>
      </c>
      <c r="Z571" s="95" t="s">
        <v>51</v>
      </c>
      <c r="AA571" s="95" t="s">
        <v>81</v>
      </c>
      <c r="AB571" s="94" t="s">
        <v>2276</v>
      </c>
      <c r="AC571" s="93" t="str">
        <f t="shared" si="18"/>
        <v>Y</v>
      </c>
      <c r="AD571" s="93" t="s">
        <v>197</v>
      </c>
      <c r="AE571" s="101">
        <v>0.375</v>
      </c>
      <c r="AF571" s="102"/>
      <c r="AG571" s="102"/>
      <c r="AH571" s="103"/>
      <c r="AI571" s="28" t="s">
        <v>228</v>
      </c>
    </row>
    <row r="572" spans="1:35" s="104" customFormat="1" ht="34.950000000000003" customHeight="1" x14ac:dyDescent="0.4">
      <c r="A572" s="92" t="s">
        <v>36</v>
      </c>
      <c r="B572" s="92" t="s">
        <v>37</v>
      </c>
      <c r="C572" s="93">
        <v>46017</v>
      </c>
      <c r="D572" s="92" t="s">
        <v>229</v>
      </c>
      <c r="E572" s="92" t="s">
        <v>229</v>
      </c>
      <c r="F572" s="92">
        <v>3641</v>
      </c>
      <c r="G572" s="94" t="s">
        <v>1933</v>
      </c>
      <c r="H572" s="92" t="s">
        <v>41</v>
      </c>
      <c r="I572" s="95" t="s">
        <v>730</v>
      </c>
      <c r="J572" s="92" t="str">
        <f>IFERROR(VLOOKUP(I572,[1]Sheet1!$A$1:$B$200,2,0),"_")</f>
        <v>TG</v>
      </c>
      <c r="K572" s="95" t="s">
        <v>86</v>
      </c>
      <c r="L572" s="92" t="str">
        <f>IFERROR(VLOOKUP(K572,[1]Sheet1!$A$1:$B$200,2,0),"-")</f>
        <v>HP</v>
      </c>
      <c r="M572" s="95" t="s">
        <v>2266</v>
      </c>
      <c r="N572" s="92" t="str">
        <f>IFERROR(VLOOKUP(M572,[1]Sheet1!$G$2:$H$200,2,0),"-")</f>
        <v>VSS</v>
      </c>
      <c r="O572" s="94" t="s">
        <v>2267</v>
      </c>
      <c r="P572" s="93">
        <v>45659</v>
      </c>
      <c r="Q572" s="96" t="s">
        <v>2273</v>
      </c>
      <c r="R572" s="96" t="s">
        <v>2274</v>
      </c>
      <c r="S572" s="97" t="str" cm="1">
        <f t="array" ref="S572">IF(
OR(AD572="",ISERROR(AD572)),
"-",
_xlfn.UNIQUE(_xlfn._xlws.FILTER([1]Sheet1!$D$2:$D$200,ISNUMBER(SEARCH(AD572,[1]Sheet1!$D$2:$D$200))))
)</f>
        <v>(주)부강에너지</v>
      </c>
      <c r="T572" s="98" t="s">
        <v>851</v>
      </c>
      <c r="U572" s="92" t="str" cm="1">
        <f t="array" ref="U572">IF(
OR(AD572="",ISERROR(AD572)),
"-",
_xlfn.UNIQUE(_xlfn._xlws.FILTER([1]Sheet1!$D$2:$D$200,ISNUMBER(SEARCH(AD572,[1]Sheet1!$D$2:$D$200))))
)</f>
        <v>(주)부강에너지</v>
      </c>
      <c r="V572" s="99">
        <v>125000</v>
      </c>
      <c r="W572" s="99">
        <v>100000</v>
      </c>
      <c r="X572" s="99">
        <f t="shared" si="19"/>
        <v>25000</v>
      </c>
      <c r="Y572" s="100" t="s">
        <v>2277</v>
      </c>
      <c r="Z572" s="95" t="s">
        <v>51</v>
      </c>
      <c r="AA572" s="95" t="s">
        <v>81</v>
      </c>
      <c r="AB572" s="94" t="s">
        <v>2276</v>
      </c>
      <c r="AC572" s="93" t="str">
        <f t="shared" si="18"/>
        <v>Y</v>
      </c>
      <c r="AD572" s="93" t="s">
        <v>197</v>
      </c>
      <c r="AE572" s="101">
        <v>0.375</v>
      </c>
      <c r="AF572" s="102" t="s">
        <v>2278</v>
      </c>
      <c r="AG572" s="102" t="s">
        <v>2279</v>
      </c>
      <c r="AH572" s="103"/>
      <c r="AI572" s="28" t="s">
        <v>228</v>
      </c>
    </row>
    <row r="573" spans="1:35" ht="34.950000000000003" customHeight="1" x14ac:dyDescent="0.4">
      <c r="A573" s="16" t="s">
        <v>36</v>
      </c>
      <c r="B573" s="16" t="s">
        <v>99</v>
      </c>
      <c r="C573" s="17">
        <v>46017</v>
      </c>
      <c r="D573" s="16" t="s">
        <v>216</v>
      </c>
      <c r="E573" s="16" t="s">
        <v>2280</v>
      </c>
      <c r="F573" s="16">
        <v>28200</v>
      </c>
      <c r="G573" s="18" t="s">
        <v>2281</v>
      </c>
      <c r="H573" s="16" t="s">
        <v>41</v>
      </c>
      <c r="I573" s="19" t="s">
        <v>219</v>
      </c>
      <c r="J573" s="16" t="str">
        <f>IFERROR(VLOOKUP(I573,[1]Sheet1!$A$1:$B$200,2,0),"_")</f>
        <v>NN</v>
      </c>
      <c r="K573" s="19" t="s">
        <v>219</v>
      </c>
      <c r="L573" s="16" t="str">
        <f>IFERROR(VLOOKUP(K573,[1]Sheet1!$A$1:$B$200,2,0),"-")</f>
        <v>NN</v>
      </c>
      <c r="M573" s="19" t="s">
        <v>77</v>
      </c>
      <c r="N573" s="16" t="str">
        <f>IFERROR(VLOOKUP(M573,[1]Sheet1!$G$2:$H$200,2,0),"-")</f>
        <v>KMTC</v>
      </c>
      <c r="O573" s="18" t="s">
        <v>2118</v>
      </c>
      <c r="P573" s="17">
        <v>46021</v>
      </c>
      <c r="Q573" s="20" t="s">
        <v>2282</v>
      </c>
      <c r="R573" s="20" t="s">
        <v>2283</v>
      </c>
      <c r="S573" s="21" t="str" cm="1">
        <f t="array" ref="S573">IF(
OR(AD573="",ISERROR(AD573)),
"-",
_xlfn.UNIQUE(_xlfn._xlws.FILTER([1]Sheet1!$D$2:$D$200,ISNUMBER(SEARCH(AD573,[1]Sheet1!$D$2:$D$200))))
)</f>
        <v>태성종합물류</v>
      </c>
      <c r="T573" s="22" t="s">
        <v>2158</v>
      </c>
      <c r="U573" s="16" t="str" cm="1">
        <f t="array" ref="U573">IF(
OR(AD573="",ISERROR(AD573)),
"-",
_xlfn.UNIQUE(_xlfn._xlws.FILTER([1]Sheet1!$D$2:$D$200,ISNUMBER(SEARCH(AD573,[1]Sheet1!$D$2:$D$200))))
)</f>
        <v>태성종합물류</v>
      </c>
      <c r="V573" s="23">
        <v>324000</v>
      </c>
      <c r="W573" s="23">
        <v>302300</v>
      </c>
      <c r="X573" s="23">
        <f t="shared" si="19"/>
        <v>21700</v>
      </c>
      <c r="Y573" s="25" t="s">
        <v>2284</v>
      </c>
      <c r="Z573" s="19" t="s">
        <v>51</v>
      </c>
      <c r="AA573" s="19" t="s">
        <v>93</v>
      </c>
      <c r="AC573" s="17" t="str">
        <f t="shared" si="18"/>
        <v>Y</v>
      </c>
      <c r="AD573" s="17" t="s">
        <v>82</v>
      </c>
      <c r="AE573" s="26">
        <v>0.41666666666666669</v>
      </c>
      <c r="AF573" s="27"/>
      <c r="AG573" s="27"/>
      <c r="AI573" s="28" t="s">
        <v>228</v>
      </c>
    </row>
    <row r="574" spans="1:35" ht="34.950000000000003" customHeight="1" x14ac:dyDescent="0.4">
      <c r="A574" s="16" t="s">
        <v>36</v>
      </c>
      <c r="B574" s="16" t="s">
        <v>37</v>
      </c>
      <c r="C574" s="17">
        <v>46017</v>
      </c>
      <c r="D574" s="16" t="s">
        <v>248</v>
      </c>
      <c r="E574" s="16" t="s">
        <v>787</v>
      </c>
      <c r="F574" s="16">
        <v>28562</v>
      </c>
      <c r="G574" s="18" t="s">
        <v>788</v>
      </c>
      <c r="H574" s="16" t="s">
        <v>519</v>
      </c>
      <c r="I574" s="19" t="s">
        <v>789</v>
      </c>
      <c r="J574" s="16" t="str">
        <f>IFERROR(VLOOKUP(I574,[1]Sheet1!$A$1:$B$200,2,0),"_")</f>
        <v>QK</v>
      </c>
      <c r="K574" s="19" t="s">
        <v>86</v>
      </c>
      <c r="L574" s="16" t="str">
        <f>IFERROR(VLOOKUP(K574,[1]Sheet1!$A$1:$B$200,2,0),"-")</f>
        <v>HP</v>
      </c>
      <c r="M574" s="19" t="s">
        <v>752</v>
      </c>
      <c r="N574" s="16" t="str">
        <f>IFERROR(VLOOKUP(M574,[1]Sheet1!$G$2:$H$200,2,0),"-")</f>
        <v>ONE</v>
      </c>
      <c r="O574" s="31" t="s">
        <v>55</v>
      </c>
      <c r="P574" s="17" t="s">
        <v>55</v>
      </c>
      <c r="Q574" s="20" t="s">
        <v>799</v>
      </c>
      <c r="R574" s="20"/>
      <c r="S574" s="21" t="str" cm="1">
        <f t="array" ref="S574">IF(
OR(AD574="",ISERROR(AD574)),
"-",
_xlfn.UNIQUE(_xlfn._xlws.FILTER([1]Sheet1!$D$2:$D$200,ISNUMBER(SEARCH(AD574,[1]Sheet1!$D$2:$D$200))))
)</f>
        <v>(주)유진로직스</v>
      </c>
      <c r="T574" s="22" t="s">
        <v>2285</v>
      </c>
      <c r="U574" s="16" t="str" cm="1">
        <f t="array" ref="U574">IF(
OR(AD574="",ISERROR(AD574)),
"-",
_xlfn.UNIQUE(_xlfn._xlws.FILTER([1]Sheet1!$D$2:$D$200,ISNUMBER(SEARCH(AD574,[1]Sheet1!$D$2:$D$200))))
)</f>
        <v>(주)유진로직스</v>
      </c>
      <c r="V574" s="23">
        <v>330000</v>
      </c>
      <c r="W574" s="23">
        <v>300000</v>
      </c>
      <c r="X574" s="23">
        <f t="shared" si="19"/>
        <v>30000</v>
      </c>
      <c r="Y574" s="25" t="s">
        <v>2286</v>
      </c>
      <c r="Z574" s="19" t="s">
        <v>51</v>
      </c>
      <c r="AA574" s="19" t="s">
        <v>144</v>
      </c>
      <c r="AB574" s="18" t="s">
        <v>2287</v>
      </c>
      <c r="AC574" s="17" t="str">
        <f t="shared" si="18"/>
        <v>Y</v>
      </c>
      <c r="AD574" s="17" t="s">
        <v>70</v>
      </c>
      <c r="AE574" s="26">
        <v>0.625</v>
      </c>
      <c r="AF574" s="27" t="s">
        <v>55</v>
      </c>
      <c r="AG574" s="27" t="s">
        <v>55</v>
      </c>
      <c r="AI574" s="28" t="s">
        <v>228</v>
      </c>
    </row>
    <row r="575" spans="1:35" ht="34.950000000000003" customHeight="1" x14ac:dyDescent="0.4">
      <c r="A575" s="16" t="s">
        <v>36</v>
      </c>
      <c r="B575" s="16" t="s">
        <v>37</v>
      </c>
      <c r="C575" s="17">
        <v>46017</v>
      </c>
      <c r="D575" s="16" t="s">
        <v>248</v>
      </c>
      <c r="E575" s="16" t="s">
        <v>787</v>
      </c>
      <c r="F575" s="16">
        <v>28562</v>
      </c>
      <c r="G575" s="18" t="s">
        <v>788</v>
      </c>
      <c r="H575" s="16" t="s">
        <v>519</v>
      </c>
      <c r="I575" s="19" t="s">
        <v>789</v>
      </c>
      <c r="J575" s="16" t="str">
        <f>IFERROR(VLOOKUP(I575,[1]Sheet1!$A$1:$B$200,2,0),"_")</f>
        <v>QK</v>
      </c>
      <c r="K575" s="19" t="s">
        <v>86</v>
      </c>
      <c r="L575" s="16" t="str">
        <f>IFERROR(VLOOKUP(K575,[1]Sheet1!$A$1:$B$200,2,0),"-")</f>
        <v>HP</v>
      </c>
      <c r="M575" s="19" t="s">
        <v>752</v>
      </c>
      <c r="N575" s="16" t="str">
        <f>IFERROR(VLOOKUP(M575,[1]Sheet1!$G$2:$H$200,2,0),"-")</f>
        <v>ONE</v>
      </c>
      <c r="O575" s="31" t="s">
        <v>55</v>
      </c>
      <c r="P575" s="17" t="s">
        <v>55</v>
      </c>
      <c r="Q575" s="20" t="s">
        <v>830</v>
      </c>
      <c r="R575" s="20"/>
      <c r="S575" s="21" t="str" cm="1">
        <f t="array" ref="S575">IF(
OR(AD575="",ISERROR(AD575)),
"-",
_xlfn.UNIQUE(_xlfn._xlws.FILTER([1]Sheet1!$D$2:$D$200,ISNUMBER(SEARCH(AD575,[1]Sheet1!$D$2:$D$200))))
)</f>
        <v>(주)유진로직스</v>
      </c>
      <c r="T575" s="22" t="s">
        <v>2288</v>
      </c>
      <c r="U575" s="16" t="str" cm="1">
        <f t="array" ref="U575">IF(
OR(AD575="",ISERROR(AD575)),
"-",
_xlfn.UNIQUE(_xlfn._xlws.FILTER([1]Sheet1!$D$2:$D$200,ISNUMBER(SEARCH(AD575,[1]Sheet1!$D$2:$D$200))))
)</f>
        <v>(주)유진로직스</v>
      </c>
      <c r="V575" s="23">
        <v>130000</v>
      </c>
      <c r="W575" s="23">
        <v>110000</v>
      </c>
      <c r="X575" s="23">
        <f t="shared" si="19"/>
        <v>20000</v>
      </c>
      <c r="Y575" s="25" t="s">
        <v>2286</v>
      </c>
      <c r="Z575" s="19" t="s">
        <v>51</v>
      </c>
      <c r="AA575" s="19" t="s">
        <v>144</v>
      </c>
      <c r="AB575" s="18" t="s">
        <v>2287</v>
      </c>
      <c r="AC575" s="17" t="str">
        <f t="shared" si="18"/>
        <v>Y</v>
      </c>
      <c r="AD575" s="17" t="s">
        <v>70</v>
      </c>
      <c r="AE575" s="26">
        <v>0.625</v>
      </c>
      <c r="AF575" s="27" t="s">
        <v>55</v>
      </c>
      <c r="AG575" s="27" t="s">
        <v>55</v>
      </c>
      <c r="AI575" s="28" t="s">
        <v>228</v>
      </c>
    </row>
    <row r="576" spans="1:35" ht="34.950000000000003" customHeight="1" x14ac:dyDescent="0.4">
      <c r="A576" s="16" t="s">
        <v>36</v>
      </c>
      <c r="B576" s="16" t="s">
        <v>37</v>
      </c>
      <c r="C576" s="17">
        <v>46017</v>
      </c>
      <c r="D576" s="16" t="s">
        <v>100</v>
      </c>
      <c r="E576" s="16" t="s">
        <v>978</v>
      </c>
      <c r="F576" s="16">
        <v>1785</v>
      </c>
      <c r="G576" s="18" t="s">
        <v>2289</v>
      </c>
      <c r="H576" s="16" t="s">
        <v>75</v>
      </c>
      <c r="I576" s="19" t="s">
        <v>137</v>
      </c>
      <c r="J576" s="16" t="str">
        <f>IFERROR(VLOOKUP(I576,[1]Sheet1!$A$1:$B$200,2,0),"_")</f>
        <v>BE</v>
      </c>
      <c r="K576" s="19" t="s">
        <v>1563</v>
      </c>
      <c r="L576" s="16" t="str">
        <f>IFERROR(VLOOKUP(K576,[1]Sheet1!$A$1:$B$200,2,0),"-")</f>
        <v>P</v>
      </c>
      <c r="M576" s="19" t="s">
        <v>77</v>
      </c>
      <c r="N576" s="16" t="str">
        <f>IFERROR(VLOOKUP(M576,[1]Sheet1!$G$2:$H$200,2,0),"-")</f>
        <v>KMTC</v>
      </c>
      <c r="O576" s="18" t="s">
        <v>2290</v>
      </c>
      <c r="P576" s="17">
        <v>46024</v>
      </c>
      <c r="Q576" s="20" t="s">
        <v>2291</v>
      </c>
      <c r="R576" s="20" t="s">
        <v>2292</v>
      </c>
      <c r="S576" s="21" t="str" cm="1">
        <f t="array" ref="S576">IF(
OR(AD576="",ISERROR(AD576)),
"-",
_xlfn.UNIQUE(_xlfn._xlws.FILTER([1]Sheet1!$D$2:$D$200,ISNUMBER(SEARCH(AD576,[1]Sheet1!$D$2:$D$200))))
)</f>
        <v>양양운수(주)</v>
      </c>
      <c r="T576" s="22" t="s">
        <v>1437</v>
      </c>
      <c r="U576" s="16" t="str" cm="1">
        <f t="array" ref="U576">IF(
OR(AD576="",ISERROR(AD576)),
"-",
_xlfn.UNIQUE(_xlfn._xlws.FILTER([1]Sheet1!$D$2:$D$200,ISNUMBER(SEARCH(AD576,[1]Sheet1!$D$2:$D$200))))
)</f>
        <v>양양운수(주)</v>
      </c>
      <c r="V576" s="23">
        <v>755000</v>
      </c>
      <c r="W576" s="23">
        <v>691100</v>
      </c>
      <c r="X576" s="23">
        <f t="shared" si="19"/>
        <v>63900</v>
      </c>
      <c r="Y576" s="25" t="s">
        <v>2293</v>
      </c>
      <c r="Z576" s="19" t="s">
        <v>51</v>
      </c>
      <c r="AA576" s="19" t="s">
        <v>81</v>
      </c>
      <c r="AC576" s="17" t="str">
        <f t="shared" si="18"/>
        <v>Y</v>
      </c>
      <c r="AD576" s="17" t="s">
        <v>619</v>
      </c>
      <c r="AE576" s="26">
        <v>0.60416666666666663</v>
      </c>
      <c r="AF576" s="27"/>
      <c r="AG576" s="27"/>
      <c r="AI576" s="28" t="s">
        <v>228</v>
      </c>
    </row>
    <row r="577" spans="1:35" ht="34.950000000000003" customHeight="1" x14ac:dyDescent="0.4">
      <c r="A577" s="16" t="s">
        <v>36</v>
      </c>
      <c r="B577" s="16" t="s">
        <v>37</v>
      </c>
      <c r="C577" s="17">
        <v>46017</v>
      </c>
      <c r="D577" s="16" t="s">
        <v>83</v>
      </c>
      <c r="E577" s="16" t="s">
        <v>84</v>
      </c>
      <c r="F577" s="16">
        <v>21335</v>
      </c>
      <c r="G577" s="18" t="s">
        <v>2294</v>
      </c>
      <c r="H577" s="16" t="s">
        <v>75</v>
      </c>
      <c r="I577" s="19" t="s">
        <v>455</v>
      </c>
      <c r="J577" s="16" t="str">
        <f>IFERROR(VLOOKUP(I577,[1]Sheet1!$A$1:$B$200,2,0),"_")</f>
        <v>BT</v>
      </c>
      <c r="K577" s="19" t="s">
        <v>272</v>
      </c>
      <c r="L577" s="16" t="str">
        <f>IFERROR(VLOOKUP(K577,[1]Sheet1!$A$1:$B$200,2,0),"-")</f>
        <v>Z9</v>
      </c>
      <c r="M577" s="19" t="s">
        <v>77</v>
      </c>
      <c r="N577" s="16" t="str">
        <f>IFERROR(VLOOKUP(M577,[1]Sheet1!$G$2:$H$200,2,0),"-")</f>
        <v>KMTC</v>
      </c>
      <c r="O577" s="18" t="s">
        <v>2295</v>
      </c>
      <c r="P577" s="17">
        <v>46020</v>
      </c>
      <c r="Q577" s="20" t="s">
        <v>2296</v>
      </c>
      <c r="R577" s="20" t="s">
        <v>2297</v>
      </c>
      <c r="S577" s="21" t="str" cm="1">
        <f t="array" ref="S577">IF(
OR(AD577="",ISERROR(AD577)),
"-",
_xlfn.UNIQUE(_xlfn._xlws.FILTER([1]Sheet1!$D$2:$D$200,ISNUMBER(SEARCH(AD577,[1]Sheet1!$D$2:$D$200))))
)</f>
        <v>백승운수</v>
      </c>
      <c r="T577" s="22" t="s">
        <v>650</v>
      </c>
      <c r="U577" s="16" t="str" cm="1">
        <f t="array" ref="U577">IF(
OR(AD577="",ISERROR(AD577)),
"-",
_xlfn.UNIQUE(_xlfn._xlws.FILTER([1]Sheet1!$D$2:$D$200,ISNUMBER(SEARCH(AD577,[1]Sheet1!$D$2:$D$200))))
)</f>
        <v>백승운수</v>
      </c>
      <c r="V577" s="23">
        <v>665000</v>
      </c>
      <c r="W577" s="23">
        <v>555000</v>
      </c>
      <c r="X577" s="23">
        <f t="shared" si="19"/>
        <v>110000</v>
      </c>
      <c r="Y577" s="25" t="s">
        <v>2298</v>
      </c>
      <c r="Z577" s="19" t="s">
        <v>51</v>
      </c>
      <c r="AA577" s="19" t="s">
        <v>93</v>
      </c>
      <c r="AC577" s="17" t="str">
        <f t="shared" si="18"/>
        <v>Y</v>
      </c>
      <c r="AD577" s="17" t="s">
        <v>95</v>
      </c>
      <c r="AE577" s="26">
        <v>0.33333333333333331</v>
      </c>
      <c r="AF577" s="27"/>
      <c r="AG577" s="27"/>
      <c r="AI577" s="28" t="s">
        <v>228</v>
      </c>
    </row>
    <row r="578" spans="1:35" ht="34.950000000000003" customHeight="1" x14ac:dyDescent="0.4">
      <c r="A578" s="16" t="s">
        <v>36</v>
      </c>
      <c r="B578" s="16" t="s">
        <v>37</v>
      </c>
      <c r="C578" s="17">
        <v>46017</v>
      </c>
      <c r="D578" s="16" t="s">
        <v>83</v>
      </c>
      <c r="E578" s="16" t="s">
        <v>84</v>
      </c>
      <c r="F578" s="16">
        <v>21335</v>
      </c>
      <c r="G578" s="18" t="s">
        <v>2294</v>
      </c>
      <c r="H578" s="16" t="s">
        <v>75</v>
      </c>
      <c r="I578" s="19" t="s">
        <v>455</v>
      </c>
      <c r="J578" s="16" t="str">
        <f>IFERROR(VLOOKUP(I578,[1]Sheet1!$A$1:$B$200,2,0),"_")</f>
        <v>BT</v>
      </c>
      <c r="K578" s="19" t="s">
        <v>272</v>
      </c>
      <c r="L578" s="16" t="str">
        <f>IFERROR(VLOOKUP(K578,[1]Sheet1!$A$1:$B$200,2,0),"-")</f>
        <v>Z9</v>
      </c>
      <c r="M578" s="19" t="s">
        <v>77</v>
      </c>
      <c r="N578" s="16" t="str">
        <f>IFERROR(VLOOKUP(M578,[1]Sheet1!$G$2:$H$200,2,0),"-")</f>
        <v>KMTC</v>
      </c>
      <c r="O578" s="18" t="s">
        <v>2295</v>
      </c>
      <c r="P578" s="17">
        <v>46020</v>
      </c>
      <c r="Q578" s="20" t="s">
        <v>2299</v>
      </c>
      <c r="R578" s="20" t="s">
        <v>2300</v>
      </c>
      <c r="S578" s="21" t="str" cm="1">
        <f t="array" ref="S578">IF(
OR(AD578="",ISERROR(AD578)),
"-",
_xlfn.UNIQUE(_xlfn._xlws.FILTER([1]Sheet1!$D$2:$D$200,ISNUMBER(SEARCH(AD578,[1]Sheet1!$D$2:$D$200))))
)</f>
        <v>백승운수</v>
      </c>
      <c r="T578" s="22" t="s">
        <v>650</v>
      </c>
      <c r="U578" s="16" t="str" cm="1">
        <f t="array" ref="U578">IF(
OR(AD578="",ISERROR(AD578)),
"-",
_xlfn.UNIQUE(_xlfn._xlws.FILTER([1]Sheet1!$D$2:$D$200,ISNUMBER(SEARCH(AD578,[1]Sheet1!$D$2:$D$200))))
)</f>
        <v>백승운수</v>
      </c>
      <c r="V578" s="23">
        <v>665000</v>
      </c>
      <c r="W578" s="23">
        <v>555000</v>
      </c>
      <c r="X578" s="23">
        <f t="shared" si="19"/>
        <v>110000</v>
      </c>
      <c r="Y578" s="25" t="s">
        <v>2298</v>
      </c>
      <c r="Z578" s="19" t="s">
        <v>51</v>
      </c>
      <c r="AA578" s="19" t="s">
        <v>93</v>
      </c>
      <c r="AC578" s="17" t="str">
        <f t="shared" si="18"/>
        <v>Y</v>
      </c>
      <c r="AD578" s="17" t="s">
        <v>95</v>
      </c>
      <c r="AE578" s="26">
        <v>0.35416666666666669</v>
      </c>
      <c r="AF578" s="27"/>
      <c r="AG578" s="27"/>
      <c r="AI578" s="28" t="s">
        <v>228</v>
      </c>
    </row>
    <row r="579" spans="1:35" s="91" customFormat="1" ht="34.950000000000003" customHeight="1" x14ac:dyDescent="0.4">
      <c r="A579" s="19" t="s">
        <v>36</v>
      </c>
      <c r="B579" s="19" t="s">
        <v>37</v>
      </c>
      <c r="C579" s="72">
        <v>46017</v>
      </c>
      <c r="D579" s="19" t="s">
        <v>325</v>
      </c>
      <c r="E579" s="19" t="s">
        <v>1106</v>
      </c>
      <c r="F579" s="19">
        <v>13881</v>
      </c>
      <c r="G579" s="35" t="s">
        <v>2301</v>
      </c>
      <c r="H579" s="19" t="s">
        <v>41</v>
      </c>
      <c r="I579" s="19" t="s">
        <v>328</v>
      </c>
      <c r="J579" s="19" t="str">
        <f>IFERROR(VLOOKUP(I579,[1]Sheet1!$A$1:$B$200,2,0),"_")</f>
        <v>BT</v>
      </c>
      <c r="K579" s="19" t="s">
        <v>328</v>
      </c>
      <c r="L579" s="19" t="str">
        <f>IFERROR(VLOOKUP(K579,[1]Sheet1!$A$1:$B$200,2,0),"-")</f>
        <v>BT</v>
      </c>
      <c r="M579" s="19" t="s">
        <v>211</v>
      </c>
      <c r="N579" s="19" t="str">
        <f>IFERROR(VLOOKUP(M579,[1]Sheet1!$G$2:$H$200,2,0),"-")</f>
        <v>SITC</v>
      </c>
      <c r="O579" s="35" t="s">
        <v>2302</v>
      </c>
      <c r="P579" s="72">
        <v>46022</v>
      </c>
      <c r="Q579" s="63" t="s">
        <v>2303</v>
      </c>
      <c r="R579" s="63" t="s">
        <v>2304</v>
      </c>
      <c r="S579" s="73" t="str" cm="1">
        <f t="array" ref="S579">IF(
OR(AD579="",ISERROR(AD579)),
"-",
_xlfn.UNIQUE(_xlfn._xlws.FILTER([1]Sheet1!$D$2:$D$200,ISNUMBER(SEARCH(AD579,[1]Sheet1!$D$2:$D$200))))
)</f>
        <v>동방 익스프레스</v>
      </c>
      <c r="T579" s="22" t="s">
        <v>430</v>
      </c>
      <c r="U579" s="19" t="str" cm="1">
        <f t="array" ref="U579">IF(
OR(AD579="",ISERROR(AD579)),
"-",
_xlfn.UNIQUE(_xlfn._xlws.FILTER([1]Sheet1!$D$2:$D$200,ISNUMBER(SEARCH(AD579,[1]Sheet1!$D$2:$D$200))))
)</f>
        <v>동방 익스프레스</v>
      </c>
      <c r="V579" s="24">
        <v>510000</v>
      </c>
      <c r="W579" s="24">
        <v>369000</v>
      </c>
      <c r="X579" s="24">
        <f t="shared" si="19"/>
        <v>141000</v>
      </c>
      <c r="Y579" s="88" t="s">
        <v>2305</v>
      </c>
      <c r="Z579" s="19" t="s">
        <v>51</v>
      </c>
      <c r="AA579" s="19" t="s">
        <v>93</v>
      </c>
      <c r="AB579" s="35" t="s">
        <v>2306</v>
      </c>
      <c r="AC579" s="72" t="str">
        <f t="shared" si="18"/>
        <v>Y</v>
      </c>
      <c r="AD579" s="72" t="s">
        <v>116</v>
      </c>
      <c r="AE579" s="89" t="s">
        <v>1693</v>
      </c>
      <c r="AF579" s="90"/>
      <c r="AG579" s="90"/>
      <c r="AH579" s="19"/>
      <c r="AI579" s="28" t="s">
        <v>228</v>
      </c>
    </row>
    <row r="580" spans="1:35" ht="34.950000000000003" customHeight="1" x14ac:dyDescent="0.4">
      <c r="A580" s="16" t="s">
        <v>36</v>
      </c>
      <c r="B580" s="16" t="s">
        <v>37</v>
      </c>
      <c r="C580" s="17">
        <v>46017</v>
      </c>
      <c r="D580" s="16" t="s">
        <v>442</v>
      </c>
      <c r="E580" s="16" t="s">
        <v>442</v>
      </c>
      <c r="F580" s="16">
        <v>2707</v>
      </c>
      <c r="G580" s="18" t="s">
        <v>2307</v>
      </c>
      <c r="H580" s="16" t="s">
        <v>41</v>
      </c>
      <c r="I580" s="19" t="s">
        <v>137</v>
      </c>
      <c r="J580" s="16" t="str">
        <f>IFERROR(VLOOKUP(I580,[1]Sheet1!$A$1:$B$200,2,0),"_")</f>
        <v>BE</v>
      </c>
      <c r="K580" s="19" t="s">
        <v>328</v>
      </c>
      <c r="L580" s="16" t="str">
        <f>IFERROR(VLOOKUP(K580,[1]Sheet1!$A$1:$B$200,2,0),"-")</f>
        <v>BT</v>
      </c>
      <c r="M580" s="19" t="s">
        <v>251</v>
      </c>
      <c r="N580" s="16" t="str">
        <f>IFERROR(VLOOKUP(M580,[1]Sheet1!$G$2:$H$200,2,0),"-")</f>
        <v>SNKO</v>
      </c>
      <c r="O580" s="18" t="s">
        <v>2308</v>
      </c>
      <c r="P580" s="17">
        <v>45659</v>
      </c>
      <c r="Q580" s="20" t="s">
        <v>2309</v>
      </c>
      <c r="R580" s="20" t="s">
        <v>2310</v>
      </c>
      <c r="S580" s="21" t="str" cm="1">
        <f t="array" ref="S580">IF(
OR(AD580="",ISERROR(AD580)),
"-",
_xlfn.UNIQUE(_xlfn._xlws.FILTER([1]Sheet1!$D$2:$D$200,ISNUMBER(SEARCH(AD580,[1]Sheet1!$D$2:$D$200))))
)</f>
        <v>양양운수(주)</v>
      </c>
      <c r="T580" s="22" t="s">
        <v>2311</v>
      </c>
      <c r="U580" s="16" t="str" cm="1">
        <f t="array" ref="U580">IF(
OR(AD580="",ISERROR(AD580)),
"-",
_xlfn.UNIQUE(_xlfn._xlws.FILTER([1]Sheet1!$D$2:$D$200,ISNUMBER(SEARCH(AD580,[1]Sheet1!$D$2:$D$200))))
)</f>
        <v>양양운수(주)</v>
      </c>
      <c r="V580" s="23">
        <v>860000</v>
      </c>
      <c r="W580" s="23">
        <v>746300</v>
      </c>
      <c r="X580" s="23">
        <f t="shared" si="19"/>
        <v>113700</v>
      </c>
      <c r="Y580" s="25" t="s">
        <v>2312</v>
      </c>
      <c r="Z580" s="19" t="s">
        <v>51</v>
      </c>
      <c r="AA580" s="19" t="s">
        <v>81</v>
      </c>
      <c r="AB580" s="18" t="s">
        <v>2313</v>
      </c>
      <c r="AC580" s="17" t="str">
        <f t="shared" ref="AC580:AC628" si="20">IF(AI580="ㅇ", "Y", IF(Z580="강다영", "", "Y"))</f>
        <v>Y</v>
      </c>
      <c r="AD580" s="17" t="s">
        <v>619</v>
      </c>
      <c r="AE580" s="26">
        <v>0.54166666666666663</v>
      </c>
      <c r="AF580" s="27"/>
      <c r="AG580" s="27"/>
      <c r="AI580" s="28" t="s">
        <v>228</v>
      </c>
    </row>
    <row r="581" spans="1:35" ht="34.799999999999997" customHeight="1" x14ac:dyDescent="0.4">
      <c r="A581" s="16" t="s">
        <v>71</v>
      </c>
      <c r="B581" s="16" t="s">
        <v>37</v>
      </c>
      <c r="C581" s="17">
        <v>46017</v>
      </c>
      <c r="D581" s="16" t="s">
        <v>1624</v>
      </c>
      <c r="E581" s="16" t="s">
        <v>1892</v>
      </c>
      <c r="F581" s="16">
        <v>28895</v>
      </c>
      <c r="G581" s="18" t="s">
        <v>1893</v>
      </c>
      <c r="H581" s="16" t="s">
        <v>59</v>
      </c>
      <c r="I581" s="19" t="s">
        <v>817</v>
      </c>
      <c r="J581" s="16" t="str">
        <f>IFERROR(VLOOKUP(I581,[1]Sheet1!$A$1:$B$200,2,0),"_")</f>
        <v>PP</v>
      </c>
      <c r="K581" s="19" t="s">
        <v>1894</v>
      </c>
      <c r="L581" s="16" t="str">
        <f>IFERROR(VLOOKUP(K581,[1]Sheet1!$A$1:$B$200,2,0),"-")</f>
        <v>WS</v>
      </c>
      <c r="M581" s="19" t="s">
        <v>752</v>
      </c>
      <c r="N581" s="16" t="str">
        <f>IFERROR(VLOOKUP(M581,[1]Sheet1!$G$2:$H$200,2,0),"-")</f>
        <v>ONE</v>
      </c>
      <c r="O581" s="18" t="s">
        <v>55</v>
      </c>
      <c r="P581" s="17" t="s">
        <v>55</v>
      </c>
      <c r="Q581" s="20" t="s">
        <v>2314</v>
      </c>
      <c r="R581" s="20"/>
      <c r="S581" s="21" t="str" cm="1">
        <f t="array" ref="S581">IF(
OR(AD581="",ISERROR(AD581)),
"-",
_xlfn.UNIQUE(_xlfn._xlws.FILTER([1]Sheet1!$D$2:$D$200,ISNUMBER(SEARCH(AD581,[1]Sheet1!$D$2:$D$200))))
)</f>
        <v>(주)유진로직스</v>
      </c>
      <c r="T581" s="22" t="s">
        <v>2315</v>
      </c>
      <c r="U581" s="16" t="str" cm="1">
        <f t="array" ref="U581">IF(
OR(AD581="",ISERROR(AD581)),
"-",
_xlfn.UNIQUE(_xlfn._xlws.FILTER([1]Sheet1!$D$2:$D$200,ISNUMBER(SEARCH(AD581,[1]Sheet1!$D$2:$D$200))))
)</f>
        <v>(주)유진로직스</v>
      </c>
      <c r="V581" s="23">
        <v>200000</v>
      </c>
      <c r="W581" s="23">
        <v>180000</v>
      </c>
      <c r="X581" s="23">
        <f t="shared" si="19"/>
        <v>20000</v>
      </c>
      <c r="Y581" s="25" t="s">
        <v>2316</v>
      </c>
      <c r="Z581" s="19" t="s">
        <v>51</v>
      </c>
      <c r="AA581" s="19" t="s">
        <v>144</v>
      </c>
      <c r="AC581" s="17" t="str">
        <f t="shared" si="20"/>
        <v>Y</v>
      </c>
      <c r="AD581" s="17" t="s">
        <v>70</v>
      </c>
      <c r="AE581" s="26" t="s">
        <v>2251</v>
      </c>
      <c r="AF581" s="27"/>
      <c r="AG581" s="27"/>
      <c r="AI581" s="28" t="s">
        <v>228</v>
      </c>
    </row>
    <row r="582" spans="1:35" ht="34.950000000000003" customHeight="1" x14ac:dyDescent="0.4">
      <c r="A582" s="16" t="s">
        <v>36</v>
      </c>
      <c r="B582" s="16" t="s">
        <v>37</v>
      </c>
      <c r="C582" s="17">
        <v>46017</v>
      </c>
      <c r="D582" s="16" t="s">
        <v>38</v>
      </c>
      <c r="E582" s="16" t="s">
        <v>2317</v>
      </c>
      <c r="F582" s="16">
        <v>27636</v>
      </c>
      <c r="G582" s="18" t="s">
        <v>2318</v>
      </c>
      <c r="H582" s="16" t="s">
        <v>75</v>
      </c>
      <c r="I582" s="19" t="s">
        <v>42</v>
      </c>
      <c r="J582" s="16" t="str">
        <f>IFERROR(VLOOKUP(I582,[1]Sheet1!$A$1:$B$200,2,0),"_")</f>
        <v>P</v>
      </c>
      <c r="K582" s="19" t="s">
        <v>42</v>
      </c>
      <c r="L582" s="16" t="str">
        <f>IFERROR(VLOOKUP(K582,[1]Sheet1!$A$1:$B$200,2,0),"-")</f>
        <v>P</v>
      </c>
      <c r="M582" s="19" t="s">
        <v>44</v>
      </c>
      <c r="N582" s="16" t="str">
        <f>IFERROR(VLOOKUP(M582,[1]Sheet1!$G$2:$H$200,2,0),"-")</f>
        <v>HSLI</v>
      </c>
      <c r="O582" s="18" t="s">
        <v>2319</v>
      </c>
      <c r="P582" s="17">
        <v>46018</v>
      </c>
      <c r="Q582" s="20" t="s">
        <v>2320</v>
      </c>
      <c r="R582" s="20" t="s">
        <v>2321</v>
      </c>
      <c r="S582" s="21" t="str" cm="1">
        <f t="array" ref="S582">IF(
OR(AD582="",ISERROR(AD582)),
"-",
_xlfn.UNIQUE(_xlfn._xlws.FILTER([1]Sheet1!$D$2:$D$200,ISNUMBER(SEARCH(AD582,[1]Sheet1!$D$2:$D$200))))
)</f>
        <v>에스더블유로지스틱스</v>
      </c>
      <c r="T582" s="22" t="s">
        <v>2322</v>
      </c>
      <c r="U582" s="16" t="str" cm="1">
        <f t="array" ref="U582">IF(
OR(AD582="",ISERROR(AD582)),
"-",
_xlfn.UNIQUE(_xlfn._xlws.FILTER([1]Sheet1!$D$2:$D$200,ISNUMBER(SEARCH(AD582,[1]Sheet1!$D$2:$D$200))))
)</f>
        <v>에스더블유로지스틱스</v>
      </c>
      <c r="V582" s="23">
        <v>223800</v>
      </c>
      <c r="W582" s="23">
        <v>187000</v>
      </c>
      <c r="X582" s="23">
        <f t="shared" ref="X582:X630" si="21">V582-W582</f>
        <v>36800</v>
      </c>
      <c r="Y582" s="25" t="s">
        <v>2323</v>
      </c>
      <c r="Z582" s="19" t="s">
        <v>51</v>
      </c>
      <c r="AA582" s="19" t="s">
        <v>52</v>
      </c>
      <c r="AB582" s="18" t="s">
        <v>2324</v>
      </c>
      <c r="AC582" s="17" t="str">
        <f t="shared" si="20"/>
        <v>Y</v>
      </c>
      <c r="AD582" s="17" t="s">
        <v>1200</v>
      </c>
      <c r="AE582" s="26">
        <v>0.58333333333333337</v>
      </c>
      <c r="AF582" s="27"/>
      <c r="AG582" s="27"/>
      <c r="AI582" s="28" t="s">
        <v>228</v>
      </c>
    </row>
    <row r="583" spans="1:35" ht="34.950000000000003" customHeight="1" x14ac:dyDescent="0.4">
      <c r="A583" s="16" t="s">
        <v>36</v>
      </c>
      <c r="B583" s="16" t="s">
        <v>99</v>
      </c>
      <c r="C583" s="17">
        <v>46017</v>
      </c>
      <c r="D583" s="16" t="s">
        <v>261</v>
      </c>
      <c r="E583" s="16" t="s">
        <v>2325</v>
      </c>
      <c r="F583" s="16">
        <v>28949</v>
      </c>
      <c r="G583" s="18" t="s">
        <v>2326</v>
      </c>
      <c r="H583" s="16" t="s">
        <v>41</v>
      </c>
      <c r="I583" s="19" t="s">
        <v>129</v>
      </c>
      <c r="J583" s="16" t="str">
        <f>IFERROR(VLOOKUP(I583,[1]Sheet1!$A$1:$B$200,2,0),"_")</f>
        <v>E1</v>
      </c>
      <c r="K583" s="19" t="s">
        <v>129</v>
      </c>
      <c r="L583" s="16" t="str">
        <f>IFERROR(VLOOKUP(K583,[1]Sheet1!$A$1:$B$200,2,0),"-")</f>
        <v>E1</v>
      </c>
      <c r="M583" s="19" t="s">
        <v>264</v>
      </c>
      <c r="N583" s="16" t="str">
        <f>IFERROR(VLOOKUP(M583,[1]Sheet1!$G$2:$H$200,2,0),"-")</f>
        <v>TYSP</v>
      </c>
      <c r="O583" s="18" t="s">
        <v>2327</v>
      </c>
      <c r="P583" s="17">
        <v>46018</v>
      </c>
      <c r="Q583" s="20" t="s">
        <v>2328</v>
      </c>
      <c r="R583" s="20" t="s">
        <v>2329</v>
      </c>
      <c r="S583" s="21" t="str" cm="1">
        <f t="array" ref="S583">IF(
OR(AD583="",ISERROR(AD583)),
"-",
_xlfn.UNIQUE(_xlfn._xlws.FILTER([1]Sheet1!$D$2:$D$200,ISNUMBER(SEARCH(AD583,[1]Sheet1!$D$2:$D$200))))
)</f>
        <v>태성종합물류</v>
      </c>
      <c r="T583" s="22" t="s">
        <v>841</v>
      </c>
      <c r="U583" s="16" t="str" cm="1">
        <f t="array" ref="U583">IF(
OR(AD583="",ISERROR(AD583)),
"-",
_xlfn.UNIQUE(_xlfn._xlws.FILTER([1]Sheet1!$D$2:$D$200,ISNUMBER(SEARCH(AD583,[1]Sheet1!$D$2:$D$200))))
)</f>
        <v>태성종합물류</v>
      </c>
      <c r="V583" s="23">
        <v>550000</v>
      </c>
      <c r="W583" s="23">
        <v>511100</v>
      </c>
      <c r="X583" s="23">
        <f t="shared" si="21"/>
        <v>38900</v>
      </c>
      <c r="Y583" s="25" t="s">
        <v>2330</v>
      </c>
      <c r="Z583" s="19" t="s">
        <v>51</v>
      </c>
      <c r="AA583" s="19" t="s">
        <v>93</v>
      </c>
      <c r="AB583" s="18" t="s">
        <v>2331</v>
      </c>
      <c r="AC583" s="17" t="str">
        <f t="shared" si="20"/>
        <v>Y</v>
      </c>
      <c r="AD583" s="17" t="s">
        <v>82</v>
      </c>
      <c r="AE583" s="26">
        <v>0.625</v>
      </c>
      <c r="AF583" s="27"/>
      <c r="AG583" s="27"/>
      <c r="AI583" s="28" t="s">
        <v>228</v>
      </c>
    </row>
    <row r="584" spans="1:35" ht="34.950000000000003" customHeight="1" x14ac:dyDescent="0.4">
      <c r="A584" s="16" t="s">
        <v>36</v>
      </c>
      <c r="B584" s="16" t="s">
        <v>99</v>
      </c>
      <c r="C584" s="17">
        <v>46017</v>
      </c>
      <c r="D584" s="16" t="s">
        <v>261</v>
      </c>
      <c r="E584" s="16" t="s">
        <v>2325</v>
      </c>
      <c r="F584" s="16">
        <v>28949</v>
      </c>
      <c r="G584" s="18" t="s">
        <v>2326</v>
      </c>
      <c r="H584" s="16" t="s">
        <v>41</v>
      </c>
      <c r="I584" s="19" t="s">
        <v>129</v>
      </c>
      <c r="J584" s="16" t="str">
        <f>IFERROR(VLOOKUP(I584,[1]Sheet1!$A$1:$B$200,2,0),"_")</f>
        <v>E1</v>
      </c>
      <c r="K584" s="19" t="s">
        <v>129</v>
      </c>
      <c r="L584" s="16" t="str">
        <f>IFERROR(VLOOKUP(K584,[1]Sheet1!$A$1:$B$200,2,0),"-")</f>
        <v>E1</v>
      </c>
      <c r="M584" s="19" t="s">
        <v>264</v>
      </c>
      <c r="N584" s="16" t="str">
        <f>IFERROR(VLOOKUP(M584,[1]Sheet1!$G$2:$H$200,2,0),"-")</f>
        <v>TYSP</v>
      </c>
      <c r="O584" s="18" t="s">
        <v>2327</v>
      </c>
      <c r="P584" s="17">
        <v>46018</v>
      </c>
      <c r="Q584" s="20" t="s">
        <v>2332</v>
      </c>
      <c r="R584" s="20" t="s">
        <v>2333</v>
      </c>
      <c r="S584" s="21" t="str" cm="1">
        <f t="array" ref="S584">IF(
OR(AD584="",ISERROR(AD584)),
"-",
_xlfn.UNIQUE(_xlfn._xlws.FILTER([1]Sheet1!$D$2:$D$200,ISNUMBER(SEARCH(AD584,[1]Sheet1!$D$2:$D$200))))
)</f>
        <v>태성종합물류</v>
      </c>
      <c r="T584" s="22" t="s">
        <v>2334</v>
      </c>
      <c r="U584" s="16" t="str" cm="1">
        <f t="array" ref="U584">IF(
OR(AD584="",ISERROR(AD584)),
"-",
_xlfn.UNIQUE(_xlfn._xlws.FILTER([1]Sheet1!$D$2:$D$200,ISNUMBER(SEARCH(AD584,[1]Sheet1!$D$2:$D$200))))
)</f>
        <v>태성종합물류</v>
      </c>
      <c r="V584" s="23">
        <v>550000</v>
      </c>
      <c r="W584" s="23">
        <v>511100</v>
      </c>
      <c r="X584" s="23">
        <f t="shared" si="21"/>
        <v>38900</v>
      </c>
      <c r="Y584" s="25" t="s">
        <v>2330</v>
      </c>
      <c r="Z584" s="19" t="s">
        <v>51</v>
      </c>
      <c r="AA584" s="19" t="s">
        <v>93</v>
      </c>
      <c r="AB584" s="18" t="s">
        <v>2331</v>
      </c>
      <c r="AC584" s="17" t="str">
        <f t="shared" si="20"/>
        <v>Y</v>
      </c>
      <c r="AD584" s="17" t="s">
        <v>82</v>
      </c>
      <c r="AE584" s="26">
        <v>0.625</v>
      </c>
      <c r="AF584" s="27"/>
      <c r="AG584" s="27"/>
      <c r="AI584" s="28" t="s">
        <v>228</v>
      </c>
    </row>
    <row r="585" spans="1:35" ht="34.950000000000003" customHeight="1" x14ac:dyDescent="0.4">
      <c r="A585" s="16" t="s">
        <v>71</v>
      </c>
      <c r="B585" s="16" t="s">
        <v>37</v>
      </c>
      <c r="C585" s="17">
        <v>46017</v>
      </c>
      <c r="D585" s="16" t="s">
        <v>216</v>
      </c>
      <c r="E585" s="16" t="s">
        <v>2335</v>
      </c>
      <c r="F585" s="16">
        <v>28253</v>
      </c>
      <c r="G585" s="18" t="s">
        <v>2336</v>
      </c>
      <c r="H585" s="16" t="s">
        <v>41</v>
      </c>
      <c r="I585" s="19" t="s">
        <v>172</v>
      </c>
      <c r="J585" s="16" t="str">
        <f>IFERROR(VLOOKUP(I585,[1]Sheet1!$A$1:$B$200,2,0),"_")</f>
        <v>KW</v>
      </c>
      <c r="K585" s="19" t="s">
        <v>172</v>
      </c>
      <c r="L585" s="16" t="str">
        <f>IFERROR(VLOOKUP(K585,[1]Sheet1!$A$1:$B$200,2,0),"-")</f>
        <v>KW</v>
      </c>
      <c r="M585" s="19" t="s">
        <v>382</v>
      </c>
      <c r="N585" s="16" t="str">
        <f>IFERROR(VLOOKUP(M585,[1]Sheet1!$G$2:$H$200,2,0),"-")</f>
        <v>EASL</v>
      </c>
      <c r="O585" s="18" t="s">
        <v>55</v>
      </c>
      <c r="P585" s="17" t="s">
        <v>55</v>
      </c>
      <c r="Q585" s="20" t="s">
        <v>2337</v>
      </c>
      <c r="R585" s="20"/>
      <c r="S585" s="21" t="str" cm="1">
        <f t="array" ref="S585">IF(
OR(AD585="",ISERROR(AD585)),
"-",
_xlfn.UNIQUE(_xlfn._xlws.FILTER([1]Sheet1!$D$2:$D$200,ISNUMBER(SEARCH(AD585,[1]Sheet1!$D$2:$D$200))))
)</f>
        <v>(유)오식도물류</v>
      </c>
      <c r="T585" s="22" t="s">
        <v>2338</v>
      </c>
      <c r="U585" s="16" t="str" cm="1">
        <f t="array" ref="U585">IF(
OR(AD585="",ISERROR(AD585)),
"-",
_xlfn.UNIQUE(_xlfn._xlws.FILTER([1]Sheet1!$D$2:$D$200,ISNUMBER(SEARCH(AD585,[1]Sheet1!$D$2:$D$200))))
)</f>
        <v>(유)오식도물류</v>
      </c>
      <c r="V585" s="23">
        <v>462000</v>
      </c>
      <c r="W585" s="23">
        <v>386000</v>
      </c>
      <c r="X585" s="23">
        <f t="shared" si="21"/>
        <v>76000</v>
      </c>
      <c r="Y585" s="25" t="s">
        <v>2339</v>
      </c>
      <c r="Z585" s="19" t="s">
        <v>51</v>
      </c>
      <c r="AA585" s="19" t="s">
        <v>93</v>
      </c>
      <c r="AB585" s="18" t="s">
        <v>2340</v>
      </c>
      <c r="AC585" s="17" t="str">
        <f t="shared" si="20"/>
        <v>Y</v>
      </c>
      <c r="AD585" s="17" t="s">
        <v>179</v>
      </c>
      <c r="AE585" s="26">
        <v>0.375</v>
      </c>
      <c r="AF585" s="27"/>
      <c r="AG585" s="27"/>
      <c r="AI585" s="28" t="s">
        <v>228</v>
      </c>
    </row>
    <row r="586" spans="1:35" ht="34.950000000000003" customHeight="1" x14ac:dyDescent="0.4">
      <c r="A586" s="16" t="s">
        <v>71</v>
      </c>
      <c r="B586" s="16" t="s">
        <v>37</v>
      </c>
      <c r="C586" s="17">
        <v>46017</v>
      </c>
      <c r="D586" s="16" t="s">
        <v>216</v>
      </c>
      <c r="E586" s="16" t="s">
        <v>2335</v>
      </c>
      <c r="F586" s="16">
        <v>28253</v>
      </c>
      <c r="G586" s="18" t="s">
        <v>2336</v>
      </c>
      <c r="H586" s="16" t="s">
        <v>41</v>
      </c>
      <c r="I586" s="19" t="s">
        <v>172</v>
      </c>
      <c r="J586" s="16" t="str">
        <f>IFERROR(VLOOKUP(I586,[1]Sheet1!$A$1:$B$200,2,0),"_")</f>
        <v>KW</v>
      </c>
      <c r="K586" s="19" t="s">
        <v>172</v>
      </c>
      <c r="L586" s="16" t="str">
        <f>IFERROR(VLOOKUP(K586,[1]Sheet1!$A$1:$B$200,2,0),"-")</f>
        <v>KW</v>
      </c>
      <c r="M586" s="19" t="s">
        <v>382</v>
      </c>
      <c r="N586" s="16" t="str">
        <f>IFERROR(VLOOKUP(M586,[1]Sheet1!$G$2:$H$200,2,0),"-")</f>
        <v>EASL</v>
      </c>
      <c r="O586" s="18" t="s">
        <v>55</v>
      </c>
      <c r="P586" s="17" t="s">
        <v>55</v>
      </c>
      <c r="Q586" s="20" t="s">
        <v>2341</v>
      </c>
      <c r="R586" s="20"/>
      <c r="S586" s="21" t="str" cm="1">
        <f t="array" ref="S586">IF(
OR(AD586="",ISERROR(AD586)),
"-",
_xlfn.UNIQUE(_xlfn._xlws.FILTER([1]Sheet1!$D$2:$D$200,ISNUMBER(SEARCH(AD586,[1]Sheet1!$D$2:$D$200))))
)</f>
        <v>(유)오식도물류</v>
      </c>
      <c r="T586" s="22" t="s">
        <v>2342</v>
      </c>
      <c r="U586" s="16" t="str" cm="1">
        <f t="array" ref="U586">IF(
OR(AD586="",ISERROR(AD586)),
"-",
_xlfn.UNIQUE(_xlfn._xlws.FILTER([1]Sheet1!$D$2:$D$200,ISNUMBER(SEARCH(AD586,[1]Sheet1!$D$2:$D$200))))
)</f>
        <v>(유)오식도물류</v>
      </c>
      <c r="V586" s="23">
        <v>462000</v>
      </c>
      <c r="W586" s="23">
        <v>386000</v>
      </c>
      <c r="X586" s="23">
        <f t="shared" si="21"/>
        <v>76000</v>
      </c>
      <c r="Y586" s="25" t="s">
        <v>2339</v>
      </c>
      <c r="Z586" s="19" t="s">
        <v>51</v>
      </c>
      <c r="AA586" s="19" t="s">
        <v>93</v>
      </c>
      <c r="AB586" s="18" t="s">
        <v>2340</v>
      </c>
      <c r="AC586" s="17" t="str">
        <f t="shared" si="20"/>
        <v>Y</v>
      </c>
      <c r="AD586" s="17" t="s">
        <v>179</v>
      </c>
      <c r="AE586" s="26">
        <v>0.41666666666666669</v>
      </c>
      <c r="AF586" s="27"/>
      <c r="AG586" s="27"/>
      <c r="AI586" s="28" t="s">
        <v>228</v>
      </c>
    </row>
    <row r="587" spans="1:35" ht="34.950000000000003" customHeight="1" x14ac:dyDescent="0.4">
      <c r="A587" s="16" t="s">
        <v>71</v>
      </c>
      <c r="B587" s="16" t="s">
        <v>37</v>
      </c>
      <c r="C587" s="17">
        <v>46017</v>
      </c>
      <c r="D587" s="16" t="s">
        <v>216</v>
      </c>
      <c r="E587" s="16" t="s">
        <v>2335</v>
      </c>
      <c r="F587" s="16">
        <v>28253</v>
      </c>
      <c r="G587" s="18" t="s">
        <v>2336</v>
      </c>
      <c r="H587" s="16" t="s">
        <v>41</v>
      </c>
      <c r="I587" s="19" t="s">
        <v>172</v>
      </c>
      <c r="J587" s="16" t="str">
        <f>IFERROR(VLOOKUP(I587,[1]Sheet1!$A$1:$B$200,2,0),"_")</f>
        <v>KW</v>
      </c>
      <c r="K587" s="19" t="s">
        <v>172</v>
      </c>
      <c r="L587" s="16" t="str">
        <f>IFERROR(VLOOKUP(K587,[1]Sheet1!$A$1:$B$200,2,0),"-")</f>
        <v>KW</v>
      </c>
      <c r="M587" s="19" t="s">
        <v>382</v>
      </c>
      <c r="N587" s="16" t="str">
        <f>IFERROR(VLOOKUP(M587,[1]Sheet1!$G$2:$H$200,2,0),"-")</f>
        <v>EASL</v>
      </c>
      <c r="O587" s="18" t="s">
        <v>55</v>
      </c>
      <c r="P587" s="17" t="s">
        <v>55</v>
      </c>
      <c r="Q587" s="20" t="s">
        <v>2343</v>
      </c>
      <c r="R587" s="20"/>
      <c r="S587" s="21" t="str" cm="1">
        <f t="array" ref="S587">IF(
OR(AD587="",ISERROR(AD587)),
"-",
_xlfn.UNIQUE(_xlfn._xlws.FILTER([1]Sheet1!$D$2:$D$200,ISNUMBER(SEARCH(AD587,[1]Sheet1!$D$2:$D$200))))
)</f>
        <v>(유)오식도물류</v>
      </c>
      <c r="T587" s="22" t="s">
        <v>2344</v>
      </c>
      <c r="U587" s="16" t="str" cm="1">
        <f t="array" ref="U587">IF(
OR(AD587="",ISERROR(AD587)),
"-",
_xlfn.UNIQUE(_xlfn._xlws.FILTER([1]Sheet1!$D$2:$D$200,ISNUMBER(SEARCH(AD587,[1]Sheet1!$D$2:$D$200))))
)</f>
        <v>(유)오식도물류</v>
      </c>
      <c r="V587" s="23">
        <v>462000</v>
      </c>
      <c r="W587" s="23">
        <v>386000</v>
      </c>
      <c r="X587" s="23">
        <f t="shared" si="21"/>
        <v>76000</v>
      </c>
      <c r="Y587" s="25" t="s">
        <v>2339</v>
      </c>
      <c r="Z587" s="19" t="s">
        <v>51</v>
      </c>
      <c r="AA587" s="19" t="s">
        <v>93</v>
      </c>
      <c r="AB587" s="18" t="s">
        <v>2340</v>
      </c>
      <c r="AC587" s="17" t="str">
        <f t="shared" si="20"/>
        <v>Y</v>
      </c>
      <c r="AD587" s="17" t="s">
        <v>179</v>
      </c>
      <c r="AE587" s="26">
        <v>0.45833333333333331</v>
      </c>
      <c r="AF587" s="27"/>
      <c r="AG587" s="27"/>
      <c r="AI587" s="28" t="s">
        <v>228</v>
      </c>
    </row>
    <row r="588" spans="1:35" ht="34.950000000000003" customHeight="1" x14ac:dyDescent="0.4">
      <c r="A588" s="16" t="s">
        <v>36</v>
      </c>
      <c r="B588" s="16" t="s">
        <v>37</v>
      </c>
      <c r="C588" s="17">
        <v>46017</v>
      </c>
      <c r="D588" s="16" t="s">
        <v>229</v>
      </c>
      <c r="E588" s="16" t="s">
        <v>229</v>
      </c>
      <c r="F588" s="16">
        <v>3641</v>
      </c>
      <c r="G588" s="18" t="s">
        <v>1933</v>
      </c>
      <c r="H588" s="16" t="s">
        <v>75</v>
      </c>
      <c r="I588" s="19" t="s">
        <v>137</v>
      </c>
      <c r="J588" s="16" t="str">
        <f>IFERROR(VLOOKUP(I588,[1]Sheet1!$A$1:$B$200,2,0),"_")</f>
        <v>BE</v>
      </c>
      <c r="K588" s="19" t="s">
        <v>751</v>
      </c>
      <c r="L588" s="16" t="str">
        <f>IFERROR(VLOOKUP(K588,[1]Sheet1!$A$1:$B$200,2,0),"-")</f>
        <v>PN</v>
      </c>
      <c r="M588" s="19" t="s">
        <v>752</v>
      </c>
      <c r="N588" s="16" t="str">
        <f>IFERROR(VLOOKUP(M588,[1]Sheet1!$G$2:$H$200,2,0),"-")</f>
        <v>ONE</v>
      </c>
      <c r="O588" s="18" t="s">
        <v>2345</v>
      </c>
      <c r="P588" s="17">
        <v>45662</v>
      </c>
      <c r="Q588" s="20" t="s">
        <v>2346</v>
      </c>
      <c r="R588" s="20" t="s">
        <v>2347</v>
      </c>
      <c r="S588" s="21" t="str" cm="1">
        <f t="array" ref="S588">IF(
OR(AD588="",ISERROR(AD588)),
"-",
_xlfn.UNIQUE(_xlfn._xlws.FILTER([1]Sheet1!$D$2:$D$200,ISNUMBER(SEARCH(AD588,[1]Sheet1!$D$2:$D$200))))
)</f>
        <v>양양운수(주)</v>
      </c>
      <c r="T588" s="22" t="s">
        <v>2348</v>
      </c>
      <c r="U588" s="16" t="str" cm="1">
        <f t="array" ref="U588">IF(
OR(AD588="",ISERROR(AD588)),
"-",
_xlfn.UNIQUE(_xlfn._xlws.FILTER([1]Sheet1!$D$2:$D$200,ISNUMBER(SEARCH(AD588,[1]Sheet1!$D$2:$D$200))))
)</f>
        <v>양양운수(주)</v>
      </c>
      <c r="V588" s="23">
        <v>860000</v>
      </c>
      <c r="W588" s="23">
        <v>770800</v>
      </c>
      <c r="X588" s="23">
        <f t="shared" si="21"/>
        <v>89200</v>
      </c>
      <c r="Y588" s="25" t="s">
        <v>2349</v>
      </c>
      <c r="Z588" s="19" t="s">
        <v>51</v>
      </c>
      <c r="AA588" s="19" t="s">
        <v>81</v>
      </c>
      <c r="AB588" s="18" t="s">
        <v>2350</v>
      </c>
      <c r="AC588" s="17" t="str">
        <f t="shared" si="20"/>
        <v>Y</v>
      </c>
      <c r="AD588" s="17" t="s">
        <v>619</v>
      </c>
      <c r="AE588" s="26">
        <v>0.54166666666666663</v>
      </c>
      <c r="AF588" s="27"/>
      <c r="AG588" s="27"/>
      <c r="AI588" s="28" t="s">
        <v>228</v>
      </c>
    </row>
    <row r="589" spans="1:35" s="28" customFormat="1" ht="34.950000000000003" customHeight="1" x14ac:dyDescent="0.4">
      <c r="A589" s="16" t="s">
        <v>71</v>
      </c>
      <c r="B589" s="16" t="s">
        <v>37</v>
      </c>
      <c r="C589" s="17">
        <v>46017</v>
      </c>
      <c r="D589" s="16" t="s">
        <v>575</v>
      </c>
      <c r="E589" s="16" t="s">
        <v>815</v>
      </c>
      <c r="F589" s="16">
        <v>26392</v>
      </c>
      <c r="G589" s="18" t="s">
        <v>1512</v>
      </c>
      <c r="H589" s="16" t="s">
        <v>519</v>
      </c>
      <c r="I589" s="19" t="s">
        <v>328</v>
      </c>
      <c r="J589" s="16" t="str">
        <f>IFERROR(VLOOKUP(I589,[1]Sheet1!$A$1:$B$200,2,0),"_")</f>
        <v>BT</v>
      </c>
      <c r="K589" s="19" t="s">
        <v>819</v>
      </c>
      <c r="L589" s="16" t="str">
        <f>IFERROR(VLOOKUP(K589,[1]Sheet1!$A$1:$B$200,2,0),"-")</f>
        <v>AS</v>
      </c>
      <c r="M589" s="19" t="s">
        <v>64</v>
      </c>
      <c r="N589" s="16" t="str">
        <f>IFERROR(VLOOKUP(M589,[1]Sheet1!$G$2:$H$200,2,0),"-")</f>
        <v>XXXX</v>
      </c>
      <c r="O589" s="18" t="s">
        <v>55</v>
      </c>
      <c r="P589" s="17" t="s">
        <v>55</v>
      </c>
      <c r="Q589" s="20" t="s">
        <v>799</v>
      </c>
      <c r="R589" s="20"/>
      <c r="S589" s="21" t="str" cm="1">
        <f t="array" ref="S589">IF(
OR(AD589="",ISERROR(AD589)),
"-",
_xlfn.UNIQUE(_xlfn._xlws.FILTER([1]Sheet1!$D$2:$D$200,ISNUMBER(SEARCH(AD589,[1]Sheet1!$D$2:$D$200))))
)</f>
        <v>(주)유진로직스</v>
      </c>
      <c r="T589" s="22" t="s">
        <v>2351</v>
      </c>
      <c r="U589" s="16" t="str" cm="1">
        <f t="array" ref="U589">IF(
OR(AD589="",ISERROR(AD589)),
"-",
_xlfn.UNIQUE(_xlfn._xlws.FILTER([1]Sheet1!$D$2:$D$200,ISNUMBER(SEARCH(AD589,[1]Sheet1!$D$2:$D$200))))
)</f>
        <v>(주)유진로직스</v>
      </c>
      <c r="V589" s="23">
        <v>520000</v>
      </c>
      <c r="W589" s="23">
        <v>409000</v>
      </c>
      <c r="X589" s="23">
        <f t="shared" si="21"/>
        <v>111000</v>
      </c>
      <c r="Y589" s="25" t="s">
        <v>2352</v>
      </c>
      <c r="Z589" s="19" t="s">
        <v>51</v>
      </c>
      <c r="AA589" s="19" t="s">
        <v>144</v>
      </c>
      <c r="AB589" s="17" t="s">
        <v>2353</v>
      </c>
      <c r="AC589" s="17" t="str">
        <f t="shared" si="20"/>
        <v>Y</v>
      </c>
      <c r="AD589" s="17" t="s">
        <v>70</v>
      </c>
      <c r="AE589" s="26" t="s">
        <v>2251</v>
      </c>
      <c r="AF589" s="27"/>
      <c r="AG589" s="27"/>
      <c r="AI589" s="28" t="s">
        <v>228</v>
      </c>
    </row>
    <row r="590" spans="1:35" ht="34.950000000000003" customHeight="1" x14ac:dyDescent="0.4">
      <c r="A590" s="16" t="s">
        <v>71</v>
      </c>
      <c r="B590" s="16" t="s">
        <v>37</v>
      </c>
      <c r="C590" s="17">
        <v>46018</v>
      </c>
      <c r="D590" s="16" t="s">
        <v>117</v>
      </c>
      <c r="E590" s="16" t="s">
        <v>118</v>
      </c>
      <c r="F590" s="16">
        <v>27823</v>
      </c>
      <c r="G590" s="16" t="s">
        <v>119</v>
      </c>
      <c r="H590" s="16" t="s">
        <v>75</v>
      </c>
      <c r="I590" s="19" t="s">
        <v>328</v>
      </c>
      <c r="J590" s="16" t="str">
        <f>IFERROR(VLOOKUP(I590,[1]Sheet1!$A$1:$B$200,2,0),"_")</f>
        <v>BT</v>
      </c>
      <c r="K590" s="19" t="s">
        <v>137</v>
      </c>
      <c r="L590" s="16" t="str">
        <f>IFERROR(VLOOKUP(K590,[1]Sheet1!$A$1:$B$200,2,0),"-")</f>
        <v>BE</v>
      </c>
      <c r="M590" s="19" t="s">
        <v>2354</v>
      </c>
      <c r="N590" s="16" t="str">
        <f>IFERROR(VLOOKUP(M590,[1]Sheet1!$G$2:$H$200,2,0),"-")</f>
        <v>PSLU</v>
      </c>
      <c r="O590" s="18" t="s">
        <v>55</v>
      </c>
      <c r="P590" s="17" t="s">
        <v>55</v>
      </c>
      <c r="Q590" s="20" t="s">
        <v>2355</v>
      </c>
      <c r="R590" s="20"/>
      <c r="S590" s="21" t="str" cm="1">
        <f t="array" ref="S590">IF(
OR(AD590="",ISERROR(AD590)),
"-",
_xlfn.UNIQUE(_xlfn._xlws.FILTER([1]Sheet1!$D$2:$D$200,ISNUMBER(SEARCH(AD590,[1]Sheet1!$D$2:$D$200))))
)</f>
        <v>율세</v>
      </c>
      <c r="T590" s="22" t="s">
        <v>2356</v>
      </c>
      <c r="U590" s="16" t="str" cm="1">
        <f t="array" ref="U590">IF(
OR(AD590="",ISERROR(AD590)),
"-",
_xlfn.UNIQUE(_xlfn._xlws.FILTER([1]Sheet1!$D$2:$D$200,ISNUMBER(SEARCH(AD590,[1]Sheet1!$D$2:$D$200))))
)</f>
        <v>율세</v>
      </c>
      <c r="V590" s="23">
        <v>605000</v>
      </c>
      <c r="W590" s="24">
        <v>523100</v>
      </c>
      <c r="X590" s="23">
        <f t="shared" si="21"/>
        <v>81900</v>
      </c>
      <c r="Y590" s="25" t="s">
        <v>2357</v>
      </c>
      <c r="Z590" s="19" t="s">
        <v>51</v>
      </c>
      <c r="AA590" s="19" t="s">
        <v>93</v>
      </c>
      <c r="AC590" s="17" t="str">
        <f t="shared" si="20"/>
        <v>Y</v>
      </c>
      <c r="AD590" s="17" t="s">
        <v>123</v>
      </c>
      <c r="AF590" s="27" t="s">
        <v>55</v>
      </c>
      <c r="AG590" s="27" t="s">
        <v>55</v>
      </c>
      <c r="AI590" s="28" t="s">
        <v>228</v>
      </c>
    </row>
    <row r="591" spans="1:35" ht="34.950000000000003" customHeight="1" x14ac:dyDescent="0.4">
      <c r="A591" s="16" t="s">
        <v>71</v>
      </c>
      <c r="B591" s="16" t="s">
        <v>37</v>
      </c>
      <c r="C591" s="17">
        <v>46018</v>
      </c>
      <c r="D591" s="16" t="s">
        <v>117</v>
      </c>
      <c r="E591" s="16" t="s">
        <v>118</v>
      </c>
      <c r="F591" s="16">
        <v>27823</v>
      </c>
      <c r="G591" s="16" t="s">
        <v>119</v>
      </c>
      <c r="H591" s="16" t="s">
        <v>75</v>
      </c>
      <c r="I591" s="19" t="s">
        <v>328</v>
      </c>
      <c r="J591" s="16" t="str">
        <f>IFERROR(VLOOKUP(I591,[1]Sheet1!$A$1:$B$200,2,0),"_")</f>
        <v>BT</v>
      </c>
      <c r="K591" s="19" t="s">
        <v>137</v>
      </c>
      <c r="L591" s="16" t="str">
        <f>IFERROR(VLOOKUP(K591,[1]Sheet1!$A$1:$B$200,2,0),"-")</f>
        <v>BE</v>
      </c>
      <c r="M591" s="19" t="s">
        <v>2354</v>
      </c>
      <c r="N591" s="16" t="str">
        <f>IFERROR(VLOOKUP(M591,[1]Sheet1!$G$2:$H$200,2,0),"-")</f>
        <v>PSLU</v>
      </c>
      <c r="O591" s="18" t="s">
        <v>55</v>
      </c>
      <c r="P591" s="17" t="s">
        <v>55</v>
      </c>
      <c r="Q591" s="20" t="s">
        <v>2355</v>
      </c>
      <c r="R591" s="20"/>
      <c r="S591" s="21" t="str" cm="1">
        <f t="array" ref="S591">IF(
OR(AD591="",ISERROR(AD591)),
"-",
_xlfn.UNIQUE(_xlfn._xlws.FILTER([1]Sheet1!$D$2:$D$200,ISNUMBER(SEARCH(AD591,[1]Sheet1!$D$2:$D$200))))
)</f>
        <v>율세</v>
      </c>
      <c r="T591" s="22" t="s">
        <v>2356</v>
      </c>
      <c r="U591" s="16" t="str" cm="1">
        <f t="array" ref="U591">IF(
OR(AD591="",ISERROR(AD591)),
"-",
_xlfn.UNIQUE(_xlfn._xlws.FILTER([1]Sheet1!$D$2:$D$200,ISNUMBER(SEARCH(AD591,[1]Sheet1!$D$2:$D$200))))
)</f>
        <v>율세</v>
      </c>
      <c r="V591" s="23">
        <v>80000</v>
      </c>
      <c r="W591" s="24">
        <v>80000</v>
      </c>
      <c r="X591" s="23">
        <f t="shared" si="21"/>
        <v>0</v>
      </c>
      <c r="Y591" s="25" t="s">
        <v>2358</v>
      </c>
      <c r="Z591" s="19" t="s">
        <v>51</v>
      </c>
      <c r="AA591" s="19" t="s">
        <v>93</v>
      </c>
      <c r="AC591" s="17" t="str">
        <f t="shared" si="20"/>
        <v>Y</v>
      </c>
      <c r="AD591" s="17" t="s">
        <v>123</v>
      </c>
      <c r="AF591" s="27" t="s">
        <v>55</v>
      </c>
      <c r="AG591" s="27" t="s">
        <v>55</v>
      </c>
      <c r="AI591" s="28" t="s">
        <v>228</v>
      </c>
    </row>
    <row r="592" spans="1:35" ht="34.950000000000003" customHeight="1" x14ac:dyDescent="0.4">
      <c r="A592" s="16" t="s">
        <v>71</v>
      </c>
      <c r="B592" s="16" t="s">
        <v>37</v>
      </c>
      <c r="C592" s="17">
        <v>46018</v>
      </c>
      <c r="D592" s="16" t="s">
        <v>117</v>
      </c>
      <c r="E592" s="16" t="s">
        <v>118</v>
      </c>
      <c r="F592" s="16">
        <v>27823</v>
      </c>
      <c r="G592" s="16" t="s">
        <v>119</v>
      </c>
      <c r="H592" s="16" t="s">
        <v>75</v>
      </c>
      <c r="I592" s="19" t="s">
        <v>328</v>
      </c>
      <c r="J592" s="16" t="str">
        <f>IFERROR(VLOOKUP(I592,[1]Sheet1!$A$1:$B$200,2,0),"_")</f>
        <v>BT</v>
      </c>
      <c r="K592" s="19" t="s">
        <v>137</v>
      </c>
      <c r="L592" s="16" t="str">
        <f>IFERROR(VLOOKUP(K592,[1]Sheet1!$A$1:$B$200,2,0),"-")</f>
        <v>BE</v>
      </c>
      <c r="M592" s="19" t="s">
        <v>2354</v>
      </c>
      <c r="N592" s="16" t="str">
        <f>IFERROR(VLOOKUP(M592,[1]Sheet1!$G$2:$H$200,2,0),"-")</f>
        <v>PSLU</v>
      </c>
      <c r="O592" s="18" t="s">
        <v>55</v>
      </c>
      <c r="P592" s="17" t="s">
        <v>55</v>
      </c>
      <c r="Q592" s="20" t="s">
        <v>2355</v>
      </c>
      <c r="R592" s="20"/>
      <c r="S592" s="21" t="str" cm="1">
        <f t="array" ref="S592">IF(
OR(AD592="",ISERROR(AD592)),
"-",
_xlfn.UNIQUE(_xlfn._xlws.FILTER([1]Sheet1!$D$2:$D$200,ISNUMBER(SEARCH(AD592,[1]Sheet1!$D$2:$D$200))))
)</f>
        <v>율세</v>
      </c>
      <c r="T592" s="22" t="s">
        <v>2356</v>
      </c>
      <c r="U592" s="16" t="str" cm="1">
        <f t="array" ref="U592">IF(
OR(AD592="",ISERROR(AD592)),
"-",
_xlfn.UNIQUE(_xlfn._xlws.FILTER([1]Sheet1!$D$2:$D$200,ISNUMBER(SEARCH(AD592,[1]Sheet1!$D$2:$D$200))))
)</f>
        <v>율세</v>
      </c>
      <c r="V592" s="23">
        <v>30000</v>
      </c>
      <c r="W592" s="24">
        <v>30000</v>
      </c>
      <c r="X592" s="23">
        <f t="shared" si="21"/>
        <v>0</v>
      </c>
      <c r="Y592" s="25" t="s">
        <v>2359</v>
      </c>
      <c r="Z592" s="19" t="s">
        <v>51</v>
      </c>
      <c r="AA592" s="19" t="s">
        <v>93</v>
      </c>
      <c r="AC592" s="17" t="str">
        <f t="shared" si="20"/>
        <v>Y</v>
      </c>
      <c r="AD592" s="17" t="s">
        <v>123</v>
      </c>
      <c r="AF592" s="27" t="s">
        <v>55</v>
      </c>
      <c r="AG592" s="27" t="s">
        <v>55</v>
      </c>
      <c r="AI592" s="28" t="s">
        <v>228</v>
      </c>
    </row>
    <row r="593" spans="1:35" ht="34.950000000000003" customHeight="1" x14ac:dyDescent="0.4">
      <c r="A593" s="16" t="s">
        <v>36</v>
      </c>
      <c r="B593" s="16" t="s">
        <v>37</v>
      </c>
      <c r="C593" s="17">
        <v>46018</v>
      </c>
      <c r="D593" s="16" t="s">
        <v>261</v>
      </c>
      <c r="E593" s="16" t="s">
        <v>2360</v>
      </c>
      <c r="F593" s="16">
        <v>27120</v>
      </c>
      <c r="G593" s="18" t="s">
        <v>2361</v>
      </c>
      <c r="H593" s="16" t="s">
        <v>41</v>
      </c>
      <c r="I593" s="19" t="s">
        <v>137</v>
      </c>
      <c r="J593" s="16" t="str">
        <f>IFERROR(VLOOKUP(I593,[1]Sheet1!$A$1:$B$200,2,0),"_")</f>
        <v>BE</v>
      </c>
      <c r="K593" s="19" t="s">
        <v>328</v>
      </c>
      <c r="L593" s="16" t="str">
        <f>IFERROR(VLOOKUP(K593,[1]Sheet1!$A$1:$B$200,2,0),"-")</f>
        <v>BT</v>
      </c>
      <c r="M593" s="19" t="s">
        <v>191</v>
      </c>
      <c r="N593" s="16" t="str">
        <f>IFERROR(VLOOKUP(M593,[1]Sheet1!$G$2:$H$200,2,0),"-")</f>
        <v>HASL</v>
      </c>
      <c r="O593" s="18" t="s">
        <v>2362</v>
      </c>
      <c r="P593" s="17">
        <v>46020</v>
      </c>
      <c r="Q593" s="20" t="s">
        <v>2363</v>
      </c>
      <c r="R593" s="20" t="s">
        <v>2364</v>
      </c>
      <c r="S593" s="21" t="str" cm="1">
        <f t="array" ref="S593">IF(
OR(AD593="",ISERROR(AD593)),
"-",
_xlfn.UNIQUE(_xlfn._xlws.FILTER([1]Sheet1!$D$2:$D$200,ISNUMBER(SEARCH(AD593,[1]Sheet1!$D$2:$D$200))))
)</f>
        <v>양양운수(주)</v>
      </c>
      <c r="T593" s="22" t="s">
        <v>2365</v>
      </c>
      <c r="U593" s="16" t="str" cm="1">
        <f t="array" ref="U593">IF(
OR(AD593="",ISERROR(AD593)),
"-",
_xlfn.UNIQUE(_xlfn._xlws.FILTER([1]Sheet1!$D$2:$D$200,ISNUMBER(SEARCH(AD593,[1]Sheet1!$D$2:$D$200))))
)</f>
        <v>양양운수(주)</v>
      </c>
      <c r="V593" s="23">
        <v>732000</v>
      </c>
      <c r="W593" s="23">
        <v>682000</v>
      </c>
      <c r="X593" s="23">
        <f t="shared" si="21"/>
        <v>50000</v>
      </c>
      <c r="Y593" s="25" t="s">
        <v>2366</v>
      </c>
      <c r="Z593" s="19" t="s">
        <v>51</v>
      </c>
      <c r="AA593" s="19" t="s">
        <v>93</v>
      </c>
      <c r="AB593" s="18" t="s">
        <v>1709</v>
      </c>
      <c r="AC593" s="17" t="str">
        <f t="shared" si="20"/>
        <v>Y</v>
      </c>
      <c r="AD593" s="17" t="s">
        <v>619</v>
      </c>
      <c r="AE593" s="26">
        <v>0.375</v>
      </c>
      <c r="AF593" s="27"/>
      <c r="AG593" s="27"/>
      <c r="AI593" s="28" t="s">
        <v>228</v>
      </c>
    </row>
    <row r="594" spans="1:35" ht="34.950000000000003" customHeight="1" x14ac:dyDescent="0.4">
      <c r="A594" s="16" t="s">
        <v>36</v>
      </c>
      <c r="B594" s="16" t="s">
        <v>37</v>
      </c>
      <c r="C594" s="17">
        <v>46018</v>
      </c>
      <c r="D594" s="16" t="s">
        <v>261</v>
      </c>
      <c r="E594" s="16" t="s">
        <v>2360</v>
      </c>
      <c r="F594" s="16">
        <v>27120</v>
      </c>
      <c r="G594" s="18" t="s">
        <v>2361</v>
      </c>
      <c r="H594" s="16" t="s">
        <v>41</v>
      </c>
      <c r="I594" s="19" t="s">
        <v>137</v>
      </c>
      <c r="J594" s="16" t="str">
        <f>IFERROR(VLOOKUP(I594,[1]Sheet1!$A$1:$B$200,2,0),"_")</f>
        <v>BE</v>
      </c>
      <c r="K594" s="19" t="s">
        <v>328</v>
      </c>
      <c r="L594" s="16" t="str">
        <f>IFERROR(VLOOKUP(K594,[1]Sheet1!$A$1:$B$200,2,0),"-")</f>
        <v>BT</v>
      </c>
      <c r="M594" s="19" t="s">
        <v>191</v>
      </c>
      <c r="N594" s="16" t="str">
        <f>IFERROR(VLOOKUP(M594,[1]Sheet1!$G$2:$H$200,2,0),"-")</f>
        <v>HASL</v>
      </c>
      <c r="O594" s="18" t="s">
        <v>2362</v>
      </c>
      <c r="P594" s="17">
        <v>46020</v>
      </c>
      <c r="Q594" s="20" t="s">
        <v>2367</v>
      </c>
      <c r="R594" s="20" t="s">
        <v>2368</v>
      </c>
      <c r="S594" s="21" t="str" cm="1">
        <f t="array" ref="S594">IF(
OR(AD594="",ISERROR(AD594)),
"-",
_xlfn.UNIQUE(_xlfn._xlws.FILTER([1]Sheet1!$D$2:$D$200,ISNUMBER(SEARCH(AD594,[1]Sheet1!$D$2:$D$200))))
)</f>
        <v>양양운수(주)</v>
      </c>
      <c r="T594" s="22" t="s">
        <v>2369</v>
      </c>
      <c r="U594" s="16" t="str" cm="1">
        <f t="array" ref="U594">IF(
OR(AD594="",ISERROR(AD594)),
"-",
_xlfn.UNIQUE(_xlfn._xlws.FILTER([1]Sheet1!$D$2:$D$200,ISNUMBER(SEARCH(AD594,[1]Sheet1!$D$2:$D$200))))
)</f>
        <v>양양운수(주)</v>
      </c>
      <c r="V594" s="23">
        <v>732000</v>
      </c>
      <c r="W594" s="23">
        <v>682000</v>
      </c>
      <c r="X594" s="23">
        <f t="shared" si="21"/>
        <v>50000</v>
      </c>
      <c r="Y594" s="25" t="s">
        <v>2370</v>
      </c>
      <c r="Z594" s="19" t="s">
        <v>51</v>
      </c>
      <c r="AA594" s="19" t="s">
        <v>93</v>
      </c>
      <c r="AB594" s="18" t="s">
        <v>2371</v>
      </c>
      <c r="AC594" s="17" t="str">
        <f t="shared" si="20"/>
        <v>Y</v>
      </c>
      <c r="AD594" s="17" t="s">
        <v>619</v>
      </c>
      <c r="AE594" s="26">
        <v>0.41666666666666669</v>
      </c>
      <c r="AF594" s="27"/>
      <c r="AG594" s="27"/>
      <c r="AI594" s="28" t="s">
        <v>228</v>
      </c>
    </row>
    <row r="595" spans="1:35" ht="34.799999999999997" customHeight="1" x14ac:dyDescent="0.4">
      <c r="A595" s="16" t="s">
        <v>36</v>
      </c>
      <c r="B595" s="16" t="s">
        <v>37</v>
      </c>
      <c r="C595" s="17">
        <v>46018</v>
      </c>
      <c r="D595" s="16" t="s">
        <v>261</v>
      </c>
      <c r="E595" s="16" t="s">
        <v>2360</v>
      </c>
      <c r="F595" s="16">
        <v>27120</v>
      </c>
      <c r="G595" s="18" t="s">
        <v>2361</v>
      </c>
      <c r="H595" s="16" t="s">
        <v>41</v>
      </c>
      <c r="I595" s="19" t="s">
        <v>137</v>
      </c>
      <c r="J595" s="16" t="str">
        <f>IFERROR(VLOOKUP(I595,[1]Sheet1!$A$1:$B$200,2,0),"_")</f>
        <v>BE</v>
      </c>
      <c r="K595" s="19" t="s">
        <v>328</v>
      </c>
      <c r="L595" s="16" t="str">
        <f>IFERROR(VLOOKUP(K595,[1]Sheet1!$A$1:$B$200,2,0),"-")</f>
        <v>BT</v>
      </c>
      <c r="M595" s="19" t="s">
        <v>191</v>
      </c>
      <c r="N595" s="16" t="str">
        <f>IFERROR(VLOOKUP(M595,[1]Sheet1!$G$2:$H$200,2,0),"-")</f>
        <v>HASL</v>
      </c>
      <c r="O595" s="18" t="s">
        <v>2362</v>
      </c>
      <c r="P595" s="17">
        <v>46020</v>
      </c>
      <c r="Q595" s="20" t="s">
        <v>2372</v>
      </c>
      <c r="R595" s="20" t="s">
        <v>2373</v>
      </c>
      <c r="S595" s="21" t="str" cm="1">
        <f t="array" ref="S595">IF(
OR(AD595="",ISERROR(AD595)),
"-",
_xlfn.UNIQUE(_xlfn._xlws.FILTER([1]Sheet1!$D$2:$D$200,ISNUMBER(SEARCH(AD595,[1]Sheet1!$D$2:$D$200))))
)</f>
        <v>양양운수(주)</v>
      </c>
      <c r="T595" s="22" t="s">
        <v>2374</v>
      </c>
      <c r="U595" s="16" t="str" cm="1">
        <f t="array" ref="U595">IF(
OR(AD595="",ISERROR(AD595)),
"-",
_xlfn.UNIQUE(_xlfn._xlws.FILTER([1]Sheet1!$D$2:$D$200,ISNUMBER(SEARCH(AD595,[1]Sheet1!$D$2:$D$200))))
)</f>
        <v>양양운수(주)</v>
      </c>
      <c r="V595" s="23">
        <v>732000</v>
      </c>
      <c r="W595" s="23">
        <v>682000</v>
      </c>
      <c r="X595" s="23">
        <f t="shared" si="21"/>
        <v>50000</v>
      </c>
      <c r="Y595" s="25" t="s">
        <v>2370</v>
      </c>
      <c r="Z595" s="19" t="s">
        <v>51</v>
      </c>
      <c r="AA595" s="19" t="s">
        <v>93</v>
      </c>
      <c r="AB595" s="18" t="s">
        <v>1709</v>
      </c>
      <c r="AC595" s="17" t="str">
        <f t="shared" si="20"/>
        <v>Y</v>
      </c>
      <c r="AD595" s="17" t="s">
        <v>619</v>
      </c>
      <c r="AE595" s="26">
        <v>0.45833333333333331</v>
      </c>
      <c r="AF595" s="27"/>
      <c r="AG595" s="27"/>
      <c r="AI595" s="28" t="s">
        <v>228</v>
      </c>
    </row>
    <row r="596" spans="1:35" ht="34.950000000000003" customHeight="1" x14ac:dyDescent="0.4">
      <c r="A596" s="16" t="s">
        <v>36</v>
      </c>
      <c r="B596" s="16" t="s">
        <v>37</v>
      </c>
      <c r="C596" s="17">
        <v>46020</v>
      </c>
      <c r="D596" s="16" t="s">
        <v>642</v>
      </c>
      <c r="E596" s="16" t="s">
        <v>2375</v>
      </c>
      <c r="F596" s="16">
        <v>28950</v>
      </c>
      <c r="G596" s="18" t="s">
        <v>2376</v>
      </c>
      <c r="H596" s="16" t="s">
        <v>519</v>
      </c>
      <c r="I596" s="19" t="s">
        <v>1550</v>
      </c>
      <c r="J596" s="16" t="str">
        <f>IFERROR(VLOOKUP(I596,[1]Sheet1!$A$1:$B$200,2,0),"_")</f>
        <v>IV</v>
      </c>
      <c r="K596" s="19" t="s">
        <v>730</v>
      </c>
      <c r="L596" s="16" t="str">
        <f>IFERROR(VLOOKUP(K596,[1]Sheet1!$A$1:$B$200,2,0),"-")</f>
        <v>TG</v>
      </c>
      <c r="M596" s="19" t="s">
        <v>752</v>
      </c>
      <c r="N596" s="16" t="str">
        <f>IFERROR(VLOOKUP(M596,[1]Sheet1!$G$2:$H$200,2,0),"-")</f>
        <v>ONE</v>
      </c>
      <c r="O596" s="18" t="s">
        <v>55</v>
      </c>
      <c r="P596" s="17" t="s">
        <v>55</v>
      </c>
      <c r="Q596" s="20" t="s">
        <v>1513</v>
      </c>
      <c r="R596" s="20" t="s">
        <v>2377</v>
      </c>
      <c r="S596" s="21" t="str" cm="1">
        <f t="array" ref="S596">IF(
OR(AD596="",ISERROR(AD596)),
"-",
_xlfn.UNIQUE(_xlfn._xlws.FILTER([1]Sheet1!$D$2:$D$200,ISNUMBER(SEARCH(AD596,[1]Sheet1!$D$2:$D$200))))
)</f>
        <v>(주)유진로직스</v>
      </c>
      <c r="T596" s="22" t="s">
        <v>2378</v>
      </c>
      <c r="U596" s="16" t="str" cm="1">
        <f t="array" ref="U596">IF(
OR(AD596="",ISERROR(AD596)),
"-",
_xlfn.UNIQUE(_xlfn._xlws.FILTER([1]Sheet1!$D$2:$D$200,ISNUMBER(SEARCH(AD596,[1]Sheet1!$D$2:$D$200))))
)</f>
        <v>(주)유진로직스</v>
      </c>
      <c r="V596" s="23">
        <v>540000</v>
      </c>
      <c r="W596" s="23">
        <v>493000</v>
      </c>
      <c r="X596" s="23">
        <f t="shared" si="21"/>
        <v>47000</v>
      </c>
      <c r="Y596" s="25" t="s">
        <v>2379</v>
      </c>
      <c r="Z596" s="19" t="s">
        <v>51</v>
      </c>
      <c r="AA596" s="19" t="s">
        <v>93</v>
      </c>
      <c r="AB596" s="18" t="s">
        <v>2380</v>
      </c>
      <c r="AC596" s="17" t="str">
        <f t="shared" si="20"/>
        <v>Y</v>
      </c>
      <c r="AD596" s="17" t="s">
        <v>70</v>
      </c>
      <c r="AE596" s="26" t="s">
        <v>1693</v>
      </c>
      <c r="AF596" s="27" t="s">
        <v>2381</v>
      </c>
      <c r="AG596" s="27" t="s">
        <v>2382</v>
      </c>
      <c r="AI596" s="28" t="s">
        <v>228</v>
      </c>
    </row>
    <row r="597" spans="1:35" ht="34.950000000000003" customHeight="1" x14ac:dyDescent="0.4">
      <c r="A597" s="16" t="s">
        <v>36</v>
      </c>
      <c r="B597" s="16" t="s">
        <v>37</v>
      </c>
      <c r="C597" s="17">
        <v>46020</v>
      </c>
      <c r="D597" s="16" t="s">
        <v>642</v>
      </c>
      <c r="E597" s="16" t="s">
        <v>2375</v>
      </c>
      <c r="F597" s="16">
        <v>28950</v>
      </c>
      <c r="G597" s="18" t="s">
        <v>2376</v>
      </c>
      <c r="H597" s="16" t="s">
        <v>519</v>
      </c>
      <c r="I597" s="19" t="s">
        <v>1550</v>
      </c>
      <c r="J597" s="16" t="str">
        <f>IFERROR(VLOOKUP(I597,[1]Sheet1!$A$1:$B$200,2,0),"_")</f>
        <v>IV</v>
      </c>
      <c r="K597" s="19" t="s">
        <v>730</v>
      </c>
      <c r="L597" s="16" t="str">
        <f>IFERROR(VLOOKUP(K597,[1]Sheet1!$A$1:$B$200,2,0),"-")</f>
        <v>TG</v>
      </c>
      <c r="M597" s="19" t="s">
        <v>752</v>
      </c>
      <c r="N597" s="16" t="str">
        <f>IFERROR(VLOOKUP(M597,[1]Sheet1!$G$2:$H$200,2,0),"-")</f>
        <v>ONE</v>
      </c>
      <c r="O597" s="18" t="s">
        <v>55</v>
      </c>
      <c r="P597" s="17" t="s">
        <v>55</v>
      </c>
      <c r="Q597" s="20" t="s">
        <v>65</v>
      </c>
      <c r="R597" s="20" t="s">
        <v>2377</v>
      </c>
      <c r="S597" s="21" t="str" cm="1">
        <f t="array" ref="S597">IF(
OR(AD597="",ISERROR(AD597)),
"-",
_xlfn.UNIQUE(_xlfn._xlws.FILTER([1]Sheet1!$D$2:$D$200,ISNUMBER(SEARCH(AD597,[1]Sheet1!$D$2:$D$200))))
)</f>
        <v>(주)유진로직스</v>
      </c>
      <c r="T597" s="22" t="s">
        <v>2383</v>
      </c>
      <c r="U597" s="16" t="str" cm="1">
        <f t="array" ref="U597">IF(
OR(AD597="",ISERROR(AD597)),
"-",
_xlfn.UNIQUE(_xlfn._xlws.FILTER([1]Sheet1!$D$2:$D$200,ISNUMBER(SEARCH(AD597,[1]Sheet1!$D$2:$D$200))))
)</f>
        <v>(주)유진로직스</v>
      </c>
      <c r="V597" s="23">
        <v>160000</v>
      </c>
      <c r="W597" s="23">
        <v>140000</v>
      </c>
      <c r="X597" s="23">
        <f t="shared" si="21"/>
        <v>20000</v>
      </c>
      <c r="Y597" s="25" t="s">
        <v>2379</v>
      </c>
      <c r="Z597" s="19" t="s">
        <v>51</v>
      </c>
      <c r="AA597" s="19" t="s">
        <v>93</v>
      </c>
      <c r="AB597" s="18" t="s">
        <v>2380</v>
      </c>
      <c r="AC597" s="17" t="str">
        <f t="shared" si="20"/>
        <v>Y</v>
      </c>
      <c r="AD597" s="17" t="s">
        <v>70</v>
      </c>
      <c r="AE597" s="26" t="s">
        <v>1693</v>
      </c>
      <c r="AF597" s="27" t="s">
        <v>2381</v>
      </c>
      <c r="AG597" s="27" t="s">
        <v>2382</v>
      </c>
      <c r="AI597" s="28" t="s">
        <v>228</v>
      </c>
    </row>
    <row r="598" spans="1:35" ht="34.950000000000003" customHeight="1" x14ac:dyDescent="0.4">
      <c r="A598" s="16" t="s">
        <v>36</v>
      </c>
      <c r="B598" s="16" t="s">
        <v>37</v>
      </c>
      <c r="C598" s="17">
        <v>46020</v>
      </c>
      <c r="D598" s="16" t="s">
        <v>188</v>
      </c>
      <c r="E598" s="16" t="s">
        <v>189</v>
      </c>
      <c r="F598" s="16">
        <v>16843</v>
      </c>
      <c r="G598" s="18" t="s">
        <v>2384</v>
      </c>
      <c r="H598" s="16" t="s">
        <v>41</v>
      </c>
      <c r="I598" s="19" t="s">
        <v>137</v>
      </c>
      <c r="J598" s="16" t="str">
        <f>IFERROR(VLOOKUP(I598,[1]Sheet1!$A$1:$B$200,2,0),"_")</f>
        <v>BE</v>
      </c>
      <c r="K598" s="19" t="s">
        <v>328</v>
      </c>
      <c r="L598" s="16" t="str">
        <f>IFERROR(VLOOKUP(K598,[1]Sheet1!$A$1:$B$200,2,0),"-")</f>
        <v>BT</v>
      </c>
      <c r="M598" s="19" t="s">
        <v>191</v>
      </c>
      <c r="N598" s="16" t="str">
        <f>IFERROR(VLOOKUP(M598,[1]Sheet1!$G$2:$H$200,2,0),"-")</f>
        <v>HASL</v>
      </c>
      <c r="O598" s="18" t="s">
        <v>2385</v>
      </c>
      <c r="P598" s="17">
        <v>46021</v>
      </c>
      <c r="Q598" s="20" t="s">
        <v>2386</v>
      </c>
      <c r="R598" s="20" t="s">
        <v>2387</v>
      </c>
      <c r="S598" s="21" t="str" cm="1">
        <f t="array" ref="S598">IF(
OR(AD598="",ISERROR(AD598)),
"-",
_xlfn.UNIQUE(_xlfn._xlws.FILTER([1]Sheet1!$D$2:$D$200,ISNUMBER(SEARCH(AD598,[1]Sheet1!$D$2:$D$200))))
)</f>
        <v>양양운수(주)</v>
      </c>
      <c r="T598" s="22" t="s">
        <v>2388</v>
      </c>
      <c r="U598" s="16" t="str" cm="1">
        <f t="array" ref="U598">IF(
OR(AD598="",ISERROR(AD598)),
"-",
_xlfn.UNIQUE(_xlfn._xlws.FILTER([1]Sheet1!$D$2:$D$200,ISNUMBER(SEARCH(AD598,[1]Sheet1!$D$2:$D$200))))
)</f>
        <v>양양운수(주)</v>
      </c>
      <c r="V598" s="23">
        <v>713000</v>
      </c>
      <c r="W598" s="23">
        <v>669700</v>
      </c>
      <c r="X598" s="23">
        <f t="shared" si="21"/>
        <v>43300</v>
      </c>
      <c r="Y598" s="25" t="s">
        <v>2389</v>
      </c>
      <c r="Z598" s="19" t="s">
        <v>51</v>
      </c>
      <c r="AA598" s="19" t="s">
        <v>81</v>
      </c>
      <c r="AB598" s="18" t="s">
        <v>2390</v>
      </c>
      <c r="AC598" s="17" t="str">
        <f t="shared" si="20"/>
        <v>Y</v>
      </c>
      <c r="AD598" s="17" t="s">
        <v>619</v>
      </c>
      <c r="AE598" s="26">
        <v>0.35416666666666669</v>
      </c>
      <c r="AF598" s="27"/>
      <c r="AG598" s="27"/>
      <c r="AI598" s="28" t="s">
        <v>228</v>
      </c>
    </row>
    <row r="599" spans="1:35" ht="34.950000000000003" customHeight="1" x14ac:dyDescent="0.4">
      <c r="A599" s="16" t="s">
        <v>71</v>
      </c>
      <c r="B599" s="16" t="s">
        <v>99</v>
      </c>
      <c r="C599" s="17">
        <v>46020</v>
      </c>
      <c r="D599" s="16" t="s">
        <v>100</v>
      </c>
      <c r="E599" s="16" t="s">
        <v>839</v>
      </c>
      <c r="F599" s="16">
        <v>18702</v>
      </c>
      <c r="G599" s="18" t="s">
        <v>2391</v>
      </c>
      <c r="H599" s="16" t="s">
        <v>41</v>
      </c>
      <c r="I599" s="19" t="s">
        <v>76</v>
      </c>
      <c r="J599" s="16" t="str">
        <f>IFERROR(VLOOKUP(I599,[1]Sheet1!$A$1:$B$200,2,0),"_")</f>
        <v>NJ</v>
      </c>
      <c r="K599" s="19" t="s">
        <v>76</v>
      </c>
      <c r="L599" s="16" t="str">
        <f>IFERROR(VLOOKUP(K599,[1]Sheet1!$A$1:$B$200,2,0),"-")</f>
        <v>NJ</v>
      </c>
      <c r="M599" s="19" t="s">
        <v>311</v>
      </c>
      <c r="N599" s="16" t="str">
        <f>IFERROR(VLOOKUP(M599,[1]Sheet1!$G$2:$H$200,2,0),"-")</f>
        <v>COSU</v>
      </c>
      <c r="P599" s="17"/>
      <c r="Q599" s="20" t="s">
        <v>2392</v>
      </c>
      <c r="R599" s="20"/>
      <c r="S599" s="21" t="str" cm="1">
        <f t="array" ref="S599">IF(
OR(AD599="",ISERROR(AD599)),
"-",
_xlfn.UNIQUE(_xlfn._xlws.FILTER([1]Sheet1!$D$2:$D$200,ISNUMBER(SEARCH(AD599,[1]Sheet1!$D$2:$D$200))))
)</f>
        <v>태성종합물류</v>
      </c>
      <c r="T599" s="22" t="s">
        <v>1447</v>
      </c>
      <c r="U599" s="16" t="str" cm="1">
        <f t="array" ref="U599">IF(
OR(AD599="",ISERROR(AD599)),
"-",
_xlfn.UNIQUE(_xlfn._xlws.FILTER([1]Sheet1!$D$2:$D$200,ISNUMBER(SEARCH(AD599,[1]Sheet1!$D$2:$D$200))))
)</f>
        <v>태성종합물류</v>
      </c>
      <c r="V599" s="23">
        <v>335000</v>
      </c>
      <c r="W599" s="23">
        <v>307300</v>
      </c>
      <c r="X599" s="23">
        <f t="shared" si="21"/>
        <v>27700</v>
      </c>
      <c r="Y599" s="25" t="s">
        <v>2393</v>
      </c>
      <c r="Z599" s="19" t="s">
        <v>51</v>
      </c>
      <c r="AA599" s="19" t="s">
        <v>81</v>
      </c>
      <c r="AC599" s="17" t="str">
        <f t="shared" si="20"/>
        <v>Y</v>
      </c>
      <c r="AD599" s="17" t="s">
        <v>82</v>
      </c>
      <c r="AE599" s="26">
        <v>0.33333333333333331</v>
      </c>
      <c r="AF599" s="27"/>
      <c r="AG599" s="27"/>
      <c r="AI599" s="28" t="s">
        <v>228</v>
      </c>
    </row>
    <row r="600" spans="1:35" ht="34.950000000000003" customHeight="1" x14ac:dyDescent="0.4">
      <c r="A600" s="16" t="s">
        <v>36</v>
      </c>
      <c r="B600" s="16" t="s">
        <v>37</v>
      </c>
      <c r="C600" s="17">
        <v>46020</v>
      </c>
      <c r="D600" s="16" t="s">
        <v>2394</v>
      </c>
      <c r="E600" s="16" t="s">
        <v>2395</v>
      </c>
      <c r="F600" s="16">
        <v>28951</v>
      </c>
      <c r="G600" s="18" t="s">
        <v>2396</v>
      </c>
      <c r="H600" s="16" t="s">
        <v>41</v>
      </c>
      <c r="I600" s="19" t="s">
        <v>219</v>
      </c>
      <c r="J600" s="16" t="str">
        <f>IFERROR(VLOOKUP(I600,[1]Sheet1!$A$1:$B$200,2,0),"_")</f>
        <v>NN</v>
      </c>
      <c r="K600" s="19" t="s">
        <v>730</v>
      </c>
      <c r="L600" s="16" t="str">
        <f>IFERROR(VLOOKUP(K600,[1]Sheet1!$A$1:$B$200,2,0),"-")</f>
        <v>TG</v>
      </c>
      <c r="M600" s="19" t="s">
        <v>566</v>
      </c>
      <c r="N600" s="16" t="str">
        <f>IFERROR(VLOOKUP(M600,[1]Sheet1!$G$2:$H$200,2,0),"-")</f>
        <v>WHLU</v>
      </c>
      <c r="O600" s="18" t="s">
        <v>2397</v>
      </c>
      <c r="P600" s="17">
        <v>46022</v>
      </c>
      <c r="Q600" s="20" t="s">
        <v>2398</v>
      </c>
      <c r="R600" s="20" t="s">
        <v>2399</v>
      </c>
      <c r="S600" s="21" t="str" cm="1">
        <f t="array" ref="S600">IF(
OR(AD600="",ISERROR(AD600)),
"-",
_xlfn.UNIQUE(_xlfn._xlws.FILTER([1]Sheet1!$D$2:$D$200,ISNUMBER(SEARCH(AD600,[1]Sheet1!$D$2:$D$200))))
)</f>
        <v>천일정기화물</v>
      </c>
      <c r="T600" s="22" t="s">
        <v>2400</v>
      </c>
      <c r="U600" s="16" t="str" cm="1">
        <f t="array" ref="U600">IF(
OR(AD600="",ISERROR(AD600)),
"-",
_xlfn.UNIQUE(_xlfn._xlws.FILTER([1]Sheet1!$D$2:$D$200,ISNUMBER(SEARCH(AD600,[1]Sheet1!$D$2:$D$200))))
)</f>
        <v>천일정기화물</v>
      </c>
      <c r="V600" s="23">
        <v>684000</v>
      </c>
      <c r="W600" s="23">
        <v>662000</v>
      </c>
      <c r="X600" s="23">
        <f t="shared" si="21"/>
        <v>22000</v>
      </c>
      <c r="Y600" s="25" t="s">
        <v>2401</v>
      </c>
      <c r="Z600" s="19" t="s">
        <v>51</v>
      </c>
      <c r="AA600" s="19" t="s">
        <v>115</v>
      </c>
      <c r="AB600" s="18" t="s">
        <v>2402</v>
      </c>
      <c r="AC600" s="17" t="str">
        <f t="shared" si="20"/>
        <v>Y</v>
      </c>
      <c r="AD600" s="17" t="s">
        <v>737</v>
      </c>
      <c r="AE600" s="26">
        <v>0.54166666666666663</v>
      </c>
      <c r="AF600" s="27"/>
      <c r="AG600" s="27"/>
      <c r="AI600" s="28" t="s">
        <v>228</v>
      </c>
    </row>
    <row r="601" spans="1:35" ht="34.950000000000003" customHeight="1" x14ac:dyDescent="0.4">
      <c r="A601" s="16" t="s">
        <v>36</v>
      </c>
      <c r="B601" s="16" t="s">
        <v>37</v>
      </c>
      <c r="C601" s="17">
        <v>46020</v>
      </c>
      <c r="D601" s="16" t="s">
        <v>2394</v>
      </c>
      <c r="E601" s="16" t="s">
        <v>2395</v>
      </c>
      <c r="F601" s="16">
        <v>28951</v>
      </c>
      <c r="G601" s="18" t="s">
        <v>2396</v>
      </c>
      <c r="H601" s="16" t="s">
        <v>41</v>
      </c>
      <c r="I601" s="19" t="s">
        <v>219</v>
      </c>
      <c r="J601" s="16" t="str">
        <f>IFERROR(VLOOKUP(I601,[1]Sheet1!$A$1:$B$200,2,0),"_")</f>
        <v>NN</v>
      </c>
      <c r="K601" s="19" t="s">
        <v>730</v>
      </c>
      <c r="L601" s="16" t="str">
        <f>IFERROR(VLOOKUP(K601,[1]Sheet1!$A$1:$B$200,2,0),"-")</f>
        <v>TG</v>
      </c>
      <c r="M601" s="19" t="s">
        <v>566</v>
      </c>
      <c r="N601" s="16" t="str">
        <f>IFERROR(VLOOKUP(M601,[1]Sheet1!$G$2:$H$200,2,0),"-")</f>
        <v>WHLU</v>
      </c>
      <c r="O601" s="18" t="s">
        <v>2397</v>
      </c>
      <c r="P601" s="17">
        <v>46022</v>
      </c>
      <c r="Q601" s="20" t="s">
        <v>2398</v>
      </c>
      <c r="R601" s="20" t="s">
        <v>2399</v>
      </c>
      <c r="S601" s="21" t="str" cm="1">
        <f t="array" ref="S601">IF(
OR(AD601="",ISERROR(AD601)),
"-",
_xlfn.UNIQUE(_xlfn._xlws.FILTER([1]Sheet1!$D$2:$D$200,ISNUMBER(SEARCH(AD601,[1]Sheet1!$D$2:$D$200))))
)</f>
        <v>천일정기화물</v>
      </c>
      <c r="T601" s="22" t="s">
        <v>2400</v>
      </c>
      <c r="U601" s="16" t="str" cm="1">
        <f t="array" ref="U601">IF(
OR(AD601="",ISERROR(AD601)),
"-",
_xlfn.UNIQUE(_xlfn._xlws.FILTER([1]Sheet1!$D$2:$D$200,ISNUMBER(SEARCH(AD601,[1]Sheet1!$D$2:$D$200))))
)</f>
        <v>천일정기화물</v>
      </c>
      <c r="V601" s="23">
        <v>50000</v>
      </c>
      <c r="W601" s="23">
        <v>60000</v>
      </c>
      <c r="X601" s="23">
        <f t="shared" si="21"/>
        <v>-10000</v>
      </c>
      <c r="Y601" s="25" t="s">
        <v>2403</v>
      </c>
      <c r="Z601" s="19" t="s">
        <v>51</v>
      </c>
      <c r="AA601" s="19" t="s">
        <v>115</v>
      </c>
      <c r="AB601" s="18" t="s">
        <v>2402</v>
      </c>
      <c r="AC601" s="17" t="str">
        <f t="shared" si="20"/>
        <v>Y</v>
      </c>
      <c r="AD601" s="17" t="s">
        <v>737</v>
      </c>
      <c r="AE601" s="26">
        <v>0.66666666666666663</v>
      </c>
      <c r="AF601" s="27"/>
      <c r="AG601" s="27"/>
      <c r="AI601" s="28" t="s">
        <v>228</v>
      </c>
    </row>
    <row r="602" spans="1:35" ht="34.950000000000003" customHeight="1" x14ac:dyDescent="0.4">
      <c r="A602" s="16" t="s">
        <v>36</v>
      </c>
      <c r="B602" s="16" t="s">
        <v>37</v>
      </c>
      <c r="C602" s="17">
        <v>46020</v>
      </c>
      <c r="D602" s="16" t="s">
        <v>2394</v>
      </c>
      <c r="E602" s="16" t="s">
        <v>2395</v>
      </c>
      <c r="F602" s="16">
        <v>28951</v>
      </c>
      <c r="G602" s="18" t="s">
        <v>2396</v>
      </c>
      <c r="H602" s="16" t="s">
        <v>41</v>
      </c>
      <c r="I602" s="19" t="s">
        <v>219</v>
      </c>
      <c r="J602" s="16" t="str">
        <f>IFERROR(VLOOKUP(I602,[1]Sheet1!$A$1:$B$200,2,0),"_")</f>
        <v>NN</v>
      </c>
      <c r="K602" s="19" t="s">
        <v>730</v>
      </c>
      <c r="L602" s="16" t="str">
        <f>IFERROR(VLOOKUP(K602,[1]Sheet1!$A$1:$B$200,2,0),"-")</f>
        <v>TG</v>
      </c>
      <c r="M602" s="19" t="s">
        <v>566</v>
      </c>
      <c r="N602" s="16" t="str">
        <f>IFERROR(VLOOKUP(M602,[1]Sheet1!$G$2:$H$200,2,0),"-")</f>
        <v>WHLU</v>
      </c>
      <c r="O602" s="18" t="s">
        <v>2397</v>
      </c>
      <c r="P602" s="17">
        <v>46022</v>
      </c>
      <c r="Q602" s="20" t="s">
        <v>2404</v>
      </c>
      <c r="R602" s="20" t="s">
        <v>2405</v>
      </c>
      <c r="S602" s="21" t="str" cm="1">
        <f t="array" ref="S602">IF(
OR(AD602="",ISERROR(AD602)),
"-",
_xlfn.UNIQUE(_xlfn._xlws.FILTER([1]Sheet1!$D$2:$D$200,ISNUMBER(SEARCH(AD602,[1]Sheet1!$D$2:$D$200))))
)</f>
        <v>천일정기화물</v>
      </c>
      <c r="T602" s="22" t="s">
        <v>2406</v>
      </c>
      <c r="U602" s="16" t="str" cm="1">
        <f t="array" ref="U602">IF(
OR(AD602="",ISERROR(AD602)),
"-",
_xlfn.UNIQUE(_xlfn._xlws.FILTER([1]Sheet1!$D$2:$D$200,ISNUMBER(SEARCH(AD602,[1]Sheet1!$D$2:$D$200))))
)</f>
        <v>천일정기화물</v>
      </c>
      <c r="V602" s="23">
        <v>684000</v>
      </c>
      <c r="W602" s="23">
        <v>662000</v>
      </c>
      <c r="X602" s="23">
        <f t="shared" si="21"/>
        <v>22000</v>
      </c>
      <c r="Y602" s="25" t="s">
        <v>2401</v>
      </c>
      <c r="Z602" s="19" t="s">
        <v>51</v>
      </c>
      <c r="AA602" s="19" t="s">
        <v>115</v>
      </c>
      <c r="AB602" s="18" t="s">
        <v>2402</v>
      </c>
      <c r="AC602" s="17" t="str">
        <f t="shared" si="20"/>
        <v>Y</v>
      </c>
      <c r="AD602" s="17" t="s">
        <v>737</v>
      </c>
      <c r="AE602" s="26">
        <v>0.54166666666666663</v>
      </c>
      <c r="AF602" s="27"/>
      <c r="AG602" s="27"/>
      <c r="AI602" s="28" t="s">
        <v>228</v>
      </c>
    </row>
    <row r="603" spans="1:35" ht="34.950000000000003" customHeight="1" x14ac:dyDescent="0.4">
      <c r="A603" s="16" t="s">
        <v>36</v>
      </c>
      <c r="B603" s="16" t="s">
        <v>37</v>
      </c>
      <c r="C603" s="17">
        <v>46020</v>
      </c>
      <c r="D603" s="16" t="s">
        <v>2394</v>
      </c>
      <c r="E603" s="16" t="s">
        <v>2395</v>
      </c>
      <c r="F603" s="16">
        <v>28951</v>
      </c>
      <c r="G603" s="18" t="s">
        <v>2396</v>
      </c>
      <c r="H603" s="16" t="s">
        <v>41</v>
      </c>
      <c r="I603" s="19" t="s">
        <v>219</v>
      </c>
      <c r="J603" s="16" t="str">
        <f>IFERROR(VLOOKUP(I603,[1]Sheet1!$A$1:$B$200,2,0),"_")</f>
        <v>NN</v>
      </c>
      <c r="K603" s="19" t="s">
        <v>730</v>
      </c>
      <c r="L603" s="16" t="str">
        <f>IFERROR(VLOOKUP(K603,[1]Sheet1!$A$1:$B$200,2,0),"-")</f>
        <v>TG</v>
      </c>
      <c r="M603" s="19" t="s">
        <v>566</v>
      </c>
      <c r="N603" s="16" t="str">
        <f>IFERROR(VLOOKUP(M603,[1]Sheet1!$G$2:$H$200,2,0),"-")</f>
        <v>WHLU</v>
      </c>
      <c r="O603" s="18" t="s">
        <v>2397</v>
      </c>
      <c r="P603" s="17">
        <v>46022</v>
      </c>
      <c r="Q603" s="20" t="s">
        <v>2404</v>
      </c>
      <c r="R603" s="20" t="s">
        <v>2405</v>
      </c>
      <c r="S603" s="21" t="str" cm="1">
        <f t="array" ref="S603">IF(
OR(AD603="",ISERROR(AD603)),
"-",
_xlfn.UNIQUE(_xlfn._xlws.FILTER([1]Sheet1!$D$2:$D$200,ISNUMBER(SEARCH(AD603,[1]Sheet1!$D$2:$D$200))))
)</f>
        <v>천일정기화물</v>
      </c>
      <c r="T603" s="22" t="s">
        <v>2406</v>
      </c>
      <c r="U603" s="16" t="str" cm="1">
        <f t="array" ref="U603">IF(
OR(AD603="",ISERROR(AD603)),
"-",
_xlfn.UNIQUE(_xlfn._xlws.FILTER([1]Sheet1!$D$2:$D$200,ISNUMBER(SEARCH(AD603,[1]Sheet1!$D$2:$D$200))))
)</f>
        <v>천일정기화물</v>
      </c>
      <c r="V603" s="23">
        <v>50000</v>
      </c>
      <c r="W603" s="23">
        <v>60000</v>
      </c>
      <c r="X603" s="23">
        <f t="shared" si="21"/>
        <v>-10000</v>
      </c>
      <c r="Y603" s="25" t="s">
        <v>2403</v>
      </c>
      <c r="Z603" s="19" t="s">
        <v>51</v>
      </c>
      <c r="AA603" s="19" t="s">
        <v>115</v>
      </c>
      <c r="AB603" s="18" t="s">
        <v>2407</v>
      </c>
      <c r="AC603" s="17" t="str">
        <f t="shared" si="20"/>
        <v>Y</v>
      </c>
      <c r="AD603" s="17" t="s">
        <v>737</v>
      </c>
      <c r="AE603" s="26">
        <v>0.66666666666666663</v>
      </c>
      <c r="AF603" s="27"/>
      <c r="AG603" s="27"/>
      <c r="AI603" s="28" t="s">
        <v>228</v>
      </c>
    </row>
    <row r="604" spans="1:35" ht="34.950000000000003" customHeight="1" x14ac:dyDescent="0.4">
      <c r="A604" s="16" t="s">
        <v>36</v>
      </c>
      <c r="B604" s="16" t="s">
        <v>99</v>
      </c>
      <c r="C604" s="17">
        <v>46020</v>
      </c>
      <c r="D604" s="16" t="s">
        <v>2408</v>
      </c>
      <c r="E604" s="16" t="s">
        <v>2409</v>
      </c>
      <c r="F604" s="16">
        <v>28952</v>
      </c>
      <c r="G604" s="18" t="s">
        <v>2410</v>
      </c>
      <c r="H604" s="16" t="s">
        <v>519</v>
      </c>
      <c r="I604" s="19" t="s">
        <v>2411</v>
      </c>
      <c r="J604" s="16" t="str">
        <f>IFERROR(VLOOKUP(I604,[1]Sheet1!$A$1:$B$200,2,0),"_")</f>
        <v>ZQ</v>
      </c>
      <c r="K604" s="19" t="s">
        <v>219</v>
      </c>
      <c r="L604" s="16" t="str">
        <f>IFERROR(VLOOKUP(K604,[1]Sheet1!$A$1:$B$200,2,0),"-")</f>
        <v>NN</v>
      </c>
      <c r="M604" s="19" t="s">
        <v>64</v>
      </c>
      <c r="N604" s="16" t="str">
        <f>IFERROR(VLOOKUP(M604,[1]Sheet1!$G$2:$H$200,2,0),"-")</f>
        <v>XXXX</v>
      </c>
      <c r="O604" s="18" t="s">
        <v>55</v>
      </c>
      <c r="P604" s="17" t="s">
        <v>55</v>
      </c>
      <c r="Q604" s="20" t="s">
        <v>1668</v>
      </c>
      <c r="R604" s="20" t="s">
        <v>2412</v>
      </c>
      <c r="S604" s="21" t="str" cm="1">
        <f t="array" ref="S604">IF(
OR(AD604="",ISERROR(AD604)),
"-",
_xlfn.UNIQUE(_xlfn._xlws.FILTER([1]Sheet1!$D$2:$D$200,ISNUMBER(SEARCH(AD604,[1]Sheet1!$D$2:$D$200))))
)</f>
        <v>두레종합물류</v>
      </c>
      <c r="T604" s="22" t="s">
        <v>2413</v>
      </c>
      <c r="U604" s="16" t="str" cm="1">
        <f t="array" ref="U604">IF(
OR(AD604="",ISERROR(AD604)),
"-",
_xlfn.UNIQUE(_xlfn._xlws.FILTER([1]Sheet1!$D$2:$D$200,ISNUMBER(SEARCH(AD604,[1]Sheet1!$D$2:$D$200))))
)</f>
        <v>두레종합물류</v>
      </c>
      <c r="V604" s="23">
        <v>1300000</v>
      </c>
      <c r="W604" s="23">
        <v>1200000</v>
      </c>
      <c r="X604" s="23">
        <f t="shared" si="21"/>
        <v>100000</v>
      </c>
      <c r="Y604" s="25" t="s">
        <v>2414</v>
      </c>
      <c r="Z604" s="19" t="s">
        <v>51</v>
      </c>
      <c r="AA604" s="19" t="s">
        <v>115</v>
      </c>
      <c r="AB604" s="18" t="s">
        <v>2415</v>
      </c>
      <c r="AC604" s="17" t="str">
        <f t="shared" si="20"/>
        <v>Y</v>
      </c>
      <c r="AD604" s="17" t="s">
        <v>1167</v>
      </c>
      <c r="AE604" s="26">
        <v>0.54166666666666663</v>
      </c>
      <c r="AF604" s="27" t="s">
        <v>2416</v>
      </c>
      <c r="AG604" s="27" t="s">
        <v>2382</v>
      </c>
      <c r="AI604" s="28" t="s">
        <v>228</v>
      </c>
    </row>
    <row r="605" spans="1:35" s="104" customFormat="1" ht="34.950000000000003" customHeight="1" x14ac:dyDescent="0.4">
      <c r="A605" s="92" t="s">
        <v>36</v>
      </c>
      <c r="B605" s="92" t="s">
        <v>37</v>
      </c>
      <c r="C605" s="93">
        <v>46020</v>
      </c>
      <c r="D605" s="92" t="s">
        <v>229</v>
      </c>
      <c r="E605" s="92" t="s">
        <v>229</v>
      </c>
      <c r="F605" s="92">
        <v>3641</v>
      </c>
      <c r="G605" s="94" t="s">
        <v>1933</v>
      </c>
      <c r="H605" s="92" t="s">
        <v>41</v>
      </c>
      <c r="I605" s="95" t="s">
        <v>99</v>
      </c>
      <c r="J605" s="92" t="str">
        <f>IFERROR(VLOOKUP(I605,[1]Sheet1!$A$1:$B$200,2,0),"_")</f>
        <v>IX</v>
      </c>
      <c r="K605" s="95" t="s">
        <v>86</v>
      </c>
      <c r="L605" s="92" t="str">
        <f>IFERROR(VLOOKUP(K605,[1]Sheet1!$A$1:$B$200,2,0),"-")</f>
        <v>HP</v>
      </c>
      <c r="M605" s="95" t="s">
        <v>347</v>
      </c>
      <c r="N605" s="92" t="str">
        <f>IFERROR(VLOOKUP(M605,[1]Sheet1!$G$2:$H$200,2,0),"-")</f>
        <v>FESU</v>
      </c>
      <c r="O605" s="94" t="s">
        <v>2417</v>
      </c>
      <c r="P605" s="93">
        <v>46028</v>
      </c>
      <c r="Q605" s="96" t="s">
        <v>2418</v>
      </c>
      <c r="R605" s="96" t="s">
        <v>2419</v>
      </c>
      <c r="S605" s="97" t="str" cm="1">
        <f t="array" ref="S605">IF(
OR(AD605="",ISERROR(AD605)),
"-",
_xlfn.UNIQUE(_xlfn._xlws.FILTER([1]Sheet1!$D$2:$D$200,ISNUMBER(SEARCH(AD605,[1]Sheet1!$D$2:$D$200))))
)</f>
        <v>(주)비에스물류</v>
      </c>
      <c r="T605" s="98" t="s">
        <v>2420</v>
      </c>
      <c r="U605" s="92" t="str" cm="1">
        <f t="array" ref="U605">IF(
OR(AD605="",ISERROR(AD605)),
"-",
_xlfn.UNIQUE(_xlfn._xlws.FILTER([1]Sheet1!$D$2:$D$200,ISNUMBER(SEARCH(AD605,[1]Sheet1!$D$2:$D$200))))
)</f>
        <v>(주)비에스물류</v>
      </c>
      <c r="V605" s="99">
        <v>860000</v>
      </c>
      <c r="W605" s="99">
        <v>770800</v>
      </c>
      <c r="X605" s="99">
        <f t="shared" si="21"/>
        <v>89200</v>
      </c>
      <c r="Y605" s="100" t="s">
        <v>2421</v>
      </c>
      <c r="Z605" s="95" t="s">
        <v>51</v>
      </c>
      <c r="AA605" s="95" t="s">
        <v>81</v>
      </c>
      <c r="AB605" s="94" t="s">
        <v>2422</v>
      </c>
      <c r="AC605" s="93" t="str">
        <f t="shared" si="20"/>
        <v>Y</v>
      </c>
      <c r="AD605" s="93" t="s">
        <v>288</v>
      </c>
      <c r="AE605" s="101">
        <v>0.375</v>
      </c>
      <c r="AF605" s="102"/>
      <c r="AG605" s="102"/>
      <c r="AH605" s="103"/>
      <c r="AI605" s="28" t="s">
        <v>228</v>
      </c>
    </row>
    <row r="606" spans="1:35" s="104" customFormat="1" ht="34.950000000000003" customHeight="1" x14ac:dyDescent="0.4">
      <c r="A606" s="92" t="s">
        <v>36</v>
      </c>
      <c r="B606" s="92" t="s">
        <v>37</v>
      </c>
      <c r="C606" s="93">
        <v>46020</v>
      </c>
      <c r="D606" s="92" t="s">
        <v>229</v>
      </c>
      <c r="E606" s="92" t="s">
        <v>229</v>
      </c>
      <c r="F606" s="92">
        <v>3641</v>
      </c>
      <c r="G606" s="94" t="s">
        <v>1933</v>
      </c>
      <c r="H606" s="92" t="s">
        <v>41</v>
      </c>
      <c r="I606" s="95" t="s">
        <v>99</v>
      </c>
      <c r="J606" s="92" t="str">
        <f>IFERROR(VLOOKUP(I606,[1]Sheet1!$A$1:$B$200,2,0),"_")</f>
        <v>IX</v>
      </c>
      <c r="K606" s="95" t="s">
        <v>86</v>
      </c>
      <c r="L606" s="92" t="str">
        <f>IFERROR(VLOOKUP(K606,[1]Sheet1!$A$1:$B$200,2,0),"-")</f>
        <v>HP</v>
      </c>
      <c r="M606" s="95" t="s">
        <v>347</v>
      </c>
      <c r="N606" s="92" t="str">
        <f>IFERROR(VLOOKUP(M606,[1]Sheet1!$G$2:$H$200,2,0),"-")</f>
        <v>FESU</v>
      </c>
      <c r="O606" s="94" t="s">
        <v>2417</v>
      </c>
      <c r="P606" s="93">
        <v>46028</v>
      </c>
      <c r="Q606" s="96" t="s">
        <v>2418</v>
      </c>
      <c r="R606" s="96" t="s">
        <v>2419</v>
      </c>
      <c r="S606" s="97" t="str" cm="1">
        <f t="array" ref="S606">IF(
OR(AD606="",ISERROR(AD606)),
"-",
_xlfn.UNIQUE(_xlfn._xlws.FILTER([1]Sheet1!$D$2:$D$200,ISNUMBER(SEARCH(AD606,[1]Sheet1!$D$2:$D$200))))
)</f>
        <v>(주)비에스물류</v>
      </c>
      <c r="T606" s="98" t="s">
        <v>2420</v>
      </c>
      <c r="U606" s="92" t="str" cm="1">
        <f t="array" ref="U606">IF(
OR(AD606="",ISERROR(AD606)),
"-",
_xlfn.UNIQUE(_xlfn._xlws.FILTER([1]Sheet1!$D$2:$D$200,ISNUMBER(SEARCH(AD606,[1]Sheet1!$D$2:$D$200))))
)</f>
        <v>(주)비에스물류</v>
      </c>
      <c r="V606" s="99">
        <v>100000</v>
      </c>
      <c r="W606" s="99"/>
      <c r="X606" s="99">
        <f t="shared" si="21"/>
        <v>100000</v>
      </c>
      <c r="Y606" s="100" t="s">
        <v>2423</v>
      </c>
      <c r="Z606" s="95" t="s">
        <v>51</v>
      </c>
      <c r="AA606" s="95" t="s">
        <v>81</v>
      </c>
      <c r="AB606" s="94" t="s">
        <v>2422</v>
      </c>
      <c r="AC606" s="93" t="str">
        <f t="shared" si="20"/>
        <v>Y</v>
      </c>
      <c r="AD606" s="93" t="s">
        <v>288</v>
      </c>
      <c r="AE606" s="101">
        <v>0.375</v>
      </c>
      <c r="AF606" s="102"/>
      <c r="AG606" s="102"/>
      <c r="AH606" s="103"/>
      <c r="AI606" s="28" t="s">
        <v>228</v>
      </c>
    </row>
    <row r="607" spans="1:35" s="104" customFormat="1" ht="34.950000000000003" customHeight="1" x14ac:dyDescent="0.4">
      <c r="A607" s="92" t="s">
        <v>36</v>
      </c>
      <c r="B607" s="92" t="s">
        <v>37</v>
      </c>
      <c r="C607" s="93">
        <v>46020</v>
      </c>
      <c r="D607" s="92" t="s">
        <v>229</v>
      </c>
      <c r="E607" s="92" t="s">
        <v>229</v>
      </c>
      <c r="F607" s="92">
        <v>3641</v>
      </c>
      <c r="G607" s="94" t="s">
        <v>1933</v>
      </c>
      <c r="H607" s="92" t="s">
        <v>41</v>
      </c>
      <c r="I607" s="95" t="s">
        <v>99</v>
      </c>
      <c r="J607" s="92" t="str">
        <f>IFERROR(VLOOKUP(I607,[1]Sheet1!$A$1:$B$200,2,0),"_")</f>
        <v>IX</v>
      </c>
      <c r="K607" s="95" t="s">
        <v>86</v>
      </c>
      <c r="L607" s="92" t="str">
        <f>IFERROR(VLOOKUP(K607,[1]Sheet1!$A$1:$B$200,2,0),"-")</f>
        <v>HP</v>
      </c>
      <c r="M607" s="95" t="s">
        <v>347</v>
      </c>
      <c r="N607" s="92" t="str">
        <f>IFERROR(VLOOKUP(M607,[1]Sheet1!$G$2:$H$200,2,0),"-")</f>
        <v>FESU</v>
      </c>
      <c r="O607" s="94" t="s">
        <v>2417</v>
      </c>
      <c r="P607" s="93">
        <v>46028</v>
      </c>
      <c r="Q607" s="96" t="s">
        <v>2418</v>
      </c>
      <c r="R607" s="96" t="s">
        <v>2419</v>
      </c>
      <c r="S607" s="97" t="str" cm="1">
        <f t="array" ref="S607">IF(
OR(AD607="",ISERROR(AD607)),
"-",
_xlfn.UNIQUE(_xlfn._xlws.FILTER([1]Sheet1!$D$2:$D$200,ISNUMBER(SEARCH(AD607,[1]Sheet1!$D$2:$D$200))))
)</f>
        <v>(주)비에스물류</v>
      </c>
      <c r="T607" s="98" t="s">
        <v>2420</v>
      </c>
      <c r="U607" s="92" t="str" cm="1">
        <f t="array" ref="U607">IF(
OR(AD607="",ISERROR(AD607)),
"-",
_xlfn.UNIQUE(_xlfn._xlws.FILTER([1]Sheet1!$D$2:$D$200,ISNUMBER(SEARCH(AD607,[1]Sheet1!$D$2:$D$200))))
)</f>
        <v>(주)비에스물류</v>
      </c>
      <c r="V607" s="99"/>
      <c r="W607" s="99"/>
      <c r="X607" s="99">
        <f t="shared" si="21"/>
        <v>0</v>
      </c>
      <c r="Y607" s="100" t="s">
        <v>2424</v>
      </c>
      <c r="Z607" s="95" t="s">
        <v>51</v>
      </c>
      <c r="AA607" s="95" t="s">
        <v>81</v>
      </c>
      <c r="AB607" s="94" t="s">
        <v>2422</v>
      </c>
      <c r="AC607" s="93" t="str">
        <f t="shared" si="20"/>
        <v>Y</v>
      </c>
      <c r="AD607" s="93" t="s">
        <v>288</v>
      </c>
      <c r="AE607" s="101">
        <v>0.375</v>
      </c>
      <c r="AF607" s="102" t="s">
        <v>2425</v>
      </c>
      <c r="AG607" s="102" t="s">
        <v>2426</v>
      </c>
      <c r="AH607" s="103"/>
      <c r="AI607" s="28" t="s">
        <v>228</v>
      </c>
    </row>
    <row r="608" spans="1:35" s="104" customFormat="1" ht="34.950000000000003" customHeight="1" x14ac:dyDescent="0.4">
      <c r="A608" s="92" t="s">
        <v>36</v>
      </c>
      <c r="B608" s="92" t="s">
        <v>37</v>
      </c>
      <c r="C608" s="93">
        <v>46020</v>
      </c>
      <c r="D608" s="92" t="s">
        <v>229</v>
      </c>
      <c r="E608" s="92" t="s">
        <v>229</v>
      </c>
      <c r="F608" s="92">
        <v>3641</v>
      </c>
      <c r="G608" s="94" t="s">
        <v>1933</v>
      </c>
      <c r="H608" s="92" t="s">
        <v>41</v>
      </c>
      <c r="I608" s="95" t="s">
        <v>99</v>
      </c>
      <c r="J608" s="92" t="str">
        <f>IFERROR(VLOOKUP(I608,[1]Sheet1!$A$1:$B$200,2,0),"_")</f>
        <v>IX</v>
      </c>
      <c r="K608" s="95" t="s">
        <v>86</v>
      </c>
      <c r="L608" s="92" t="str">
        <f>IFERROR(VLOOKUP(K608,[1]Sheet1!$A$1:$B$200,2,0),"-")</f>
        <v>HP</v>
      </c>
      <c r="M608" s="95" t="s">
        <v>347</v>
      </c>
      <c r="N608" s="92" t="str">
        <f>IFERROR(VLOOKUP(M608,[1]Sheet1!$G$2:$H$200,2,0),"-")</f>
        <v>FESU</v>
      </c>
      <c r="O608" s="94" t="s">
        <v>2417</v>
      </c>
      <c r="P608" s="93">
        <v>46028</v>
      </c>
      <c r="Q608" s="96" t="s">
        <v>2427</v>
      </c>
      <c r="R608" s="96" t="s">
        <v>2428</v>
      </c>
      <c r="S608" s="97" t="str" cm="1">
        <f t="array" ref="S608">IF(
OR(AD608="",ISERROR(AD608)),
"-",
_xlfn.UNIQUE(_xlfn._xlws.FILTER([1]Sheet1!$D$2:$D$200,ISNUMBER(SEARCH(AD608,[1]Sheet1!$D$2:$D$200))))
)</f>
        <v>(주)비에스물류</v>
      </c>
      <c r="T608" s="98" t="s">
        <v>2429</v>
      </c>
      <c r="U608" s="92" t="str" cm="1">
        <f t="array" ref="U608">IF(
OR(AD608="",ISERROR(AD608)),
"-",
_xlfn.UNIQUE(_xlfn._xlws.FILTER([1]Sheet1!$D$2:$D$200,ISNUMBER(SEARCH(AD608,[1]Sheet1!$D$2:$D$200))))
)</f>
        <v>(주)비에스물류</v>
      </c>
      <c r="V608" s="99">
        <v>860000</v>
      </c>
      <c r="W608" s="99">
        <v>770800</v>
      </c>
      <c r="X608" s="99">
        <f t="shared" si="21"/>
        <v>89200</v>
      </c>
      <c r="Y608" s="100" t="s">
        <v>2430</v>
      </c>
      <c r="Z608" s="95" t="s">
        <v>51</v>
      </c>
      <c r="AA608" s="95" t="s">
        <v>81</v>
      </c>
      <c r="AB608" s="94" t="s">
        <v>2431</v>
      </c>
      <c r="AC608" s="93" t="str">
        <f t="shared" si="20"/>
        <v>Y</v>
      </c>
      <c r="AD608" s="93" t="s">
        <v>288</v>
      </c>
      <c r="AE608" s="101">
        <v>0.4375</v>
      </c>
      <c r="AF608" s="102"/>
      <c r="AG608" s="102"/>
      <c r="AH608" s="103"/>
      <c r="AI608" s="28" t="s">
        <v>228</v>
      </c>
    </row>
    <row r="609" spans="1:35" s="104" customFormat="1" ht="34.950000000000003" customHeight="1" x14ac:dyDescent="0.4">
      <c r="A609" s="92" t="s">
        <v>36</v>
      </c>
      <c r="B609" s="92" t="s">
        <v>37</v>
      </c>
      <c r="C609" s="93">
        <v>46020</v>
      </c>
      <c r="D609" s="92" t="s">
        <v>229</v>
      </c>
      <c r="E609" s="92" t="s">
        <v>229</v>
      </c>
      <c r="F609" s="92">
        <v>3641</v>
      </c>
      <c r="G609" s="94" t="s">
        <v>1933</v>
      </c>
      <c r="H609" s="92" t="s">
        <v>41</v>
      </c>
      <c r="I609" s="95" t="s">
        <v>99</v>
      </c>
      <c r="J609" s="92" t="str">
        <f>IFERROR(VLOOKUP(I609,[1]Sheet1!$A$1:$B$200,2,0),"_")</f>
        <v>IX</v>
      </c>
      <c r="K609" s="95" t="s">
        <v>86</v>
      </c>
      <c r="L609" s="92" t="str">
        <f>IFERROR(VLOOKUP(K609,[1]Sheet1!$A$1:$B$200,2,0),"-")</f>
        <v>HP</v>
      </c>
      <c r="M609" s="95" t="s">
        <v>347</v>
      </c>
      <c r="N609" s="92" t="str">
        <f>IFERROR(VLOOKUP(M609,[1]Sheet1!$G$2:$H$200,2,0),"-")</f>
        <v>FESU</v>
      </c>
      <c r="O609" s="94" t="s">
        <v>2417</v>
      </c>
      <c r="P609" s="93">
        <v>46028</v>
      </c>
      <c r="Q609" s="96" t="s">
        <v>2427</v>
      </c>
      <c r="R609" s="96" t="s">
        <v>2428</v>
      </c>
      <c r="S609" s="97" t="str" cm="1">
        <f t="array" ref="S609">IF(
OR(AD609="",ISERROR(AD609)),
"-",
_xlfn.UNIQUE(_xlfn._xlws.FILTER([1]Sheet1!$D$2:$D$200,ISNUMBER(SEARCH(AD609,[1]Sheet1!$D$2:$D$200))))
)</f>
        <v>(주)비에스물류</v>
      </c>
      <c r="T609" s="98" t="s">
        <v>2429</v>
      </c>
      <c r="U609" s="92" t="str" cm="1">
        <f t="array" ref="U609">IF(
OR(AD609="",ISERROR(AD609)),
"-",
_xlfn.UNIQUE(_xlfn._xlws.FILTER([1]Sheet1!$D$2:$D$200,ISNUMBER(SEARCH(AD609,[1]Sheet1!$D$2:$D$200))))
)</f>
        <v>(주)비에스물류</v>
      </c>
      <c r="V609" s="99">
        <v>100000</v>
      </c>
      <c r="W609" s="99"/>
      <c r="X609" s="99">
        <f t="shared" si="21"/>
        <v>100000</v>
      </c>
      <c r="Y609" s="100" t="s">
        <v>2432</v>
      </c>
      <c r="Z609" s="95" t="s">
        <v>51</v>
      </c>
      <c r="AA609" s="95" t="s">
        <v>81</v>
      </c>
      <c r="AB609" s="94" t="s">
        <v>2431</v>
      </c>
      <c r="AC609" s="93" t="str">
        <f t="shared" si="20"/>
        <v>Y</v>
      </c>
      <c r="AD609" s="93" t="s">
        <v>288</v>
      </c>
      <c r="AE609" s="101">
        <v>0.4375</v>
      </c>
      <c r="AF609" s="102"/>
      <c r="AG609" s="102"/>
      <c r="AH609" s="103"/>
      <c r="AI609" s="28" t="s">
        <v>228</v>
      </c>
    </row>
    <row r="610" spans="1:35" s="104" customFormat="1" ht="34.950000000000003" customHeight="1" x14ac:dyDescent="0.4">
      <c r="A610" s="92" t="s">
        <v>36</v>
      </c>
      <c r="B610" s="92" t="s">
        <v>37</v>
      </c>
      <c r="C610" s="93">
        <v>46020</v>
      </c>
      <c r="D610" s="92" t="s">
        <v>229</v>
      </c>
      <c r="E610" s="92" t="s">
        <v>229</v>
      </c>
      <c r="F610" s="92">
        <v>3641</v>
      </c>
      <c r="G610" s="94" t="s">
        <v>1933</v>
      </c>
      <c r="H610" s="92" t="s">
        <v>41</v>
      </c>
      <c r="I610" s="95" t="s">
        <v>99</v>
      </c>
      <c r="J610" s="92" t="str">
        <f>IFERROR(VLOOKUP(I610,[1]Sheet1!$A$1:$B$200,2,0),"_")</f>
        <v>IX</v>
      </c>
      <c r="K610" s="95" t="s">
        <v>86</v>
      </c>
      <c r="L610" s="92" t="str">
        <f>IFERROR(VLOOKUP(K610,[1]Sheet1!$A$1:$B$200,2,0),"-")</f>
        <v>HP</v>
      </c>
      <c r="M610" s="95" t="s">
        <v>347</v>
      </c>
      <c r="N610" s="92" t="str">
        <f>IFERROR(VLOOKUP(M610,[1]Sheet1!$G$2:$H$200,2,0),"-")</f>
        <v>FESU</v>
      </c>
      <c r="O610" s="94" t="s">
        <v>2417</v>
      </c>
      <c r="P610" s="93">
        <v>46028</v>
      </c>
      <c r="Q610" s="96" t="s">
        <v>2427</v>
      </c>
      <c r="R610" s="96" t="s">
        <v>2428</v>
      </c>
      <c r="S610" s="97" t="str" cm="1">
        <f t="array" ref="S610">IF(
OR(AD610="",ISERROR(AD610)),
"-",
_xlfn.UNIQUE(_xlfn._xlws.FILTER([1]Sheet1!$D$2:$D$200,ISNUMBER(SEARCH(AD610,[1]Sheet1!$D$2:$D$200))))
)</f>
        <v>(주)비에스물류</v>
      </c>
      <c r="T610" s="98" t="s">
        <v>2429</v>
      </c>
      <c r="U610" s="92" t="str" cm="1">
        <f t="array" ref="U610">IF(
OR(AD610="",ISERROR(AD610)),
"-",
_xlfn.UNIQUE(_xlfn._xlws.FILTER([1]Sheet1!$D$2:$D$200,ISNUMBER(SEARCH(AD610,[1]Sheet1!$D$2:$D$200))))
)</f>
        <v>(주)비에스물류</v>
      </c>
      <c r="V610" s="99"/>
      <c r="W610" s="99"/>
      <c r="X610" s="99">
        <f t="shared" si="21"/>
        <v>0</v>
      </c>
      <c r="Y610" s="100" t="s">
        <v>2433</v>
      </c>
      <c r="Z610" s="95" t="s">
        <v>51</v>
      </c>
      <c r="AA610" s="95" t="s">
        <v>81</v>
      </c>
      <c r="AB610" s="94" t="s">
        <v>2431</v>
      </c>
      <c r="AC610" s="93" t="str">
        <f t="shared" si="20"/>
        <v>Y</v>
      </c>
      <c r="AD610" s="93" t="s">
        <v>288</v>
      </c>
      <c r="AE610" s="101">
        <v>0.4375</v>
      </c>
      <c r="AF610" s="102" t="s">
        <v>2425</v>
      </c>
      <c r="AG610" s="102" t="s">
        <v>2426</v>
      </c>
      <c r="AH610" s="103"/>
      <c r="AI610" s="28" t="s">
        <v>228</v>
      </c>
    </row>
    <row r="611" spans="1:35" ht="34.950000000000003" customHeight="1" x14ac:dyDescent="0.4">
      <c r="A611" s="16" t="s">
        <v>36</v>
      </c>
      <c r="B611" s="16" t="s">
        <v>37</v>
      </c>
      <c r="C611" s="17">
        <v>46020</v>
      </c>
      <c r="D611" s="16" t="s">
        <v>38</v>
      </c>
      <c r="E611" s="16" t="s">
        <v>950</v>
      </c>
      <c r="F611" s="16">
        <v>15356</v>
      </c>
      <c r="G611" s="18" t="s">
        <v>2434</v>
      </c>
      <c r="H611" s="16" t="s">
        <v>59</v>
      </c>
      <c r="I611" s="19" t="s">
        <v>60</v>
      </c>
      <c r="J611" s="16" t="str">
        <f>IFERROR(VLOOKUP(I611,[1]Sheet1!$A$1:$B$200,2,0),"_")</f>
        <v>KQ</v>
      </c>
      <c r="K611" s="19" t="s">
        <v>328</v>
      </c>
      <c r="L611" s="16" t="str">
        <f>IFERROR(VLOOKUP(K611,[1]Sheet1!$A$1:$B$200,2,0),"-")</f>
        <v>BT</v>
      </c>
      <c r="M611" s="19" t="s">
        <v>44</v>
      </c>
      <c r="N611" s="16" t="str">
        <f>IFERROR(VLOOKUP(M611,[1]Sheet1!$G$2:$H$200,2,0),"-")</f>
        <v>HSLI</v>
      </c>
      <c r="O611" s="18" t="s">
        <v>55</v>
      </c>
      <c r="P611" s="17" t="s">
        <v>55</v>
      </c>
      <c r="Q611" s="20"/>
      <c r="R611" s="20"/>
      <c r="S611" s="21" t="str" cm="1">
        <f t="array" ref="S611">IF(
OR(AD611="",ISERROR(AD611)),
"-",
_xlfn.UNIQUE(_xlfn._xlws.FILTER([1]Sheet1!$D$2:$D$200,ISNUMBER(SEARCH(AD611,[1]Sheet1!$D$2:$D$200))))
)</f>
        <v>(주)유진로직스</v>
      </c>
      <c r="T611" s="22" t="s">
        <v>2435</v>
      </c>
      <c r="U611" s="16" t="str" cm="1">
        <f t="array" ref="U611">IF(
OR(AD611="",ISERROR(AD611)),
"-",
_xlfn.UNIQUE(_xlfn._xlws.FILTER([1]Sheet1!$D$2:$D$200,ISNUMBER(SEARCH(AD611,[1]Sheet1!$D$2:$D$200))))
)</f>
        <v>(주)유진로직스</v>
      </c>
      <c r="V611" s="23">
        <v>170000</v>
      </c>
      <c r="W611" s="23">
        <v>140000</v>
      </c>
      <c r="X611" s="23">
        <f t="shared" si="21"/>
        <v>30000</v>
      </c>
      <c r="Y611" s="25" t="s">
        <v>2436</v>
      </c>
      <c r="Z611" s="19" t="s">
        <v>51</v>
      </c>
      <c r="AA611" s="19" t="s">
        <v>52</v>
      </c>
      <c r="AB611" s="105" t="s">
        <v>2437</v>
      </c>
      <c r="AC611" s="17" t="str">
        <f t="shared" si="20"/>
        <v>Y</v>
      </c>
      <c r="AD611" s="17" t="s">
        <v>70</v>
      </c>
      <c r="AE611" s="26">
        <v>0.58333333333333337</v>
      </c>
      <c r="AF611" s="27"/>
      <c r="AG611" s="27"/>
      <c r="AI611" s="28" t="s">
        <v>228</v>
      </c>
    </row>
    <row r="612" spans="1:35" ht="34.950000000000003" customHeight="1" x14ac:dyDescent="0.4">
      <c r="A612" s="16" t="s">
        <v>36</v>
      </c>
      <c r="B612" s="16" t="s">
        <v>37</v>
      </c>
      <c r="C612" s="17">
        <v>46020</v>
      </c>
      <c r="D612" s="16" t="s">
        <v>126</v>
      </c>
      <c r="E612" s="16" t="s">
        <v>806</v>
      </c>
      <c r="F612" s="16">
        <v>26793</v>
      </c>
      <c r="G612" s="18" t="s">
        <v>807</v>
      </c>
      <c r="H612" s="16" t="s">
        <v>41</v>
      </c>
      <c r="I612" s="19" t="s">
        <v>137</v>
      </c>
      <c r="J612" s="16" t="str">
        <f>IFERROR(VLOOKUP(I612,[1]Sheet1!$A$1:$B$200,2,0),"_")</f>
        <v>BE</v>
      </c>
      <c r="K612" s="19" t="s">
        <v>272</v>
      </c>
      <c r="L612" s="16" t="str">
        <f>IFERROR(VLOOKUP(K612,[1]Sheet1!$A$1:$B$200,2,0),"-")</f>
        <v>Z9</v>
      </c>
      <c r="M612" s="19" t="s">
        <v>77</v>
      </c>
      <c r="N612" s="16" t="str">
        <f>IFERROR(VLOOKUP(M612,[1]Sheet1!$G$2:$H$200,2,0),"-")</f>
        <v>KMTC</v>
      </c>
      <c r="O612" s="18" t="s">
        <v>2438</v>
      </c>
      <c r="P612" s="17">
        <v>46023</v>
      </c>
      <c r="Q612" s="20" t="s">
        <v>2439</v>
      </c>
      <c r="R612" s="20" t="s">
        <v>2440</v>
      </c>
      <c r="S612" s="21" t="str" cm="1">
        <f t="array" ref="S612">IF(
OR(AD612="",ISERROR(AD612)),
"-",
_xlfn.UNIQUE(_xlfn._xlws.FILTER([1]Sheet1!$D$2:$D$200,ISNUMBER(SEARCH(AD612,[1]Sheet1!$D$2:$D$200))))
)</f>
        <v>씨제이대한통운(주)</v>
      </c>
      <c r="T612" s="22" t="s">
        <v>2441</v>
      </c>
      <c r="U612" s="16" t="str" cm="1">
        <f t="array" ref="U612">IF(
OR(AD612="",ISERROR(AD612)),
"-",
_xlfn.UNIQUE(_xlfn._xlws.FILTER([1]Sheet1!$D$2:$D$200,ISNUMBER(SEARCH(AD612,[1]Sheet1!$D$2:$D$200))))
)</f>
        <v>씨제이대한통운(주)</v>
      </c>
      <c r="V612" s="23">
        <v>740000</v>
      </c>
      <c r="W612" s="23">
        <v>662300</v>
      </c>
      <c r="X612" s="23">
        <f t="shared" si="21"/>
        <v>77700</v>
      </c>
      <c r="Y612" s="25" t="s">
        <v>2442</v>
      </c>
      <c r="Z612" s="19" t="s">
        <v>51</v>
      </c>
      <c r="AA612" s="19" t="s">
        <v>81</v>
      </c>
      <c r="AB612" s="18" t="s">
        <v>813</v>
      </c>
      <c r="AC612" s="17" t="str">
        <f t="shared" si="20"/>
        <v>Y</v>
      </c>
      <c r="AD612" s="17" t="s">
        <v>814</v>
      </c>
      <c r="AE612" s="26">
        <v>0.58333333333333337</v>
      </c>
      <c r="AF612" s="27" t="s">
        <v>55</v>
      </c>
      <c r="AG612" s="27" t="s">
        <v>55</v>
      </c>
      <c r="AI612" s="28" t="s">
        <v>228</v>
      </c>
    </row>
    <row r="613" spans="1:35" ht="34.950000000000003" customHeight="1" x14ac:dyDescent="0.4">
      <c r="A613" s="16" t="s">
        <v>71</v>
      </c>
      <c r="B613" s="16" t="s">
        <v>99</v>
      </c>
      <c r="C613" s="17">
        <v>46020</v>
      </c>
      <c r="D613" s="16" t="s">
        <v>126</v>
      </c>
      <c r="E613" s="16" t="s">
        <v>199</v>
      </c>
      <c r="F613" s="16">
        <v>22141</v>
      </c>
      <c r="G613" s="18" t="s">
        <v>1417</v>
      </c>
      <c r="H613" s="16" t="s">
        <v>41</v>
      </c>
      <c r="I613" s="19" t="s">
        <v>76</v>
      </c>
      <c r="J613" s="16" t="str">
        <f>IFERROR(VLOOKUP(I613,[1]Sheet1!$A$1:$B$200,2,0),"_")</f>
        <v>NJ</v>
      </c>
      <c r="K613" s="19" t="s">
        <v>76</v>
      </c>
      <c r="L613" s="16" t="str">
        <f>IFERROR(VLOOKUP(K613,[1]Sheet1!$A$1:$B$200,2,0),"-")</f>
        <v>NJ</v>
      </c>
      <c r="M613" s="19" t="s">
        <v>211</v>
      </c>
      <c r="N613" s="16" t="str">
        <f>IFERROR(VLOOKUP(M613,[1]Sheet1!$G$2:$H$200,2,0),"-")</f>
        <v>SITC</v>
      </c>
      <c r="O613" s="18" t="s">
        <v>55</v>
      </c>
      <c r="P613" s="17" t="s">
        <v>55</v>
      </c>
      <c r="Q613" s="20" t="s">
        <v>2443</v>
      </c>
      <c r="R613" s="20"/>
      <c r="S613" s="21" t="str" cm="1">
        <f t="array" ref="S613">IF(
OR(AD613="",ISERROR(AD613)),
"-",
_xlfn.UNIQUE(_xlfn._xlws.FILTER([1]Sheet1!$D$2:$D$200,ISNUMBER(SEARCH(AD613,[1]Sheet1!$D$2:$D$200))))
)</f>
        <v>로지아이솔루션</v>
      </c>
      <c r="T613" s="22" t="s">
        <v>2444</v>
      </c>
      <c r="U613" s="16" t="str" cm="1">
        <f t="array" ref="U613">IF(
OR(AD613="",ISERROR(AD613)),
"-",
_xlfn.UNIQUE(_xlfn._xlws.FILTER([1]Sheet1!$D$2:$D$200,ISNUMBER(SEARCH(AD613,[1]Sheet1!$D$2:$D$200))))
)</f>
        <v>로지아이솔루션</v>
      </c>
      <c r="V613" s="23">
        <v>270000</v>
      </c>
      <c r="W613" s="23">
        <v>259850</v>
      </c>
      <c r="X613" s="23">
        <f t="shared" si="21"/>
        <v>10150</v>
      </c>
      <c r="Y613" s="25" t="s">
        <v>2445</v>
      </c>
      <c r="Z613" s="19" t="s">
        <v>51</v>
      </c>
      <c r="AA613" s="19" t="s">
        <v>81</v>
      </c>
      <c r="AB613" s="18" t="s">
        <v>2446</v>
      </c>
      <c r="AC613" s="17" t="str">
        <f t="shared" si="20"/>
        <v>Y</v>
      </c>
      <c r="AD613" s="17" t="s">
        <v>206</v>
      </c>
      <c r="AE613" s="26">
        <v>0.35416666666666669</v>
      </c>
      <c r="AF613" s="27"/>
      <c r="AG613" s="27"/>
      <c r="AI613" s="28" t="s">
        <v>228</v>
      </c>
    </row>
    <row r="614" spans="1:35" s="28" customFormat="1" ht="34.950000000000003" customHeight="1" x14ac:dyDescent="0.4">
      <c r="A614" s="16" t="s">
        <v>36</v>
      </c>
      <c r="B614" s="16" t="s">
        <v>37</v>
      </c>
      <c r="C614" s="17">
        <v>46020</v>
      </c>
      <c r="D614" s="16" t="s">
        <v>855</v>
      </c>
      <c r="E614" s="16" t="s">
        <v>2447</v>
      </c>
      <c r="F614" s="16">
        <v>28953</v>
      </c>
      <c r="G614" s="18" t="s">
        <v>2448</v>
      </c>
      <c r="H614" s="16" t="s">
        <v>41</v>
      </c>
      <c r="I614" s="19" t="s">
        <v>137</v>
      </c>
      <c r="J614" s="16" t="str">
        <f>IFERROR(VLOOKUP(I614,[1]Sheet1!$A$1:$B$200,2,0),"_")</f>
        <v>BE</v>
      </c>
      <c r="K614" s="19" t="s">
        <v>317</v>
      </c>
      <c r="L614" s="16" t="str">
        <f>IFERROR(VLOOKUP(K614,[1]Sheet1!$A$1:$B$200,2,0),"-")</f>
        <v>HN</v>
      </c>
      <c r="M614" s="19" t="s">
        <v>87</v>
      </c>
      <c r="N614" s="16" t="str">
        <f>IFERROR(VLOOKUP(M614,[1]Sheet1!$G$2:$H$200,2,0),"-")</f>
        <v>HDMU</v>
      </c>
      <c r="O614" s="18" t="s">
        <v>2449</v>
      </c>
      <c r="P614" s="17">
        <v>46026</v>
      </c>
      <c r="Q614" s="20" t="s">
        <v>2450</v>
      </c>
      <c r="R614" s="20" t="s">
        <v>2451</v>
      </c>
      <c r="S614" s="21" t="str" cm="1">
        <f t="array" ref="S614">IF(
OR(AD614="",ISERROR(AD614)),
"-",
_xlfn.UNIQUE(_xlfn._xlws.FILTER([1]Sheet1!$D$2:$D$200,ISNUMBER(SEARCH(AD614,[1]Sheet1!$D$2:$D$200))))
)</f>
        <v>양양운수(주)</v>
      </c>
      <c r="T614" s="22" t="s">
        <v>2452</v>
      </c>
      <c r="U614" s="16" t="str" cm="1">
        <f t="array" ref="U614">IF(
OR(AD614="",ISERROR(AD614)),
"-",
_xlfn.UNIQUE(_xlfn._xlws.FILTER([1]Sheet1!$D$2:$D$200,ISNUMBER(SEARCH(AD614,[1]Sheet1!$D$2:$D$200))))
)</f>
        <v>양양운수(주)</v>
      </c>
      <c r="V614" s="23">
        <v>680000</v>
      </c>
      <c r="W614" s="23">
        <v>642100</v>
      </c>
      <c r="X614" s="23">
        <f t="shared" si="21"/>
        <v>37900</v>
      </c>
      <c r="Y614" s="25" t="s">
        <v>2453</v>
      </c>
      <c r="Z614" s="19" t="s">
        <v>51</v>
      </c>
      <c r="AA614" s="19" t="s">
        <v>144</v>
      </c>
      <c r="AB614" s="18" t="s">
        <v>2454</v>
      </c>
      <c r="AC614" s="17" t="str">
        <f t="shared" si="20"/>
        <v>Y</v>
      </c>
      <c r="AD614" s="17" t="s">
        <v>619</v>
      </c>
      <c r="AE614" s="26">
        <v>0.58333333333333337</v>
      </c>
      <c r="AF614" s="27"/>
      <c r="AG614" s="27"/>
      <c r="AI614" s="28" t="s">
        <v>228</v>
      </c>
    </row>
    <row r="615" spans="1:35" s="28" customFormat="1" ht="34.950000000000003" customHeight="1" x14ac:dyDescent="0.4">
      <c r="A615" s="16" t="s">
        <v>36</v>
      </c>
      <c r="B615" s="16" t="s">
        <v>37</v>
      </c>
      <c r="C615" s="17">
        <v>46020</v>
      </c>
      <c r="D615" s="16" t="s">
        <v>229</v>
      </c>
      <c r="E615" s="16" t="s">
        <v>229</v>
      </c>
      <c r="F615" s="16">
        <v>3641</v>
      </c>
      <c r="G615" s="18" t="s">
        <v>1933</v>
      </c>
      <c r="H615" s="16" t="s">
        <v>41</v>
      </c>
      <c r="I615" s="19" t="s">
        <v>137</v>
      </c>
      <c r="J615" s="16" t="str">
        <f>IFERROR(VLOOKUP(I615,[1]Sheet1!$A$1:$B$200,2,0),"_")</f>
        <v>BE</v>
      </c>
      <c r="K615" s="19" t="s">
        <v>751</v>
      </c>
      <c r="L615" s="16" t="str">
        <f>IFERROR(VLOOKUP(K615,[1]Sheet1!$A$1:$B$200,2,0),"-")</f>
        <v>PN</v>
      </c>
      <c r="M615" s="19" t="s">
        <v>159</v>
      </c>
      <c r="N615" s="16" t="str">
        <f>IFERROR(VLOOKUP(M615,[1]Sheet1!$G$2:$H$200,2,0),"-")</f>
        <v>MAEU</v>
      </c>
      <c r="O615" s="18" t="s">
        <v>2455</v>
      </c>
      <c r="P615" s="17">
        <v>46024</v>
      </c>
      <c r="Q615" s="20" t="s">
        <v>2456</v>
      </c>
      <c r="R615" s="20" t="s">
        <v>2457</v>
      </c>
      <c r="S615" s="21" t="str" cm="1">
        <f t="array" ref="S615">IF(
OR(AD615="",ISERROR(AD615)),
"-",
_xlfn.UNIQUE(_xlfn._xlws.FILTER([1]Sheet1!$D$2:$D$200,ISNUMBER(SEARCH(AD615,[1]Sheet1!$D$2:$D$200))))
)</f>
        <v>양양운수(주)</v>
      </c>
      <c r="T615" s="22" t="s">
        <v>277</v>
      </c>
      <c r="U615" s="16" t="str" cm="1">
        <f t="array" ref="U615">IF(
OR(AD615="",ISERROR(AD615)),
"-",
_xlfn.UNIQUE(_xlfn._xlws.FILTER([1]Sheet1!$D$2:$D$200,ISNUMBER(SEARCH(AD615,[1]Sheet1!$D$2:$D$200))))
)</f>
        <v>양양운수(주)</v>
      </c>
      <c r="V615" s="23">
        <v>860000</v>
      </c>
      <c r="W615" s="23">
        <v>770800</v>
      </c>
      <c r="X615" s="23">
        <f t="shared" si="21"/>
        <v>89200</v>
      </c>
      <c r="Y615" s="25" t="s">
        <v>2458</v>
      </c>
      <c r="Z615" s="19" t="s">
        <v>51</v>
      </c>
      <c r="AA615" s="19" t="s">
        <v>81</v>
      </c>
      <c r="AB615" s="18" t="s">
        <v>2459</v>
      </c>
      <c r="AC615" s="17" t="str">
        <f t="shared" si="20"/>
        <v>Y</v>
      </c>
      <c r="AD615" s="17" t="s">
        <v>619</v>
      </c>
      <c r="AE615" s="26">
        <v>0.54166666666666663</v>
      </c>
      <c r="AF615" s="27"/>
      <c r="AG615" s="27"/>
      <c r="AI615" s="28" t="s">
        <v>228</v>
      </c>
    </row>
    <row r="616" spans="1:35" s="119" customFormat="1" ht="34.950000000000003" customHeight="1" x14ac:dyDescent="0.4">
      <c r="A616" s="107" t="s">
        <v>36</v>
      </c>
      <c r="B616" s="107" t="s">
        <v>99</v>
      </c>
      <c r="C616" s="108">
        <v>46020</v>
      </c>
      <c r="D616" s="107" t="s">
        <v>216</v>
      </c>
      <c r="E616" s="107" t="s">
        <v>2460</v>
      </c>
      <c r="F616" s="107">
        <v>26929</v>
      </c>
      <c r="G616" s="109" t="s">
        <v>2461</v>
      </c>
      <c r="H616" s="107" t="s">
        <v>75</v>
      </c>
      <c r="I616" s="110" t="s">
        <v>219</v>
      </c>
      <c r="J616" s="107" t="str">
        <f>IFERROR(VLOOKUP(I616,[1]Sheet1!$A$1:$B$200,2,0),"_")</f>
        <v>NN</v>
      </c>
      <c r="K616" s="110" t="s">
        <v>219</v>
      </c>
      <c r="L616" s="107" t="str">
        <f>IFERROR(VLOOKUP(K616,[1]Sheet1!$A$1:$B$200,2,0),"-")</f>
        <v>NN</v>
      </c>
      <c r="M616" s="110" t="s">
        <v>221</v>
      </c>
      <c r="N616" s="107" t="str">
        <f>IFERROR(VLOOKUP(M616,[1]Sheet1!$G$2:$H$200,2,0),"-")</f>
        <v>DOOW</v>
      </c>
      <c r="O616" s="109" t="s">
        <v>2462</v>
      </c>
      <c r="P616" s="108">
        <v>46022</v>
      </c>
      <c r="Q616" s="111"/>
      <c r="R616" s="111"/>
      <c r="S616" s="112" t="str" cm="1">
        <f t="array" ref="S616">IF(
OR(AD616="",ISERROR(AD616)),
"-",
_xlfn.UNIQUE(_xlfn._xlws.FILTER([1]Sheet1!$D$2:$D$200,ISNUMBER(SEARCH(AD616,[1]Sheet1!$D$2:$D$200))))
)</f>
        <v>태성종합물류</v>
      </c>
      <c r="T616" s="113" t="s">
        <v>2463</v>
      </c>
      <c r="U616" s="107" t="str" cm="1">
        <f t="array" ref="U616">IF(
OR(AD616="",ISERROR(AD616)),
"-",
_xlfn.UNIQUE(_xlfn._xlws.FILTER([1]Sheet1!$D$2:$D$200,ISNUMBER(SEARCH(AD616,[1]Sheet1!$D$2:$D$200))))
)</f>
        <v>태성종합물류</v>
      </c>
      <c r="V616" s="114"/>
      <c r="W616" s="114"/>
      <c r="X616" s="114">
        <f t="shared" si="21"/>
        <v>0</v>
      </c>
      <c r="Y616" s="115" t="s">
        <v>2464</v>
      </c>
      <c r="Z616" s="110"/>
      <c r="AA616" s="110" t="s">
        <v>93</v>
      </c>
      <c r="AB616" s="116" t="s">
        <v>2465</v>
      </c>
      <c r="AC616" s="108" t="str">
        <f t="shared" si="20"/>
        <v>Y</v>
      </c>
      <c r="AD616" s="108" t="s">
        <v>82</v>
      </c>
      <c r="AE616" s="117">
        <v>0.41666666666666669</v>
      </c>
      <c r="AF616" s="118"/>
      <c r="AG616" s="118"/>
    </row>
    <row r="617" spans="1:35" s="28" customFormat="1" ht="34.950000000000003" customHeight="1" x14ac:dyDescent="0.4">
      <c r="A617" s="16" t="s">
        <v>71</v>
      </c>
      <c r="B617" s="16" t="s">
        <v>99</v>
      </c>
      <c r="C617" s="17">
        <v>46020</v>
      </c>
      <c r="D617" s="16" t="s">
        <v>2466</v>
      </c>
      <c r="E617" s="16" t="s">
        <v>2467</v>
      </c>
      <c r="F617" s="16">
        <v>16877</v>
      </c>
      <c r="G617" s="18" t="s">
        <v>2468</v>
      </c>
      <c r="H617" s="16" t="s">
        <v>75</v>
      </c>
      <c r="I617" s="19" t="s">
        <v>219</v>
      </c>
      <c r="J617" s="16" t="str">
        <f>IFERROR(VLOOKUP(I617,[1]Sheet1!$A$1:$B$200,2,0),"_")</f>
        <v>NN</v>
      </c>
      <c r="K617" s="19" t="s">
        <v>219</v>
      </c>
      <c r="L617" s="16" t="str">
        <f>IFERROR(VLOOKUP(K617,[1]Sheet1!$A$1:$B$200,2,0),"-")</f>
        <v>NN</v>
      </c>
      <c r="M617" s="19" t="s">
        <v>566</v>
      </c>
      <c r="N617" s="16" t="str">
        <f>IFERROR(VLOOKUP(M617,[1]Sheet1!$G$2:$H$200,2,0),"-")</f>
        <v>WHLU</v>
      </c>
      <c r="O617" s="18" t="s">
        <v>55</v>
      </c>
      <c r="P617" s="17" t="s">
        <v>55</v>
      </c>
      <c r="Q617" s="20" t="s">
        <v>2469</v>
      </c>
      <c r="R617" s="20"/>
      <c r="S617" s="21" t="str" cm="1">
        <f t="array" ref="S617">IF(
OR(AD617="",ISERROR(AD617)),
"-",
_xlfn.UNIQUE(_xlfn._xlws.FILTER([1]Sheet1!$D$2:$D$200,ISNUMBER(SEARCH(AD617,[1]Sheet1!$D$2:$D$200))))
)</f>
        <v>태성종합물류</v>
      </c>
      <c r="T617" s="22" t="s">
        <v>2470</v>
      </c>
      <c r="U617" s="16" t="str" cm="1">
        <f t="array" ref="U617">IF(
OR(AD617="",ISERROR(AD617)),
"-",
_xlfn.UNIQUE(_xlfn._xlws.FILTER([1]Sheet1!$D$2:$D$200,ISNUMBER(SEARCH(AD617,[1]Sheet1!$D$2:$D$200))))
)</f>
        <v>태성종합물류</v>
      </c>
      <c r="V617" s="23">
        <v>412000</v>
      </c>
      <c r="W617" s="23">
        <v>385000</v>
      </c>
      <c r="X617" s="23">
        <f t="shared" si="21"/>
        <v>27000</v>
      </c>
      <c r="Y617" s="25" t="s">
        <v>2471</v>
      </c>
      <c r="Z617" s="19" t="s">
        <v>51</v>
      </c>
      <c r="AA617" s="19" t="s">
        <v>144</v>
      </c>
      <c r="AB617" s="18"/>
      <c r="AC617" s="17" t="str">
        <f t="shared" si="20"/>
        <v>Y</v>
      </c>
      <c r="AD617" s="17" t="s">
        <v>82</v>
      </c>
      <c r="AE617" s="26" t="s">
        <v>1693</v>
      </c>
      <c r="AF617" s="27"/>
      <c r="AG617" s="27"/>
      <c r="AI617" s="28" t="s">
        <v>228</v>
      </c>
    </row>
    <row r="618" spans="1:35" s="28" customFormat="1" ht="34.950000000000003" customHeight="1" x14ac:dyDescent="0.4">
      <c r="A618" s="16" t="s">
        <v>71</v>
      </c>
      <c r="B618" s="16" t="s">
        <v>99</v>
      </c>
      <c r="C618" s="17">
        <v>46020</v>
      </c>
      <c r="D618" s="16" t="s">
        <v>2466</v>
      </c>
      <c r="E618" s="16" t="s">
        <v>2467</v>
      </c>
      <c r="F618" s="16">
        <v>16877</v>
      </c>
      <c r="G618" s="18" t="s">
        <v>2468</v>
      </c>
      <c r="H618" s="16" t="s">
        <v>75</v>
      </c>
      <c r="I618" s="19" t="s">
        <v>219</v>
      </c>
      <c r="J618" s="16" t="str">
        <f>IFERROR(VLOOKUP(I618,[1]Sheet1!$A$1:$B$200,2,0),"_")</f>
        <v>NN</v>
      </c>
      <c r="K618" s="19" t="s">
        <v>219</v>
      </c>
      <c r="L618" s="16" t="str">
        <f>IFERROR(VLOOKUP(K618,[1]Sheet1!$A$1:$B$200,2,0),"-")</f>
        <v>NN</v>
      </c>
      <c r="M618" s="19" t="s">
        <v>566</v>
      </c>
      <c r="N618" s="16" t="str">
        <f>IFERROR(VLOOKUP(M618,[1]Sheet1!$G$2:$H$200,2,0),"-")</f>
        <v>WHLU</v>
      </c>
      <c r="O618" s="18" t="s">
        <v>55</v>
      </c>
      <c r="P618" s="17" t="s">
        <v>55</v>
      </c>
      <c r="Q618" s="20" t="s">
        <v>2472</v>
      </c>
      <c r="R618" s="20"/>
      <c r="S618" s="21" t="str" cm="1">
        <f t="array" ref="S618">IF(
OR(AD618="",ISERROR(AD618)),
"-",
_xlfn.UNIQUE(_xlfn._xlws.FILTER([1]Sheet1!$D$2:$D$200,ISNUMBER(SEARCH(AD618,[1]Sheet1!$D$2:$D$200))))
)</f>
        <v>태성종합물류</v>
      </c>
      <c r="T618" s="22" t="s">
        <v>2473</v>
      </c>
      <c r="U618" s="16" t="str" cm="1">
        <f t="array" ref="U618">IF(
OR(AD618="",ISERROR(AD618)),
"-",
_xlfn.UNIQUE(_xlfn._xlws.FILTER([1]Sheet1!$D$2:$D$200,ISNUMBER(SEARCH(AD618,[1]Sheet1!$D$2:$D$200))))
)</f>
        <v>태성종합물류</v>
      </c>
      <c r="V618" s="23">
        <v>412000</v>
      </c>
      <c r="W618" s="23">
        <v>385000</v>
      </c>
      <c r="X618" s="23">
        <f t="shared" si="21"/>
        <v>27000</v>
      </c>
      <c r="Y618" s="25" t="s">
        <v>2474</v>
      </c>
      <c r="Z618" s="19" t="s">
        <v>51</v>
      </c>
      <c r="AA618" s="19" t="s">
        <v>144</v>
      </c>
      <c r="AB618" s="18"/>
      <c r="AC618" s="17" t="str">
        <f t="shared" si="20"/>
        <v>Y</v>
      </c>
      <c r="AD618" s="17" t="s">
        <v>82</v>
      </c>
      <c r="AE618" s="26" t="s">
        <v>1693</v>
      </c>
      <c r="AF618" s="27"/>
      <c r="AG618" s="27"/>
      <c r="AI618" s="28" t="s">
        <v>228</v>
      </c>
    </row>
    <row r="619" spans="1:35" s="28" customFormat="1" ht="34.950000000000003" customHeight="1" x14ac:dyDescent="0.4">
      <c r="A619" s="16" t="s">
        <v>71</v>
      </c>
      <c r="B619" s="16" t="s">
        <v>37</v>
      </c>
      <c r="C619" s="17">
        <v>46020</v>
      </c>
      <c r="D619" s="16" t="s">
        <v>109</v>
      </c>
      <c r="E619" s="16" t="s">
        <v>110</v>
      </c>
      <c r="F619" s="16">
        <v>12650</v>
      </c>
      <c r="G619" s="18" t="s">
        <v>1306</v>
      </c>
      <c r="H619" s="16" t="s">
        <v>41</v>
      </c>
      <c r="I619" s="19" t="s">
        <v>42</v>
      </c>
      <c r="J619" s="16" t="str">
        <f>IFERROR(VLOOKUP(I619,[1]Sheet1!$A$1:$B$200,2,0),"_")</f>
        <v>P</v>
      </c>
      <c r="K619" s="19" t="s">
        <v>42</v>
      </c>
      <c r="L619" s="16" t="str">
        <f>IFERROR(VLOOKUP(K619,[1]Sheet1!$A$1:$B$200,2,0),"-")</f>
        <v>P</v>
      </c>
      <c r="M619" s="19" t="s">
        <v>180</v>
      </c>
      <c r="N619" s="16" t="str">
        <f>IFERROR(VLOOKUP(M619,[1]Sheet1!$G$2:$H$200,2,0),"-")</f>
        <v>TSL</v>
      </c>
      <c r="O619" s="18" t="s">
        <v>55</v>
      </c>
      <c r="P619" s="17" t="s">
        <v>55</v>
      </c>
      <c r="Q619" s="20" t="s">
        <v>2475</v>
      </c>
      <c r="R619" s="20"/>
      <c r="S619" s="21" t="str" cm="1">
        <f t="array" ref="S619">IF(
OR(AD619="",ISERROR(AD619)),
"-",
_xlfn.UNIQUE(_xlfn._xlws.FILTER([1]Sheet1!$D$2:$D$200,ISNUMBER(SEARCH(AD619,[1]Sheet1!$D$2:$D$200))))
)</f>
        <v>에스지로지스틱</v>
      </c>
      <c r="T619" s="22" t="s">
        <v>2476</v>
      </c>
      <c r="U619" s="16" t="str" cm="1">
        <f t="array" ref="U619">IF(
OR(AD619="",ISERROR(AD619)),
"-",
_xlfn.UNIQUE(_xlfn._xlws.FILTER([1]Sheet1!$D$2:$D$200,ISNUMBER(SEARCH(AD619,[1]Sheet1!$D$2:$D$200))))
)</f>
        <v>에스지로지스틱</v>
      </c>
      <c r="V619" s="23">
        <v>415000</v>
      </c>
      <c r="W619" s="23">
        <v>388000</v>
      </c>
      <c r="X619" s="23">
        <f>V619-W619</f>
        <v>27000</v>
      </c>
      <c r="Y619" s="25" t="s">
        <v>2477</v>
      </c>
      <c r="Z619" s="19" t="s">
        <v>51</v>
      </c>
      <c r="AA619" s="19" t="s">
        <v>115</v>
      </c>
      <c r="AB619" s="18"/>
      <c r="AC619" s="17" t="str">
        <f t="shared" si="20"/>
        <v>Y</v>
      </c>
      <c r="AD619" s="17" t="s">
        <v>184</v>
      </c>
      <c r="AE619" s="26">
        <v>0.35416666666666669</v>
      </c>
      <c r="AF619" s="27"/>
      <c r="AG619" s="27"/>
      <c r="AI619" s="28" t="s">
        <v>228</v>
      </c>
    </row>
    <row r="620" spans="1:35" ht="34.950000000000003" customHeight="1" x14ac:dyDescent="0.4">
      <c r="A620" s="16" t="s">
        <v>71</v>
      </c>
      <c r="B620" s="16" t="s">
        <v>37</v>
      </c>
      <c r="C620" s="17">
        <v>46020</v>
      </c>
      <c r="D620" s="16" t="s">
        <v>216</v>
      </c>
      <c r="E620" s="16" t="s">
        <v>1049</v>
      </c>
      <c r="F620" s="16">
        <v>27880</v>
      </c>
      <c r="G620" s="18" t="s">
        <v>2478</v>
      </c>
      <c r="H620" s="16" t="s">
        <v>41</v>
      </c>
      <c r="I620" s="19" t="s">
        <v>86</v>
      </c>
      <c r="J620" s="16" t="str">
        <f>IFERROR(VLOOKUP(I620,[1]Sheet1!$A$1:$B$200,2,0),"_")</f>
        <v>HP</v>
      </c>
      <c r="K620" s="19" t="s">
        <v>86</v>
      </c>
      <c r="L620" s="16" t="str">
        <f>IFERROR(VLOOKUP(K620,[1]Sheet1!$A$1:$B$200,2,0),"-")</f>
        <v>HP</v>
      </c>
      <c r="M620" s="19" t="s">
        <v>752</v>
      </c>
      <c r="N620" s="16" t="str">
        <f>IFERROR(VLOOKUP(M620,[1]Sheet1!$G$2:$H$200,2,0),"-")</f>
        <v>ONE</v>
      </c>
      <c r="O620" s="18" t="s">
        <v>55</v>
      </c>
      <c r="P620" s="17" t="s">
        <v>55</v>
      </c>
      <c r="Q620" s="20" t="s">
        <v>2479</v>
      </c>
      <c r="R620" s="20"/>
      <c r="S620" s="21" t="str" cm="1">
        <f t="array" ref="S620">IF(
OR(AD620="",ISERROR(AD620)),
"-",
_xlfn.UNIQUE(_xlfn._xlws.FILTER([1]Sheet1!$D$2:$D$200,ISNUMBER(SEARCH(AD620,[1]Sheet1!$D$2:$D$200))))
)</f>
        <v>에스지로지스틱</v>
      </c>
      <c r="T620" s="22" t="s">
        <v>2480</v>
      </c>
      <c r="U620" s="16" t="str" cm="1">
        <f t="array" ref="U620">IF(
OR(AD620="",ISERROR(AD620)),
"-",
_xlfn.UNIQUE(_xlfn._xlws.FILTER([1]Sheet1!$D$2:$D$200,ISNUMBER(SEARCH(AD620,[1]Sheet1!$D$2:$D$200))))
)</f>
        <v>에스지로지스틱</v>
      </c>
      <c r="V620" s="23">
        <v>216000</v>
      </c>
      <c r="W620" s="23">
        <v>196000</v>
      </c>
      <c r="X620" s="23">
        <f>V620-W620</f>
        <v>20000</v>
      </c>
      <c r="Y620" s="25" t="s">
        <v>2481</v>
      </c>
      <c r="Z620" s="19" t="s">
        <v>51</v>
      </c>
      <c r="AA620" s="19" t="s">
        <v>93</v>
      </c>
      <c r="AC620" s="17" t="str">
        <f t="shared" si="20"/>
        <v>Y</v>
      </c>
      <c r="AD620" s="17" t="s">
        <v>184</v>
      </c>
      <c r="AE620" s="26">
        <v>0.45833333333333331</v>
      </c>
      <c r="AF620" s="27"/>
      <c r="AG620" s="27"/>
      <c r="AI620" s="28" t="s">
        <v>228</v>
      </c>
    </row>
    <row r="621" spans="1:35" ht="34.950000000000003" customHeight="1" x14ac:dyDescent="0.4">
      <c r="A621" s="16" t="s">
        <v>71</v>
      </c>
      <c r="B621" s="16" t="s">
        <v>37</v>
      </c>
      <c r="C621" s="17">
        <v>46020</v>
      </c>
      <c r="D621" s="16" t="s">
        <v>155</v>
      </c>
      <c r="E621" s="16" t="s">
        <v>1951</v>
      </c>
      <c r="F621" s="16">
        <v>25597</v>
      </c>
      <c r="G621" s="18" t="s">
        <v>1952</v>
      </c>
      <c r="H621" s="16" t="s">
        <v>519</v>
      </c>
      <c r="I621" s="19" t="s">
        <v>42</v>
      </c>
      <c r="J621" s="16" t="str">
        <f>IFERROR(VLOOKUP(I621,[1]Sheet1!$A$1:$B$200,2,0),"_")</f>
        <v>P</v>
      </c>
      <c r="K621" s="19" t="s">
        <v>1354</v>
      </c>
      <c r="L621" s="16" t="str">
        <f>IFERROR(VLOOKUP(K621,[1]Sheet1!$A$1:$B$200,2,0),"-")</f>
        <v>MF</v>
      </c>
      <c r="M621" s="19" t="s">
        <v>251</v>
      </c>
      <c r="N621" s="16" t="str">
        <f>IFERROR(VLOOKUP(M621,[1]Sheet1!$G$2:$H$200,2,0),"-")</f>
        <v>SNKO</v>
      </c>
      <c r="O621" s="18" t="s">
        <v>55</v>
      </c>
      <c r="P621" s="17" t="s">
        <v>55</v>
      </c>
      <c r="Q621" s="20" t="s">
        <v>1953</v>
      </c>
      <c r="R621" s="20" t="s">
        <v>1954</v>
      </c>
      <c r="S621" s="21" t="str" cm="1">
        <f t="array" ref="S621">IF(
OR(AD621="",ISERROR(AD621)),
"-",
_xlfn.UNIQUE(_xlfn._xlws.FILTER([1]Sheet1!$D$2:$D$200,ISNUMBER(SEARCH(AD621,[1]Sheet1!$D$2:$D$200))))
)</f>
        <v>(주)유진로직스</v>
      </c>
      <c r="T621" s="22" t="s">
        <v>2482</v>
      </c>
      <c r="U621" s="16" t="str" cm="1">
        <f t="array" ref="U621">IF(
OR(AD621="",ISERROR(AD621)),
"-",
_xlfn.UNIQUE(_xlfn._xlws.FILTER([1]Sheet1!$D$2:$D$200,ISNUMBER(SEARCH(AD621,[1]Sheet1!$D$2:$D$200))))
)</f>
        <v>(주)유진로직스</v>
      </c>
      <c r="V621" s="23">
        <v>630000</v>
      </c>
      <c r="W621" s="23">
        <v>549000</v>
      </c>
      <c r="X621" s="23">
        <f t="shared" ref="X621:X625" si="22">V621-W621</f>
        <v>81000</v>
      </c>
      <c r="Y621" s="25" t="s">
        <v>2483</v>
      </c>
      <c r="Z621" s="19" t="s">
        <v>51</v>
      </c>
      <c r="AA621" s="19" t="s">
        <v>144</v>
      </c>
      <c r="AB621" s="18" t="s">
        <v>1957</v>
      </c>
      <c r="AC621" s="17" t="str">
        <f t="shared" si="20"/>
        <v>Y</v>
      </c>
      <c r="AD621" s="17" t="s">
        <v>70</v>
      </c>
      <c r="AE621" s="26" t="s">
        <v>1693</v>
      </c>
      <c r="AF621" s="27">
        <v>46020</v>
      </c>
      <c r="AG621" s="27">
        <v>46021</v>
      </c>
      <c r="AI621" s="28" t="s">
        <v>228</v>
      </c>
    </row>
    <row r="622" spans="1:35" s="28" customFormat="1" ht="36" customHeight="1" x14ac:dyDescent="0.4">
      <c r="A622" s="16" t="s">
        <v>36</v>
      </c>
      <c r="B622" s="16" t="s">
        <v>99</v>
      </c>
      <c r="C622" s="17">
        <v>46020</v>
      </c>
      <c r="D622" s="16" t="s">
        <v>188</v>
      </c>
      <c r="E622" s="16" t="s">
        <v>2484</v>
      </c>
      <c r="F622" s="16">
        <v>24995</v>
      </c>
      <c r="G622" s="18" t="s">
        <v>2485</v>
      </c>
      <c r="H622" s="16" t="s">
        <v>59</v>
      </c>
      <c r="I622" s="19" t="s">
        <v>60</v>
      </c>
      <c r="J622" s="16" t="str">
        <f>IFERROR(VLOOKUP(I622,[1]Sheet1!$A$1:$B$200,2,0),"_")</f>
        <v>KQ</v>
      </c>
      <c r="K622" s="19" t="s">
        <v>99</v>
      </c>
      <c r="L622" s="16" t="str">
        <f>IFERROR(VLOOKUP(K622,[1]Sheet1!$A$1:$B$200,2,0),"-")</f>
        <v>IX</v>
      </c>
      <c r="M622" s="19" t="s">
        <v>64</v>
      </c>
      <c r="N622" s="16" t="str">
        <f>IFERROR(VLOOKUP(M622,[1]Sheet1!$G$2:$H$200,2,0),"-")</f>
        <v>XXXX</v>
      </c>
      <c r="O622" s="18" t="s">
        <v>55</v>
      </c>
      <c r="P622" s="17" t="s">
        <v>55</v>
      </c>
      <c r="Q622" s="20" t="s">
        <v>2486</v>
      </c>
      <c r="R622" s="20" t="s">
        <v>2487</v>
      </c>
      <c r="S622" s="21" t="str" cm="1">
        <f t="array" ref="S622">IF(
OR(AD622="",ISERROR(AD622)),
"-",
_xlfn.UNIQUE(_xlfn._xlws.FILTER([1]Sheet1!$D$2:$D$200,ISNUMBER(SEARCH(AD622,[1]Sheet1!$D$2:$D$200))))
)</f>
        <v>(주)유진로직스</v>
      </c>
      <c r="T622" s="22" t="s">
        <v>2488</v>
      </c>
      <c r="U622" s="16" t="str" cm="1">
        <f t="array" ref="U622">IF(
OR(AD622="",ISERROR(AD622)),
"-",
_xlfn.UNIQUE(_xlfn._xlws.FILTER([1]Sheet1!$D$2:$D$200,ISNUMBER(SEARCH(AD622,[1]Sheet1!$D$2:$D$200))))
)</f>
        <v>(주)유진로직스</v>
      </c>
      <c r="V622" s="23">
        <v>130000</v>
      </c>
      <c r="W622" s="23">
        <v>110000</v>
      </c>
      <c r="X622" s="23">
        <f t="shared" si="22"/>
        <v>20000</v>
      </c>
      <c r="Y622" s="25" t="s">
        <v>2489</v>
      </c>
      <c r="Z622" s="19" t="s">
        <v>51</v>
      </c>
      <c r="AA622" s="19" t="s">
        <v>81</v>
      </c>
      <c r="AB622" s="18" t="s">
        <v>2490</v>
      </c>
      <c r="AC622" s="17" t="str">
        <f t="shared" si="20"/>
        <v>Y</v>
      </c>
      <c r="AD622" s="17" t="s">
        <v>70</v>
      </c>
      <c r="AE622" s="26">
        <v>0.66666666666666663</v>
      </c>
      <c r="AF622" s="27">
        <v>46020</v>
      </c>
      <c r="AG622" s="27">
        <v>46021</v>
      </c>
      <c r="AI622" s="28" t="s">
        <v>228</v>
      </c>
    </row>
    <row r="623" spans="1:35" s="28" customFormat="1" ht="36" customHeight="1" x14ac:dyDescent="0.4">
      <c r="A623" s="16" t="s">
        <v>36</v>
      </c>
      <c r="B623" s="16" t="s">
        <v>37</v>
      </c>
      <c r="C623" s="17">
        <v>46020</v>
      </c>
      <c r="D623" s="16" t="s">
        <v>126</v>
      </c>
      <c r="E623" s="16" t="s">
        <v>2491</v>
      </c>
      <c r="F623" s="16">
        <v>28942</v>
      </c>
      <c r="G623" s="18" t="s">
        <v>2492</v>
      </c>
      <c r="H623" s="16" t="s">
        <v>75</v>
      </c>
      <c r="I623" s="16" t="s">
        <v>2493</v>
      </c>
      <c r="J623" s="16" t="str">
        <f>IFERROR(VLOOKUP(I623,[1]Sheet1!$A$1:$B$200,2,0),"_")</f>
        <v>PP</v>
      </c>
      <c r="K623" s="19" t="s">
        <v>1413</v>
      </c>
      <c r="L623" s="16" t="str">
        <f>IFERROR(VLOOKUP(K623,[1]Sheet1!$A$1:$B$200,2,0),"-")</f>
        <v>IN</v>
      </c>
      <c r="M623" s="19" t="s">
        <v>221</v>
      </c>
      <c r="N623" s="16" t="str">
        <f>IFERROR(VLOOKUP(M623,[1]Sheet1!$G$2:$H$200,2,0),"-")</f>
        <v>DOOW</v>
      </c>
      <c r="O623" s="18" t="s">
        <v>55</v>
      </c>
      <c r="P623" s="17" t="s">
        <v>55</v>
      </c>
      <c r="Q623" s="20" t="s">
        <v>2494</v>
      </c>
      <c r="R623" s="20" t="s">
        <v>2495</v>
      </c>
      <c r="S623" s="21" t="str" cm="1">
        <f t="array" ref="S623">IF(
OR(AD623="",ISERROR(AD623)),
"-",
_xlfn.UNIQUE(_xlfn._xlws.FILTER([1]Sheet1!$D$2:$D$200,ISNUMBER(SEARCH(AD623,[1]Sheet1!$D$2:$D$200))))
)</f>
        <v>국양로지텍(주)</v>
      </c>
      <c r="T623" s="22" t="s">
        <v>2496</v>
      </c>
      <c r="U623" s="16" t="str" cm="1">
        <f t="array" ref="U623">IF(
OR(AD623="",ISERROR(AD623)),
"-",
_xlfn.UNIQUE(_xlfn._xlws.FILTER([1]Sheet1!$D$2:$D$200,ISNUMBER(SEARCH(AD623,[1]Sheet1!$D$2:$D$200))))
)</f>
        <v>국양로지텍(주)</v>
      </c>
      <c r="V623" s="23">
        <v>60000</v>
      </c>
      <c r="W623" s="23">
        <v>50000</v>
      </c>
      <c r="X623" s="23">
        <f t="shared" si="22"/>
        <v>10000</v>
      </c>
      <c r="Y623" s="25" t="s">
        <v>2497</v>
      </c>
      <c r="Z623" s="19" t="s">
        <v>51</v>
      </c>
      <c r="AA623" s="19" t="s">
        <v>81</v>
      </c>
      <c r="AB623" s="18" t="s">
        <v>2498</v>
      </c>
      <c r="AC623" s="17" t="str">
        <f t="shared" si="20"/>
        <v>Y</v>
      </c>
      <c r="AD623" s="17" t="s">
        <v>2499</v>
      </c>
      <c r="AE623" s="26" t="s">
        <v>1693</v>
      </c>
      <c r="AF623" s="27"/>
      <c r="AG623" s="27"/>
      <c r="AI623" s="28" t="s">
        <v>228</v>
      </c>
    </row>
    <row r="624" spans="1:35" s="28" customFormat="1" ht="36" customHeight="1" x14ac:dyDescent="0.4">
      <c r="A624" s="16" t="s">
        <v>36</v>
      </c>
      <c r="B624" s="16" t="s">
        <v>37</v>
      </c>
      <c r="C624" s="17">
        <v>46020</v>
      </c>
      <c r="D624" s="16" t="s">
        <v>126</v>
      </c>
      <c r="E624" s="16" t="s">
        <v>2491</v>
      </c>
      <c r="F624" s="16">
        <v>28942</v>
      </c>
      <c r="G624" s="18" t="s">
        <v>2492</v>
      </c>
      <c r="H624" s="16" t="s">
        <v>75</v>
      </c>
      <c r="I624" s="16" t="s">
        <v>2493</v>
      </c>
      <c r="J624" s="16" t="str">
        <f>IFERROR(VLOOKUP(I624,[1]Sheet1!$A$1:$B$200,2,0),"_")</f>
        <v>PP</v>
      </c>
      <c r="K624" s="19" t="s">
        <v>1413</v>
      </c>
      <c r="L624" s="16" t="str">
        <f>IFERROR(VLOOKUP(K624,[1]Sheet1!$A$1:$B$200,2,0),"-")</f>
        <v>IN</v>
      </c>
      <c r="M624" s="19" t="s">
        <v>221</v>
      </c>
      <c r="N624" s="16" t="str">
        <f>IFERROR(VLOOKUP(M624,[1]Sheet1!$G$2:$H$200,2,0),"-")</f>
        <v>DOOW</v>
      </c>
      <c r="O624" s="18" t="s">
        <v>55</v>
      </c>
      <c r="P624" s="17" t="s">
        <v>55</v>
      </c>
      <c r="Q624" s="20" t="s">
        <v>2494</v>
      </c>
      <c r="R624" s="20" t="s">
        <v>2495</v>
      </c>
      <c r="S624" s="21" t="str" cm="1">
        <f t="array" ref="S624">IF(
OR(AD624="",ISERROR(AD624)),
"-",
_xlfn.UNIQUE(_xlfn._xlws.FILTER([1]Sheet1!$D$2:$D$200,ISNUMBER(SEARCH(AD624,[1]Sheet1!$D$2:$D$200))))
)</f>
        <v>국양로지텍(주)</v>
      </c>
      <c r="T624" s="22" t="s">
        <v>2496</v>
      </c>
      <c r="U624" s="16" t="str" cm="1">
        <f t="array" ref="U624">IF(
OR(AD624="",ISERROR(AD624)),
"-",
_xlfn.UNIQUE(_xlfn._xlws.FILTER([1]Sheet1!$D$2:$D$200,ISNUMBER(SEARCH(AD624,[1]Sheet1!$D$2:$D$200))))
)</f>
        <v>국양로지텍(주)</v>
      </c>
      <c r="V624" s="23">
        <v>10000</v>
      </c>
      <c r="W624" s="23">
        <v>10000</v>
      </c>
      <c r="X624" s="23">
        <f t="shared" si="22"/>
        <v>0</v>
      </c>
      <c r="Y624" s="25" t="s">
        <v>2500</v>
      </c>
      <c r="Z624" s="19" t="s">
        <v>51</v>
      </c>
      <c r="AA624" s="19" t="s">
        <v>81</v>
      </c>
      <c r="AB624" s="18" t="s">
        <v>2498</v>
      </c>
      <c r="AC624" s="17" t="str">
        <f t="shared" si="20"/>
        <v>Y</v>
      </c>
      <c r="AD624" s="17" t="s">
        <v>2499</v>
      </c>
      <c r="AE624" s="26" t="s">
        <v>1693</v>
      </c>
      <c r="AF624" s="27"/>
      <c r="AG624" s="27"/>
      <c r="AI624" s="28" t="s">
        <v>228</v>
      </c>
    </row>
    <row r="625" spans="1:35" s="132" customFormat="1" ht="34.799999999999997" customHeight="1" x14ac:dyDescent="0.4">
      <c r="A625" s="120" t="s">
        <v>36</v>
      </c>
      <c r="B625" s="120" t="s">
        <v>37</v>
      </c>
      <c r="C625" s="121">
        <v>46021</v>
      </c>
      <c r="D625" s="120" t="s">
        <v>248</v>
      </c>
      <c r="E625" s="120" t="s">
        <v>536</v>
      </c>
      <c r="F625" s="120">
        <v>8577</v>
      </c>
      <c r="G625" s="122" t="s">
        <v>537</v>
      </c>
      <c r="H625" s="120" t="s">
        <v>59</v>
      </c>
      <c r="I625" s="123" t="s">
        <v>538</v>
      </c>
      <c r="J625" s="120" t="str">
        <f>IFERROR(VLOOKUP(I625,[1]Sheet1!$A$1:$B$200,2,0),"_")</f>
        <v>OS</v>
      </c>
      <c r="K625" s="123" t="s">
        <v>730</v>
      </c>
      <c r="L625" s="120" t="str">
        <f>IFERROR(VLOOKUP(K625,[1]Sheet1!$A$1:$B$200,2,0),"-")</f>
        <v>TG</v>
      </c>
      <c r="M625" s="123" t="s">
        <v>87</v>
      </c>
      <c r="N625" s="120" t="str">
        <f>IFERROR(VLOOKUP(M625,[1]Sheet1!$G$2:$H$200,2,0),"-")</f>
        <v>HDMU</v>
      </c>
      <c r="O625" s="122" t="s">
        <v>55</v>
      </c>
      <c r="P625" s="121" t="s">
        <v>55</v>
      </c>
      <c r="Q625" s="124"/>
      <c r="R625" s="124" t="s">
        <v>2501</v>
      </c>
      <c r="S625" s="125" t="str" cm="1">
        <f t="array" ref="S625">IF(
OR(AD625="",ISERROR(AD625)),
"-",
_xlfn.UNIQUE(_xlfn._xlws.FILTER([1]Sheet1!$D$2:$D$200,ISNUMBER(SEARCH(AD625,[1]Sheet1!$D$2:$D$200))))
)</f>
        <v>(주)유진로직스</v>
      </c>
      <c r="T625" s="126"/>
      <c r="U625" s="120" t="str" cm="1">
        <f t="array" ref="U625">IF(
OR(AD625="",ISERROR(AD625)),
"-",
_xlfn.UNIQUE(_xlfn._xlws.FILTER([1]Sheet1!$D$2:$D$200,ISNUMBER(SEARCH(AD625,[1]Sheet1!$D$2:$D$200))))
)</f>
        <v>(주)유진로직스</v>
      </c>
      <c r="V625" s="127"/>
      <c r="W625" s="127"/>
      <c r="X625" s="127">
        <f t="shared" si="22"/>
        <v>0</v>
      </c>
      <c r="Y625" s="128" t="s">
        <v>2260</v>
      </c>
      <c r="Z625" s="123"/>
      <c r="AA625" s="123" t="s">
        <v>144</v>
      </c>
      <c r="AB625" s="122" t="s">
        <v>2261</v>
      </c>
      <c r="AC625" s="121" t="str">
        <f t="shared" si="20"/>
        <v>Y</v>
      </c>
      <c r="AD625" s="121" t="s">
        <v>70</v>
      </c>
      <c r="AE625" s="129"/>
      <c r="AF625" s="130" t="s">
        <v>2502</v>
      </c>
      <c r="AG625" s="130" t="s">
        <v>2503</v>
      </c>
      <c r="AH625" s="131"/>
      <c r="AI625" s="131"/>
    </row>
    <row r="626" spans="1:35" s="131" customFormat="1" ht="34.950000000000003" customHeight="1" x14ac:dyDescent="0.4">
      <c r="A626" s="120" t="s">
        <v>36</v>
      </c>
      <c r="B626" s="120" t="s">
        <v>37</v>
      </c>
      <c r="C626" s="121">
        <v>46021</v>
      </c>
      <c r="D626" s="120" t="s">
        <v>109</v>
      </c>
      <c r="E626" s="120" t="s">
        <v>2504</v>
      </c>
      <c r="F626" s="120">
        <v>27795</v>
      </c>
      <c r="G626" s="122" t="s">
        <v>2505</v>
      </c>
      <c r="H626" s="120" t="s">
        <v>41</v>
      </c>
      <c r="I626" s="123" t="s">
        <v>42</v>
      </c>
      <c r="J626" s="120" t="str">
        <f>IFERROR(VLOOKUP(I626,[1]Sheet1!$A$1:$B$200,2,0),"_")</f>
        <v>P</v>
      </c>
      <c r="K626" s="123" t="s">
        <v>42</v>
      </c>
      <c r="L626" s="120" t="str">
        <f>IFERROR(VLOOKUP(K626,[1]Sheet1!$A$1:$B$200,2,0),"-")</f>
        <v>P</v>
      </c>
      <c r="M626" s="123" t="s">
        <v>251</v>
      </c>
      <c r="N626" s="120" t="str">
        <f>IFERROR(VLOOKUP(M626,[1]Sheet1!$G$2:$H$200,2,0),"-")</f>
        <v>SNKO</v>
      </c>
      <c r="O626" s="122" t="s">
        <v>2506</v>
      </c>
      <c r="P626" s="121">
        <v>46023</v>
      </c>
      <c r="Q626" s="124"/>
      <c r="R626" s="124"/>
      <c r="S626" s="125" t="str" cm="1">
        <f t="array" ref="S626">IF(
OR(AD626="",ISERROR(AD626)),
"-",
_xlfn.UNIQUE(_xlfn._xlws.FILTER([1]Sheet1!$D$2:$D$200,ISNUMBER(SEARCH(AD626,[1]Sheet1!$D$2:$D$200))))
)</f>
        <v>에스지로지스틱</v>
      </c>
      <c r="T626" s="126"/>
      <c r="U626" s="120" t="str" cm="1">
        <f t="array" ref="U626">IF(
OR(AD626="",ISERROR(AD626)),
"-",
_xlfn.UNIQUE(_xlfn._xlws.FILTER([1]Sheet1!$D$2:$D$200,ISNUMBER(SEARCH(AD626,[1]Sheet1!$D$2:$D$200))))
)</f>
        <v>에스지로지스틱</v>
      </c>
      <c r="V626" s="127">
        <v>260000</v>
      </c>
      <c r="W626" s="127">
        <v>239000</v>
      </c>
      <c r="X626" s="127">
        <f>V626-W626</f>
        <v>21000</v>
      </c>
      <c r="Y626" s="128" t="s">
        <v>2507</v>
      </c>
      <c r="Z626" s="123"/>
      <c r="AA626" s="123" t="s">
        <v>115</v>
      </c>
      <c r="AB626" s="133"/>
      <c r="AC626" s="121" t="str">
        <f>IF(AI626="ㅇ", "Y", IF(Z626="강다영", "", "Y"))</f>
        <v>Y</v>
      </c>
      <c r="AD626" s="121" t="s">
        <v>184</v>
      </c>
      <c r="AE626" s="129">
        <v>0.54166666666666663</v>
      </c>
      <c r="AF626" s="130"/>
      <c r="AG626" s="130"/>
    </row>
    <row r="627" spans="1:35" s="146" customFormat="1" ht="34.950000000000003" customHeight="1" x14ac:dyDescent="0.4">
      <c r="A627" s="134" t="s">
        <v>71</v>
      </c>
      <c r="B627" s="134" t="s">
        <v>37</v>
      </c>
      <c r="C627" s="135">
        <v>46021</v>
      </c>
      <c r="D627" s="134" t="s">
        <v>855</v>
      </c>
      <c r="E627" s="134" t="s">
        <v>934</v>
      </c>
      <c r="F627" s="134">
        <v>26969</v>
      </c>
      <c r="G627" s="136" t="s">
        <v>2508</v>
      </c>
      <c r="H627" s="134" t="s">
        <v>41</v>
      </c>
      <c r="I627" s="137" t="s">
        <v>42</v>
      </c>
      <c r="J627" s="134" t="str">
        <f>IFERROR(VLOOKUP(I627,[1]Sheet1!$A$1:$B$200,2,0),"_")</f>
        <v>P</v>
      </c>
      <c r="K627" s="137" t="s">
        <v>42</v>
      </c>
      <c r="L627" s="134" t="str">
        <f>IFERROR(VLOOKUP(K627,[1]Sheet1!$A$1:$B$200,2,0),"-")</f>
        <v>P</v>
      </c>
      <c r="M627" s="137" t="s">
        <v>151</v>
      </c>
      <c r="N627" s="134" t="str">
        <f>IFERROR(VLOOKUP(M627,[1]Sheet1!$G$2:$H$200,2,0),"-")</f>
        <v>NSSL</v>
      </c>
      <c r="O627" s="136" t="s">
        <v>55</v>
      </c>
      <c r="P627" s="135" t="s">
        <v>55</v>
      </c>
      <c r="Q627" s="138" t="s">
        <v>2509</v>
      </c>
      <c r="R627" s="138"/>
      <c r="S627" s="139" t="str" cm="1">
        <f t="array" ref="S627">IF(
OR(AD627="",ISERROR(AD627)),
"-",
_xlfn.UNIQUE(_xlfn._xlws.FILTER([1]Sheet1!$D$2:$D$200,ISNUMBER(SEARCH(AD627,[1]Sheet1!$D$2:$D$200))))
)</f>
        <v>(주)부강에너지</v>
      </c>
      <c r="T627" s="140" t="s">
        <v>765</v>
      </c>
      <c r="U627" s="134" t="str" cm="1">
        <f t="array" ref="U627">IF(
OR(AD627="",ISERROR(AD627)),
"-",
_xlfn.UNIQUE(_xlfn._xlws.FILTER([1]Sheet1!$D$2:$D$200,ISNUMBER(SEARCH(AD627,[1]Sheet1!$D$2:$D$200))))
)</f>
        <v>(주)부강에너지</v>
      </c>
      <c r="V627" s="141">
        <v>310000</v>
      </c>
      <c r="W627" s="141">
        <v>274000</v>
      </c>
      <c r="X627" s="141">
        <f t="shared" ref="X627:X690" si="23">V627-W627</f>
        <v>36000</v>
      </c>
      <c r="Y627" s="142" t="s">
        <v>2510</v>
      </c>
      <c r="Z627" s="137"/>
      <c r="AA627" s="137" t="s">
        <v>144</v>
      </c>
      <c r="AB627" s="136"/>
      <c r="AC627" s="135" t="str">
        <f t="shared" ref="AC627:AC690" si="24">IF(AI627="ㅇ", "Y", IF(Z627="강다영", "", "Y"))</f>
        <v>Y</v>
      </c>
      <c r="AD627" s="135" t="s">
        <v>197</v>
      </c>
      <c r="AE627" s="143">
        <v>0.35416666666666669</v>
      </c>
      <c r="AF627" s="144"/>
      <c r="AG627" s="144"/>
      <c r="AH627" s="145"/>
      <c r="AI627" s="145"/>
    </row>
    <row r="628" spans="1:35" s="146" customFormat="1" ht="34.950000000000003" customHeight="1" x14ac:dyDescent="0.4">
      <c r="A628" s="134" t="s">
        <v>71</v>
      </c>
      <c r="B628" s="134" t="s">
        <v>99</v>
      </c>
      <c r="C628" s="135">
        <v>46021</v>
      </c>
      <c r="D628" s="134" t="s">
        <v>126</v>
      </c>
      <c r="E628" s="134" t="s">
        <v>199</v>
      </c>
      <c r="F628" s="134">
        <v>22141</v>
      </c>
      <c r="G628" s="136" t="s">
        <v>1417</v>
      </c>
      <c r="H628" s="134" t="s">
        <v>41</v>
      </c>
      <c r="I628" s="137" t="s">
        <v>76</v>
      </c>
      <c r="J628" s="134" t="str">
        <f>IFERROR(VLOOKUP(I628,[1]Sheet1!$A$1:$B$200,2,0),"_")</f>
        <v>NJ</v>
      </c>
      <c r="K628" s="137" t="s">
        <v>76</v>
      </c>
      <c r="L628" s="134" t="str">
        <f>IFERROR(VLOOKUP(K628,[1]Sheet1!$A$1:$B$200,2,0),"-")</f>
        <v>NJ</v>
      </c>
      <c r="M628" s="137" t="s">
        <v>211</v>
      </c>
      <c r="N628" s="134" t="str">
        <f>IFERROR(VLOOKUP(M628,[1]Sheet1!$G$2:$H$200,2,0),"-")</f>
        <v>SITC</v>
      </c>
      <c r="O628" s="136" t="s">
        <v>55</v>
      </c>
      <c r="P628" s="135" t="s">
        <v>55</v>
      </c>
      <c r="Q628" s="138" t="s">
        <v>2511</v>
      </c>
      <c r="R628" s="138"/>
      <c r="S628" s="139" t="str" cm="1">
        <f t="array" ref="S628">IF(
OR(AD628="",ISERROR(AD628)),
"-",
_xlfn.UNIQUE(_xlfn._xlws.FILTER([1]Sheet1!$D$2:$D$200,ISNUMBER(SEARCH(AD628,[1]Sheet1!$D$2:$D$200))))
)</f>
        <v>로지아이솔루션</v>
      </c>
      <c r="T628" s="140" t="s">
        <v>2512</v>
      </c>
      <c r="U628" s="134" t="str" cm="1">
        <f t="array" ref="U628">IF(
OR(AD628="",ISERROR(AD628)),
"-",
_xlfn.UNIQUE(_xlfn._xlws.FILTER([1]Sheet1!$D$2:$D$200,ISNUMBER(SEARCH(AD628,[1]Sheet1!$D$2:$D$200))))
)</f>
        <v>로지아이솔루션</v>
      </c>
      <c r="V628" s="141">
        <v>270000</v>
      </c>
      <c r="W628" s="141">
        <v>259850</v>
      </c>
      <c r="X628" s="141">
        <f t="shared" si="23"/>
        <v>10150</v>
      </c>
      <c r="Y628" s="142" t="s">
        <v>2445</v>
      </c>
      <c r="Z628" s="137"/>
      <c r="AA628" s="137" t="s">
        <v>81</v>
      </c>
      <c r="AB628" s="142" t="s">
        <v>2513</v>
      </c>
      <c r="AC628" s="135" t="str">
        <f t="shared" si="24"/>
        <v>Y</v>
      </c>
      <c r="AD628" s="135" t="s">
        <v>206</v>
      </c>
      <c r="AE628" s="143">
        <v>0.35416666666666669</v>
      </c>
      <c r="AF628" s="144"/>
      <c r="AG628" s="144"/>
      <c r="AH628" s="145"/>
      <c r="AI628" s="145"/>
    </row>
    <row r="629" spans="1:35" s="132" customFormat="1" ht="34.950000000000003" customHeight="1" x14ac:dyDescent="0.4">
      <c r="A629" s="120" t="s">
        <v>36</v>
      </c>
      <c r="B629" s="120" t="s">
        <v>37</v>
      </c>
      <c r="C629" s="121">
        <v>46021</v>
      </c>
      <c r="D629" s="120" t="s">
        <v>1839</v>
      </c>
      <c r="E629" s="120" t="s">
        <v>1839</v>
      </c>
      <c r="F629" s="120">
        <v>28894</v>
      </c>
      <c r="G629" s="122" t="s">
        <v>2514</v>
      </c>
      <c r="H629" s="120" t="s">
        <v>41</v>
      </c>
      <c r="I629" s="123" t="s">
        <v>86</v>
      </c>
      <c r="J629" s="120" t="str">
        <f>IFERROR(VLOOKUP(I629,[1]Sheet1!$A$1:$B$200,2,0),"_")</f>
        <v>HP</v>
      </c>
      <c r="K629" s="123" t="s">
        <v>86</v>
      </c>
      <c r="L629" s="120" t="str">
        <f>IFERROR(VLOOKUP(K629,[1]Sheet1!$A$1:$B$200,2,0),"-")</f>
        <v>HP</v>
      </c>
      <c r="M629" s="123" t="s">
        <v>87</v>
      </c>
      <c r="N629" s="120" t="str">
        <f>IFERROR(VLOOKUP(M629,[1]Sheet1!$G$2:$H$200,2,0),"-")</f>
        <v>HDMU</v>
      </c>
      <c r="O629" s="122" t="s">
        <v>2515</v>
      </c>
      <c r="P629" s="121">
        <v>46025</v>
      </c>
      <c r="Q629" s="124"/>
      <c r="R629" s="124"/>
      <c r="S629" s="125" t="str" cm="1">
        <f t="array" ref="S629">IF(
OR(AD629="",ISERROR(AD629)),
"-",
_xlfn.UNIQUE(_xlfn._xlws.FILTER([1]Sheet1!$D$2:$D$200,ISNUMBER(SEARCH(AD629,[1]Sheet1!$D$2:$D$200))))
)</f>
        <v>(주)부강에너지</v>
      </c>
      <c r="T629" s="126" t="s">
        <v>2516</v>
      </c>
      <c r="U629" s="120" t="str" cm="1">
        <f t="array" ref="U629">IF(
OR(AD629="",ISERROR(AD629)),
"-",
_xlfn.UNIQUE(_xlfn._xlws.FILTER([1]Sheet1!$D$2:$D$200,ISNUMBER(SEARCH(AD629,[1]Sheet1!$D$2:$D$200))))
)</f>
        <v>(주)부강에너지</v>
      </c>
      <c r="V629" s="127">
        <v>290000</v>
      </c>
      <c r="W629" s="127">
        <v>256100</v>
      </c>
      <c r="X629" s="127">
        <f t="shared" si="23"/>
        <v>33900</v>
      </c>
      <c r="Y629" s="128" t="s">
        <v>2517</v>
      </c>
      <c r="Z629" s="123"/>
      <c r="AA629" s="123" t="s">
        <v>51</v>
      </c>
      <c r="AB629" s="122" t="s">
        <v>2518</v>
      </c>
      <c r="AC629" s="121" t="str">
        <f t="shared" si="24"/>
        <v>Y</v>
      </c>
      <c r="AD629" s="121" t="s">
        <v>197</v>
      </c>
      <c r="AE629" s="129">
        <v>0.41666666666666669</v>
      </c>
      <c r="AF629" s="130"/>
      <c r="AG629" s="130"/>
      <c r="AH629" s="131"/>
      <c r="AI629" s="131"/>
    </row>
    <row r="630" spans="1:35" s="132" customFormat="1" ht="34.950000000000003" customHeight="1" x14ac:dyDescent="0.4">
      <c r="A630" s="120" t="s">
        <v>36</v>
      </c>
      <c r="B630" s="120" t="s">
        <v>37</v>
      </c>
      <c r="C630" s="121">
        <v>46021</v>
      </c>
      <c r="D630" s="120" t="s">
        <v>1839</v>
      </c>
      <c r="E630" s="120" t="s">
        <v>1839</v>
      </c>
      <c r="F630" s="120">
        <v>28894</v>
      </c>
      <c r="G630" s="122" t="s">
        <v>2514</v>
      </c>
      <c r="H630" s="120" t="s">
        <v>41</v>
      </c>
      <c r="I630" s="123" t="s">
        <v>86</v>
      </c>
      <c r="J630" s="120" t="str">
        <f>IFERROR(VLOOKUP(I630,[1]Sheet1!$A$1:$B$200,2,0),"_")</f>
        <v>HP</v>
      </c>
      <c r="K630" s="123" t="s">
        <v>86</v>
      </c>
      <c r="L630" s="120" t="str">
        <f>IFERROR(VLOOKUP(K630,[1]Sheet1!$A$1:$B$200,2,0),"-")</f>
        <v>HP</v>
      </c>
      <c r="M630" s="123" t="s">
        <v>87</v>
      </c>
      <c r="N630" s="120" t="str">
        <f>IFERROR(VLOOKUP(M630,[1]Sheet1!$G$2:$H$200,2,0),"-")</f>
        <v>HDMU</v>
      </c>
      <c r="O630" s="122" t="s">
        <v>2515</v>
      </c>
      <c r="P630" s="121">
        <v>46025</v>
      </c>
      <c r="Q630" s="124"/>
      <c r="R630" s="124"/>
      <c r="S630" s="125" t="str" cm="1">
        <f t="array" ref="S630">IF(
OR(AD630="",ISERROR(AD630)),
"-",
_xlfn.UNIQUE(_xlfn._xlws.FILTER([1]Sheet1!$D$2:$D$200,ISNUMBER(SEARCH(AD630,[1]Sheet1!$D$2:$D$200))))
)</f>
        <v>(주)부강에너지</v>
      </c>
      <c r="T630" s="126" t="s">
        <v>2516</v>
      </c>
      <c r="U630" s="120" t="str" cm="1">
        <f t="array" ref="U630">IF(
OR(AD630="",ISERROR(AD630)),
"-",
_xlfn.UNIQUE(_xlfn._xlws.FILTER([1]Sheet1!$D$2:$D$200,ISNUMBER(SEARCH(AD630,[1]Sheet1!$D$2:$D$200))))
)</f>
        <v>(주)부강에너지</v>
      </c>
      <c r="V630" s="127">
        <v>15000</v>
      </c>
      <c r="W630" s="127">
        <v>10000</v>
      </c>
      <c r="X630" s="127">
        <f t="shared" si="23"/>
        <v>5000</v>
      </c>
      <c r="Y630" s="128" t="s">
        <v>2517</v>
      </c>
      <c r="Z630" s="123"/>
      <c r="AA630" s="123" t="s">
        <v>51</v>
      </c>
      <c r="AB630" s="122" t="s">
        <v>2518</v>
      </c>
      <c r="AC630" s="121" t="str">
        <f t="shared" si="24"/>
        <v>Y</v>
      </c>
      <c r="AD630" s="121" t="s">
        <v>197</v>
      </c>
      <c r="AE630" s="129">
        <v>0.41666666666666669</v>
      </c>
      <c r="AF630" s="130"/>
      <c r="AG630" s="130"/>
      <c r="AH630" s="131"/>
      <c r="AI630" s="131"/>
    </row>
    <row r="631" spans="1:35" s="146" customFormat="1" ht="34.950000000000003" customHeight="1" x14ac:dyDescent="0.4">
      <c r="A631" s="134" t="s">
        <v>36</v>
      </c>
      <c r="B631" s="134" t="s">
        <v>37</v>
      </c>
      <c r="C631" s="135">
        <v>46021</v>
      </c>
      <c r="D631" s="134" t="s">
        <v>229</v>
      </c>
      <c r="E631" s="134" t="s">
        <v>229</v>
      </c>
      <c r="F631" s="134">
        <v>3641</v>
      </c>
      <c r="G631" s="136" t="s">
        <v>1933</v>
      </c>
      <c r="H631" s="134" t="s">
        <v>75</v>
      </c>
      <c r="I631" s="137" t="s">
        <v>137</v>
      </c>
      <c r="J631" s="134" t="str">
        <f>IFERROR(VLOOKUP(I631,[1]Sheet1!$A$1:$B$200,2,0),"_")</f>
        <v>BE</v>
      </c>
      <c r="K631" s="137" t="s">
        <v>751</v>
      </c>
      <c r="L631" s="134" t="str">
        <f>IFERROR(VLOOKUP(K631,[1]Sheet1!$A$1:$B$200,2,0),"-")</f>
        <v>PN</v>
      </c>
      <c r="M631" s="137" t="s">
        <v>2519</v>
      </c>
      <c r="N631" s="134" t="str">
        <f>IFERROR(VLOOKUP(M631,[1]Sheet1!$G$2:$H$200,2,0),"-")</f>
        <v>HLCU</v>
      </c>
      <c r="O631" s="136" t="s">
        <v>2520</v>
      </c>
      <c r="P631" s="135">
        <v>46029</v>
      </c>
      <c r="Q631" s="138" t="s">
        <v>2521</v>
      </c>
      <c r="R631" s="138" t="s">
        <v>2522</v>
      </c>
      <c r="S631" s="139" t="str" cm="1">
        <f t="array" ref="S631">IF(
OR(AD631="",ISERROR(AD631)),
"-",
_xlfn.UNIQUE(_xlfn._xlws.FILTER([1]Sheet1!$D$2:$D$200,ISNUMBER(SEARCH(AD631,[1]Sheet1!$D$2:$D$200))))
)</f>
        <v>양양운수(주)</v>
      </c>
      <c r="T631" s="140" t="s">
        <v>235</v>
      </c>
      <c r="U631" s="134" t="str" cm="1">
        <f t="array" ref="U631">IF(
OR(AD631="",ISERROR(AD631)),
"-",
_xlfn.UNIQUE(_xlfn._xlws.FILTER([1]Sheet1!$D$2:$D$200,ISNUMBER(SEARCH(AD631,[1]Sheet1!$D$2:$D$200))))
)</f>
        <v>양양운수(주)</v>
      </c>
      <c r="V631" s="141">
        <v>860000</v>
      </c>
      <c r="W631" s="141">
        <v>770800</v>
      </c>
      <c r="X631" s="141">
        <f t="shared" si="23"/>
        <v>89200</v>
      </c>
      <c r="Y631" s="142" t="s">
        <v>2523</v>
      </c>
      <c r="Z631" s="137"/>
      <c r="AA631" s="137" t="s">
        <v>81</v>
      </c>
      <c r="AB631" s="136" t="s">
        <v>2524</v>
      </c>
      <c r="AC631" s="135" t="str">
        <f t="shared" si="24"/>
        <v>Y</v>
      </c>
      <c r="AD631" s="135" t="s">
        <v>619</v>
      </c>
      <c r="AE631" s="143">
        <v>0.39583333333333331</v>
      </c>
      <c r="AF631" s="144"/>
      <c r="AG631" s="144"/>
      <c r="AH631" s="145"/>
      <c r="AI631" s="145"/>
    </row>
    <row r="632" spans="1:35" s="146" customFormat="1" ht="34.950000000000003" customHeight="1" x14ac:dyDescent="0.4">
      <c r="A632" s="134" t="s">
        <v>36</v>
      </c>
      <c r="B632" s="134" t="s">
        <v>37</v>
      </c>
      <c r="C632" s="135">
        <v>46021</v>
      </c>
      <c r="D632" s="134" t="s">
        <v>229</v>
      </c>
      <c r="E632" s="134" t="s">
        <v>229</v>
      </c>
      <c r="F632" s="134">
        <v>3641</v>
      </c>
      <c r="G632" s="136" t="s">
        <v>1933</v>
      </c>
      <c r="H632" s="134" t="s">
        <v>75</v>
      </c>
      <c r="I632" s="137" t="s">
        <v>137</v>
      </c>
      <c r="J632" s="134" t="str">
        <f>IFERROR(VLOOKUP(I632,[1]Sheet1!$A$1:$B$200,2,0),"_")</f>
        <v>BE</v>
      </c>
      <c r="K632" s="137" t="s">
        <v>751</v>
      </c>
      <c r="L632" s="134" t="str">
        <f>IFERROR(VLOOKUP(K632,[1]Sheet1!$A$1:$B$200,2,0),"-")</f>
        <v>PN</v>
      </c>
      <c r="M632" s="137" t="s">
        <v>2519</v>
      </c>
      <c r="N632" s="134" t="str">
        <f>IFERROR(VLOOKUP(M632,[1]Sheet1!$G$2:$H$200,2,0),"-")</f>
        <v>HLCU</v>
      </c>
      <c r="O632" s="136" t="s">
        <v>2520</v>
      </c>
      <c r="P632" s="135">
        <v>46029</v>
      </c>
      <c r="Q632" s="138" t="s">
        <v>2521</v>
      </c>
      <c r="R632" s="138" t="s">
        <v>2522</v>
      </c>
      <c r="S632" s="139" t="str" cm="1">
        <f t="array" ref="S632">IF(
OR(AD632="",ISERROR(AD632)),
"-",
_xlfn.UNIQUE(_xlfn._xlws.FILTER([1]Sheet1!$D$2:$D$200,ISNUMBER(SEARCH(AD632,[1]Sheet1!$D$2:$D$200))))
)</f>
        <v>양양운수(주)</v>
      </c>
      <c r="T632" s="140" t="s">
        <v>235</v>
      </c>
      <c r="U632" s="134" t="str" cm="1">
        <f t="array" ref="U632">IF(
OR(AD632="",ISERROR(AD632)),
"-",
_xlfn.UNIQUE(_xlfn._xlws.FILTER([1]Sheet1!$D$2:$D$200,ISNUMBER(SEARCH(AD632,[1]Sheet1!$D$2:$D$200))))
)</f>
        <v>양양운수(주)</v>
      </c>
      <c r="V632" s="141">
        <v>860000</v>
      </c>
      <c r="W632" s="141">
        <v>770800</v>
      </c>
      <c r="X632" s="141">
        <f t="shared" si="23"/>
        <v>89200</v>
      </c>
      <c r="Y632" s="142" t="s">
        <v>2525</v>
      </c>
      <c r="Z632" s="137"/>
      <c r="AA632" s="137" t="s">
        <v>81</v>
      </c>
      <c r="AB632" s="136" t="s">
        <v>2524</v>
      </c>
      <c r="AC632" s="135" t="str">
        <f t="shared" si="24"/>
        <v>Y</v>
      </c>
      <c r="AD632" s="135" t="s">
        <v>619</v>
      </c>
      <c r="AE632" s="143">
        <v>0.39583333333333331</v>
      </c>
      <c r="AF632" s="144"/>
      <c r="AG632" s="144"/>
      <c r="AH632" s="145"/>
      <c r="AI632" s="145"/>
    </row>
    <row r="633" spans="1:35" s="146" customFormat="1" ht="34.950000000000003" customHeight="1" x14ac:dyDescent="0.4">
      <c r="A633" s="134" t="s">
        <v>36</v>
      </c>
      <c r="B633" s="134" t="s">
        <v>37</v>
      </c>
      <c r="C633" s="135">
        <v>46021</v>
      </c>
      <c r="D633" s="134" t="s">
        <v>229</v>
      </c>
      <c r="E633" s="134" t="s">
        <v>2526</v>
      </c>
      <c r="F633" s="134">
        <v>3641</v>
      </c>
      <c r="G633" s="136" t="s">
        <v>2527</v>
      </c>
      <c r="H633" s="134" t="s">
        <v>41</v>
      </c>
      <c r="I633" s="137" t="s">
        <v>137</v>
      </c>
      <c r="J633" s="134" t="str">
        <f>IFERROR(VLOOKUP(I633,[1]Sheet1!$A$1:$B$200,2,0),"_")</f>
        <v>BE</v>
      </c>
      <c r="K633" s="137" t="s">
        <v>42</v>
      </c>
      <c r="L633" s="134" t="str">
        <f>IFERROR(VLOOKUP(K633,[1]Sheet1!$A$1:$B$200,2,0),"-")</f>
        <v>P</v>
      </c>
      <c r="M633" s="137" t="s">
        <v>191</v>
      </c>
      <c r="N633" s="134" t="str">
        <f>IFERROR(VLOOKUP(M633,[1]Sheet1!$G$2:$H$200,2,0),"-")</f>
        <v>HASL</v>
      </c>
      <c r="O633" s="136" t="s">
        <v>2308</v>
      </c>
      <c r="P633" s="135">
        <v>46024</v>
      </c>
      <c r="Q633" s="138" t="s">
        <v>2528</v>
      </c>
      <c r="R633" s="138" t="s">
        <v>2529</v>
      </c>
      <c r="S633" s="139" t="str" cm="1">
        <f t="array" ref="S633">IF(
OR(AD633="",ISERROR(AD633)),
"-",
_xlfn.UNIQUE(_xlfn._xlws.FILTER([1]Sheet1!$D$2:$D$200,ISNUMBER(SEARCH(AD633,[1]Sheet1!$D$2:$D$200))))
)</f>
        <v>양양운수(주)</v>
      </c>
      <c r="T633" s="140" t="s">
        <v>2530</v>
      </c>
      <c r="U633" s="134" t="str" cm="1">
        <f t="array" ref="U633">IF(
OR(AD633="",ISERROR(AD633)),
"-",
_xlfn.UNIQUE(_xlfn._xlws.FILTER([1]Sheet1!$D$2:$D$200,ISNUMBER(SEARCH(AD633,[1]Sheet1!$D$2:$D$200))))
)</f>
        <v>양양운수(주)</v>
      </c>
      <c r="V633" s="141">
        <v>455000</v>
      </c>
      <c r="W633" s="141">
        <v>412150</v>
      </c>
      <c r="X633" s="141">
        <f t="shared" si="23"/>
        <v>42850</v>
      </c>
      <c r="Y633" s="142" t="s">
        <v>2531</v>
      </c>
      <c r="Z633" s="137"/>
      <c r="AA633" s="137" t="s">
        <v>81</v>
      </c>
      <c r="AB633" s="136" t="s">
        <v>2532</v>
      </c>
      <c r="AC633" s="135" t="str">
        <f t="shared" si="24"/>
        <v>Y</v>
      </c>
      <c r="AD633" s="135" t="s">
        <v>619</v>
      </c>
      <c r="AE633" s="143">
        <v>0.375</v>
      </c>
      <c r="AF633" s="144"/>
      <c r="AG633" s="144"/>
      <c r="AH633" s="145"/>
      <c r="AI633" s="145"/>
    </row>
    <row r="634" spans="1:35" s="146" customFormat="1" ht="34.950000000000003" customHeight="1" x14ac:dyDescent="0.4">
      <c r="A634" s="134" t="s">
        <v>36</v>
      </c>
      <c r="B634" s="134" t="s">
        <v>37</v>
      </c>
      <c r="C634" s="135">
        <v>46021</v>
      </c>
      <c r="D634" s="134" t="s">
        <v>611</v>
      </c>
      <c r="E634" s="134" t="s">
        <v>2526</v>
      </c>
      <c r="F634" s="134">
        <v>3017</v>
      </c>
      <c r="G634" s="136" t="s">
        <v>1020</v>
      </c>
      <c r="H634" s="134" t="s">
        <v>41</v>
      </c>
      <c r="I634" s="137" t="s">
        <v>137</v>
      </c>
      <c r="J634" s="134" t="str">
        <f>IFERROR(VLOOKUP(I634,[1]Sheet1!$A$1:$B$200,2,0),"_")</f>
        <v>BE</v>
      </c>
      <c r="K634" s="137" t="s">
        <v>42</v>
      </c>
      <c r="L634" s="134" t="str">
        <f>IFERROR(VLOOKUP(K634,[1]Sheet1!$A$1:$B$200,2,0),"-")</f>
        <v>P</v>
      </c>
      <c r="M634" s="137" t="s">
        <v>191</v>
      </c>
      <c r="N634" s="134" t="str">
        <f>IFERROR(VLOOKUP(M634,[1]Sheet1!$G$2:$H$200,2,0),"-")</f>
        <v>HASL</v>
      </c>
      <c r="O634" s="136" t="s">
        <v>2308</v>
      </c>
      <c r="P634" s="135">
        <v>46024</v>
      </c>
      <c r="Q634" s="138" t="s">
        <v>2528</v>
      </c>
      <c r="R634" s="138" t="s">
        <v>2529</v>
      </c>
      <c r="S634" s="139" t="str" cm="1">
        <f t="array" ref="S634">IF(
OR(AD634="",ISERROR(AD634)),
"-",
_xlfn.UNIQUE(_xlfn._xlws.FILTER([1]Sheet1!$D$2:$D$200,ISNUMBER(SEARCH(AD634,[1]Sheet1!$D$2:$D$200))))
)</f>
        <v>양양운수(주)</v>
      </c>
      <c r="T634" s="140" t="s">
        <v>2530</v>
      </c>
      <c r="U634" s="134" t="str" cm="1">
        <f t="array" ref="U634">IF(
OR(AD634="",ISERROR(AD634)),
"-",
_xlfn.UNIQUE(_xlfn._xlws.FILTER([1]Sheet1!$D$2:$D$200,ISNUMBER(SEARCH(AD634,[1]Sheet1!$D$2:$D$200))))
)</f>
        <v>양양운수(주)</v>
      </c>
      <c r="V634" s="141">
        <v>455000</v>
      </c>
      <c r="W634" s="141">
        <v>412150</v>
      </c>
      <c r="X634" s="141">
        <f t="shared" si="23"/>
        <v>42850</v>
      </c>
      <c r="Y634" s="142" t="s">
        <v>2531</v>
      </c>
      <c r="Z634" s="137"/>
      <c r="AA634" s="137" t="s">
        <v>81</v>
      </c>
      <c r="AB634" s="136" t="s">
        <v>2532</v>
      </c>
      <c r="AC634" s="135" t="str">
        <f t="shared" si="24"/>
        <v>Y</v>
      </c>
      <c r="AD634" s="135" t="s">
        <v>619</v>
      </c>
      <c r="AE634" s="143">
        <v>0.375</v>
      </c>
      <c r="AF634" s="144"/>
      <c r="AG634" s="144"/>
      <c r="AH634" s="145"/>
      <c r="AI634" s="145"/>
    </row>
    <row r="635" spans="1:35" s="146" customFormat="1" ht="34.950000000000003" customHeight="1" x14ac:dyDescent="0.4">
      <c r="A635" s="134" t="s">
        <v>36</v>
      </c>
      <c r="B635" s="134" t="s">
        <v>37</v>
      </c>
      <c r="C635" s="135">
        <v>46021</v>
      </c>
      <c r="D635" s="134" t="s">
        <v>188</v>
      </c>
      <c r="E635" s="134" t="s">
        <v>189</v>
      </c>
      <c r="F635" s="134">
        <v>18153</v>
      </c>
      <c r="G635" s="136" t="s">
        <v>2533</v>
      </c>
      <c r="H635" s="134" t="s">
        <v>75</v>
      </c>
      <c r="I635" s="137" t="s">
        <v>42</v>
      </c>
      <c r="J635" s="134" t="str">
        <f>IFERROR(VLOOKUP(I635,[1]Sheet1!$A$1:$B$200,2,0),"_")</f>
        <v>P</v>
      </c>
      <c r="K635" s="137" t="s">
        <v>42</v>
      </c>
      <c r="L635" s="134" t="str">
        <f>IFERROR(VLOOKUP(K635,[1]Sheet1!$A$1:$B$200,2,0),"-")</f>
        <v>P</v>
      </c>
      <c r="M635" s="137" t="s">
        <v>191</v>
      </c>
      <c r="N635" s="134" t="str">
        <f>IFERROR(VLOOKUP(M635,[1]Sheet1!$G$2:$H$200,2,0),"-")</f>
        <v>HASL</v>
      </c>
      <c r="O635" s="136" t="s">
        <v>2534</v>
      </c>
      <c r="P635" s="135">
        <v>46027</v>
      </c>
      <c r="Q635" s="138" t="s">
        <v>2535</v>
      </c>
      <c r="R635" s="138" t="s">
        <v>2536</v>
      </c>
      <c r="S635" s="139" t="str" cm="1">
        <f t="array" ref="S635">IF(
OR(AD635="",ISERROR(AD635)),
"-",
_xlfn.UNIQUE(_xlfn._xlws.FILTER([1]Sheet1!$D$2:$D$200,ISNUMBER(SEARCH(AD635,[1]Sheet1!$D$2:$D$200))))
)</f>
        <v>에스더블유로지스틱스</v>
      </c>
      <c r="T635" s="140" t="s">
        <v>2537</v>
      </c>
      <c r="U635" s="134" t="str" cm="1">
        <f t="array" ref="U635">IF(
OR(AD635="",ISERROR(AD635)),
"-",
_xlfn.UNIQUE(_xlfn._xlws.FILTER([1]Sheet1!$D$2:$D$200,ISNUMBER(SEARCH(AD635,[1]Sheet1!$D$2:$D$200))))
)</f>
        <v>에스더블유로지스틱스</v>
      </c>
      <c r="V635" s="141">
        <v>220000</v>
      </c>
      <c r="W635" s="141">
        <v>171000</v>
      </c>
      <c r="X635" s="141">
        <f t="shared" si="23"/>
        <v>49000</v>
      </c>
      <c r="Y635" s="142" t="s">
        <v>2538</v>
      </c>
      <c r="Z635" s="137"/>
      <c r="AA635" s="137" t="s">
        <v>81</v>
      </c>
      <c r="AB635" s="136" t="s">
        <v>2539</v>
      </c>
      <c r="AC635" s="135" t="str">
        <f t="shared" si="24"/>
        <v>Y</v>
      </c>
      <c r="AD635" s="135" t="s">
        <v>1200</v>
      </c>
      <c r="AE635" s="143">
        <v>0.375</v>
      </c>
      <c r="AF635" s="144"/>
      <c r="AG635" s="144"/>
      <c r="AH635" s="145"/>
      <c r="AI635" s="145"/>
    </row>
    <row r="636" spans="1:35" s="146" customFormat="1" ht="34.950000000000003" customHeight="1" x14ac:dyDescent="0.4">
      <c r="A636" s="134" t="s">
        <v>36</v>
      </c>
      <c r="B636" s="134" t="s">
        <v>37</v>
      </c>
      <c r="C636" s="135">
        <v>46021</v>
      </c>
      <c r="D636" s="134" t="s">
        <v>261</v>
      </c>
      <c r="E636" s="134" t="s">
        <v>2540</v>
      </c>
      <c r="F636" s="134">
        <v>28731</v>
      </c>
      <c r="G636" s="136" t="s">
        <v>2541</v>
      </c>
      <c r="H636" s="134" t="s">
        <v>75</v>
      </c>
      <c r="I636" s="137" t="s">
        <v>1413</v>
      </c>
      <c r="J636" s="134" t="str">
        <f>IFERROR(VLOOKUP(I636,[1]Sheet1!$A$1:$B$200,2,0),"_")</f>
        <v>IN</v>
      </c>
      <c r="K636" s="137" t="s">
        <v>1413</v>
      </c>
      <c r="L636" s="134" t="str">
        <f>IFERROR(VLOOKUP(K636,[1]Sheet1!$A$1:$B$200,2,0),"-")</f>
        <v>IN</v>
      </c>
      <c r="M636" s="137" t="s">
        <v>221</v>
      </c>
      <c r="N636" s="134" t="str">
        <f>IFERROR(VLOOKUP(M636,[1]Sheet1!$G$2:$H$200,2,0),"-")</f>
        <v>DOOW</v>
      </c>
      <c r="O636" s="136" t="s">
        <v>2542</v>
      </c>
      <c r="P636" s="135">
        <v>46022</v>
      </c>
      <c r="Q636" s="138" t="s">
        <v>2543</v>
      </c>
      <c r="R636" s="138" t="s">
        <v>2544</v>
      </c>
      <c r="S636" s="139" t="str" cm="1">
        <f t="array" ref="S636">IF(
OR(AD636="",ISERROR(AD636)),
"-",
_xlfn.UNIQUE(_xlfn._xlws.FILTER([1]Sheet1!$D$2:$D$200,ISNUMBER(SEARCH(AD636,[1]Sheet1!$D$2:$D$200))))
)</f>
        <v>에스지로지스틱</v>
      </c>
      <c r="T636" s="140" t="s">
        <v>2545</v>
      </c>
      <c r="U636" s="134" t="str" cm="1">
        <f t="array" ref="U636">IF(
OR(AD636="",ISERROR(AD636)),
"-",
_xlfn.UNIQUE(_xlfn._xlws.FILTER([1]Sheet1!$D$2:$D$200,ISNUMBER(SEARCH(AD636,[1]Sheet1!$D$2:$D$200))))
)</f>
        <v>에스지로지스틱</v>
      </c>
      <c r="V636" s="141">
        <v>342000</v>
      </c>
      <c r="W636" s="141">
        <v>313300</v>
      </c>
      <c r="X636" s="141">
        <f t="shared" si="23"/>
        <v>28700</v>
      </c>
      <c r="Y636" s="142" t="s">
        <v>2546</v>
      </c>
      <c r="Z636" s="137"/>
      <c r="AA636" s="137" t="s">
        <v>93</v>
      </c>
      <c r="AB636" s="136" t="s">
        <v>2547</v>
      </c>
      <c r="AC636" s="135" t="str">
        <f t="shared" si="24"/>
        <v>Y</v>
      </c>
      <c r="AD636" s="135" t="s">
        <v>184</v>
      </c>
      <c r="AE636" s="143">
        <v>0.375</v>
      </c>
      <c r="AF636" s="144"/>
      <c r="AG636" s="144"/>
      <c r="AH636" s="145"/>
      <c r="AI636" s="145"/>
    </row>
    <row r="637" spans="1:35" s="146" customFormat="1" ht="34.950000000000003" customHeight="1" x14ac:dyDescent="0.4">
      <c r="A637" s="134" t="s">
        <v>71</v>
      </c>
      <c r="B637" s="134" t="s">
        <v>37</v>
      </c>
      <c r="C637" s="135">
        <v>46021</v>
      </c>
      <c r="D637" s="134" t="s">
        <v>2548</v>
      </c>
      <c r="E637" s="134" t="s">
        <v>2549</v>
      </c>
      <c r="F637" s="134">
        <v>28577</v>
      </c>
      <c r="G637" s="136" t="s">
        <v>2550</v>
      </c>
      <c r="H637" s="134" t="s">
        <v>41</v>
      </c>
      <c r="I637" s="137" t="s">
        <v>328</v>
      </c>
      <c r="J637" s="134" t="str">
        <f>IFERROR(VLOOKUP(I637,[1]Sheet1!$A$1:$B$200,2,0),"_")</f>
        <v>BT</v>
      </c>
      <c r="K637" s="137" t="s">
        <v>328</v>
      </c>
      <c r="L637" s="134" t="str">
        <f>IFERROR(VLOOKUP(K637,[1]Sheet1!$A$1:$B$200,2,0),"-")</f>
        <v>BT</v>
      </c>
      <c r="M637" s="137" t="s">
        <v>211</v>
      </c>
      <c r="N637" s="134" t="str">
        <f>IFERROR(VLOOKUP(M637,[1]Sheet1!$G$2:$H$200,2,0),"-")</f>
        <v>SITC</v>
      </c>
      <c r="O637" s="136" t="s">
        <v>55</v>
      </c>
      <c r="P637" s="135" t="s">
        <v>55</v>
      </c>
      <c r="Q637" s="138" t="s">
        <v>2551</v>
      </c>
      <c r="R637" s="138"/>
      <c r="S637" s="139" t="str" cm="1">
        <f t="array" ref="S637">IF(
OR(AD637="",ISERROR(AD637)),
"-",
_xlfn.UNIQUE(_xlfn._xlws.FILTER([1]Sheet1!$D$2:$D$200,ISNUMBER(SEARCH(AD637,[1]Sheet1!$D$2:$D$200))))
)</f>
        <v>백승운수</v>
      </c>
      <c r="T637" s="140" t="s">
        <v>650</v>
      </c>
      <c r="U637" s="134" t="str" cm="1">
        <f t="array" ref="U637">IF(
OR(AD637="",ISERROR(AD637)),
"-",
_xlfn.UNIQUE(_xlfn._xlws.FILTER([1]Sheet1!$D$2:$D$200,ISNUMBER(SEARCH(AD637,[1]Sheet1!$D$2:$D$200))))
)</f>
        <v>백승운수</v>
      </c>
      <c r="V637" s="141">
        <v>720000</v>
      </c>
      <c r="W637" s="141">
        <v>682000</v>
      </c>
      <c r="X637" s="141">
        <f t="shared" si="23"/>
        <v>38000</v>
      </c>
      <c r="Y637" s="142" t="s">
        <v>2552</v>
      </c>
      <c r="Z637" s="137"/>
      <c r="AA637" s="137" t="s">
        <v>115</v>
      </c>
      <c r="AB637" s="136"/>
      <c r="AC637" s="135" t="str">
        <f t="shared" si="24"/>
        <v>Y</v>
      </c>
      <c r="AD637" s="135" t="s">
        <v>95</v>
      </c>
      <c r="AE637" s="143">
        <v>0.375</v>
      </c>
      <c r="AF637" s="144"/>
      <c r="AG637" s="144"/>
      <c r="AH637" s="145"/>
      <c r="AI637" s="145"/>
    </row>
    <row r="638" spans="1:35" s="146" customFormat="1" ht="34.950000000000003" customHeight="1" x14ac:dyDescent="0.4">
      <c r="A638" s="134" t="s">
        <v>71</v>
      </c>
      <c r="B638" s="134" t="s">
        <v>99</v>
      </c>
      <c r="C638" s="135">
        <v>46021</v>
      </c>
      <c r="D638" s="134" t="s">
        <v>72</v>
      </c>
      <c r="E638" s="134" t="s">
        <v>565</v>
      </c>
      <c r="F638" s="134">
        <v>22108</v>
      </c>
      <c r="G638" s="136" t="s">
        <v>1776</v>
      </c>
      <c r="H638" s="134" t="s">
        <v>41</v>
      </c>
      <c r="I638" s="137" t="s">
        <v>129</v>
      </c>
      <c r="J638" s="134" t="str">
        <f>IFERROR(VLOOKUP(I638,[1]Sheet1!$A$1:$B$200,2,0),"_")</f>
        <v>E1</v>
      </c>
      <c r="K638" s="137" t="s">
        <v>129</v>
      </c>
      <c r="L638" s="134" t="str">
        <f>IFERROR(VLOOKUP(K638,[1]Sheet1!$A$1:$B$200,2,0),"-")</f>
        <v>E1</v>
      </c>
      <c r="M638" s="137" t="s">
        <v>578</v>
      </c>
      <c r="N638" s="134" t="str">
        <f>IFERROR(VLOOKUP(M638,[1]Sheet1!$G$2:$H$200,2,0),"-")</f>
        <v>PCSL</v>
      </c>
      <c r="O638" s="136" t="s">
        <v>55</v>
      </c>
      <c r="P638" s="135" t="s">
        <v>55</v>
      </c>
      <c r="Q638" s="147" t="s">
        <v>2553</v>
      </c>
      <c r="R638" s="138"/>
      <c r="S638" s="139" t="str" cm="1">
        <f t="array" ref="S638">IF(
OR(AD638="",ISERROR(AD638)),
"-",
_xlfn.UNIQUE(_xlfn._xlws.FILTER([1]Sheet1!$D$2:$D$200,ISNUMBER(SEARCH(AD638,[1]Sheet1!$D$2:$D$200))))
)</f>
        <v>태성종합물류</v>
      </c>
      <c r="T638" s="140" t="s">
        <v>901</v>
      </c>
      <c r="U638" s="134" t="str" cm="1">
        <f t="array" ref="U638">IF(
OR(AD638="",ISERROR(AD638)),
"-",
_xlfn.UNIQUE(_xlfn._xlws.FILTER([1]Sheet1!$D$2:$D$200,ISNUMBER(SEARCH(AD638,[1]Sheet1!$D$2:$D$200))))
)</f>
        <v>태성종합물류</v>
      </c>
      <c r="V638" s="141">
        <v>492000</v>
      </c>
      <c r="W638" s="141">
        <v>469000</v>
      </c>
      <c r="X638" s="141">
        <f t="shared" si="23"/>
        <v>23000</v>
      </c>
      <c r="Y638" s="142" t="s">
        <v>2554</v>
      </c>
      <c r="Z638" s="137"/>
      <c r="AA638" s="137" t="s">
        <v>81</v>
      </c>
      <c r="AB638" s="136"/>
      <c r="AC638" s="135" t="str">
        <f t="shared" si="24"/>
        <v>Y</v>
      </c>
      <c r="AD638" s="135" t="s">
        <v>82</v>
      </c>
      <c r="AE638" s="143">
        <v>0.33333333333333331</v>
      </c>
      <c r="AF638" s="144"/>
      <c r="AG638" s="144"/>
      <c r="AH638" s="145"/>
      <c r="AI638" s="145"/>
    </row>
    <row r="639" spans="1:35" s="146" customFormat="1" ht="34.950000000000003" customHeight="1" x14ac:dyDescent="0.4">
      <c r="A639" s="134" t="s">
        <v>71</v>
      </c>
      <c r="B639" s="134" t="s">
        <v>37</v>
      </c>
      <c r="C639" s="135">
        <v>46021</v>
      </c>
      <c r="D639" s="134" t="s">
        <v>628</v>
      </c>
      <c r="E639" s="134" t="s">
        <v>1968</v>
      </c>
      <c r="F639" s="134">
        <v>12295</v>
      </c>
      <c r="G639" s="136" t="s">
        <v>1969</v>
      </c>
      <c r="H639" s="134" t="s">
        <v>41</v>
      </c>
      <c r="I639" s="137" t="s">
        <v>42</v>
      </c>
      <c r="J639" s="134" t="str">
        <f>IFERROR(VLOOKUP(I639,[1]Sheet1!$A$1:$B$200,2,0),"_")</f>
        <v>P</v>
      </c>
      <c r="K639" s="137" t="s">
        <v>42</v>
      </c>
      <c r="L639" s="134" t="str">
        <f>IFERROR(VLOOKUP(K639,[1]Sheet1!$A$1:$B$200,2,0),"-")</f>
        <v>P</v>
      </c>
      <c r="M639" s="137" t="s">
        <v>667</v>
      </c>
      <c r="N639" s="134" t="str">
        <f>IFERROR(VLOOKUP(M639,[1]Sheet1!$G$2:$H$200,2,0),"-")</f>
        <v>CKCO</v>
      </c>
      <c r="O639" s="136" t="s">
        <v>55</v>
      </c>
      <c r="P639" s="135" t="s">
        <v>55</v>
      </c>
      <c r="Q639" s="138" t="s">
        <v>2555</v>
      </c>
      <c r="R639" s="138"/>
      <c r="S639" s="139" t="str" cm="1">
        <f t="array" ref="S639">IF(
OR(AD639="",ISERROR(AD639)),
"-",
_xlfn.UNIQUE(_xlfn._xlws.FILTER([1]Sheet1!$D$2:$D$200,ISNUMBER(SEARCH(AD639,[1]Sheet1!$D$2:$D$200))))
)</f>
        <v>에스지로지스틱</v>
      </c>
      <c r="T639" s="140" t="s">
        <v>2556</v>
      </c>
      <c r="U639" s="134" t="str" cm="1">
        <f t="array" ref="U639">IF(
OR(AD639="",ISERROR(AD639)),
"-",
_xlfn.UNIQUE(_xlfn._xlws.FILTER([1]Sheet1!$D$2:$D$200,ISNUMBER(SEARCH(AD639,[1]Sheet1!$D$2:$D$200))))
)</f>
        <v>에스지로지스틱</v>
      </c>
      <c r="V639" s="141">
        <v>354000</v>
      </c>
      <c r="W639" s="141">
        <v>301000</v>
      </c>
      <c r="X639" s="141">
        <f t="shared" si="23"/>
        <v>53000</v>
      </c>
      <c r="Y639" s="142" t="s">
        <v>2557</v>
      </c>
      <c r="Z639" s="137"/>
      <c r="AA639" s="137" t="s">
        <v>472</v>
      </c>
      <c r="AB639" s="136" t="s">
        <v>2558</v>
      </c>
      <c r="AC639" s="135" t="str">
        <f t="shared" si="24"/>
        <v>Y</v>
      </c>
      <c r="AD639" s="135" t="s">
        <v>184</v>
      </c>
      <c r="AE639" s="143">
        <v>0.33333333333333331</v>
      </c>
      <c r="AF639" s="144"/>
      <c r="AG639" s="144"/>
      <c r="AH639" s="145"/>
      <c r="AI639" s="145"/>
    </row>
    <row r="640" spans="1:35" s="146" customFormat="1" ht="34.950000000000003" customHeight="1" x14ac:dyDescent="0.4">
      <c r="A640" s="134" t="s">
        <v>36</v>
      </c>
      <c r="B640" s="134" t="s">
        <v>37</v>
      </c>
      <c r="C640" s="135">
        <v>46021</v>
      </c>
      <c r="D640" s="134" t="s">
        <v>325</v>
      </c>
      <c r="E640" s="134" t="s">
        <v>1670</v>
      </c>
      <c r="F640" s="134">
        <v>27461</v>
      </c>
      <c r="G640" s="136" t="s">
        <v>1671</v>
      </c>
      <c r="H640" s="134" t="s">
        <v>41</v>
      </c>
      <c r="I640" s="137" t="s">
        <v>328</v>
      </c>
      <c r="J640" s="134" t="str">
        <f>IFERROR(VLOOKUP(I640,[1]Sheet1!$A$1:$B$200,2,0),"_")</f>
        <v>BT</v>
      </c>
      <c r="K640" s="137" t="s">
        <v>328</v>
      </c>
      <c r="L640" s="134" t="str">
        <f>IFERROR(VLOOKUP(K640,[1]Sheet1!$A$1:$B$200,2,0),"-")</f>
        <v>BT</v>
      </c>
      <c r="M640" s="137" t="s">
        <v>211</v>
      </c>
      <c r="N640" s="134" t="str">
        <f>IFERROR(VLOOKUP(M640,[1]Sheet1!$G$2:$H$200,2,0),"-")</f>
        <v>SITC</v>
      </c>
      <c r="O640" s="136" t="s">
        <v>2559</v>
      </c>
      <c r="P640" s="135">
        <v>46037</v>
      </c>
      <c r="Q640" s="138" t="s">
        <v>2560</v>
      </c>
      <c r="R640" s="138" t="s">
        <v>2561</v>
      </c>
      <c r="S640" s="139" t="str" cm="1">
        <f t="array" ref="S640">IF(
OR(AD640="",ISERROR(AD640)),
"-",
_xlfn.UNIQUE(_xlfn._xlws.FILTER([1]Sheet1!$D$2:$D$200,ISNUMBER(SEARCH(AD640,[1]Sheet1!$D$2:$D$200))))
)</f>
        <v>에스지로지스틱</v>
      </c>
      <c r="T640" s="140" t="s">
        <v>2562</v>
      </c>
      <c r="U640" s="134" t="str" cm="1">
        <f t="array" ref="U640">IF(
OR(AD640="",ISERROR(AD640)),
"-",
_xlfn.UNIQUE(_xlfn._xlws.FILTER([1]Sheet1!$D$2:$D$200,ISNUMBER(SEARCH(AD640,[1]Sheet1!$D$2:$D$200))))
)</f>
        <v>에스지로지스틱</v>
      </c>
      <c r="V640" s="141">
        <v>270000</v>
      </c>
      <c r="W640" s="141">
        <v>219000</v>
      </c>
      <c r="X640" s="141">
        <f t="shared" si="23"/>
        <v>51000</v>
      </c>
      <c r="Y640" s="142" t="s">
        <v>2563</v>
      </c>
      <c r="Z640" s="137"/>
      <c r="AA640" s="137" t="s">
        <v>93</v>
      </c>
      <c r="AB640" s="136" t="s">
        <v>2564</v>
      </c>
      <c r="AC640" s="135" t="str">
        <f t="shared" si="24"/>
        <v>Y</v>
      </c>
      <c r="AD640" s="135" t="s">
        <v>184</v>
      </c>
      <c r="AE640" s="143">
        <v>0.3125</v>
      </c>
      <c r="AF640" s="144"/>
      <c r="AG640" s="144"/>
      <c r="AH640" s="145"/>
      <c r="AI640" s="145"/>
    </row>
    <row r="641" spans="1:35" s="132" customFormat="1" ht="34.950000000000003" customHeight="1" x14ac:dyDescent="0.4">
      <c r="A641" s="120" t="s">
        <v>36</v>
      </c>
      <c r="B641" s="120" t="s">
        <v>37</v>
      </c>
      <c r="C641" s="121">
        <v>46021</v>
      </c>
      <c r="D641" s="120" t="s">
        <v>642</v>
      </c>
      <c r="E641" s="120" t="s">
        <v>2565</v>
      </c>
      <c r="F641" s="120">
        <v>28965</v>
      </c>
      <c r="G641" s="122" t="s">
        <v>2566</v>
      </c>
      <c r="H641" s="120" t="s">
        <v>59</v>
      </c>
      <c r="I641" s="123" t="s">
        <v>2567</v>
      </c>
      <c r="J641" s="120" t="str">
        <f>IFERROR(VLOOKUP(I641,[1]Sheet1!$A$1:$B$200,2,0),"_")</f>
        <v>SQ</v>
      </c>
      <c r="K641" s="123" t="s">
        <v>272</v>
      </c>
      <c r="L641" s="120" t="str">
        <f>IFERROR(VLOOKUP(K641,[1]Sheet1!$A$1:$B$200,2,0),"-")</f>
        <v>Z9</v>
      </c>
      <c r="M641" s="123" t="s">
        <v>251</v>
      </c>
      <c r="N641" s="120" t="str">
        <f>IFERROR(VLOOKUP(M641,[1]Sheet1!$G$2:$H$200,2,0),"-")</f>
        <v>SNKO</v>
      </c>
      <c r="O641" s="122" t="s">
        <v>55</v>
      </c>
      <c r="P641" s="121" t="s">
        <v>55</v>
      </c>
      <c r="Q641" s="124" t="s">
        <v>2568</v>
      </c>
      <c r="R641" s="124"/>
      <c r="S641" s="125" t="str" cm="1">
        <f t="array" ref="S641">IF(
OR(AD641="",ISERROR(AD641)),
"-",
_xlfn.UNIQUE(_xlfn._xlws.FILTER([1]Sheet1!$D$2:$D$200,ISNUMBER(SEARCH(AD641,[1]Sheet1!$D$2:$D$200))))
)</f>
        <v>(주)유진로직스</v>
      </c>
      <c r="T641" s="126"/>
      <c r="U641" s="120" t="str" cm="1">
        <f t="array" ref="U641">IF(
OR(AD641="",ISERROR(AD641)),
"-",
_xlfn.UNIQUE(_xlfn._xlws.FILTER([1]Sheet1!$D$2:$D$200,ISNUMBER(SEARCH(AD641,[1]Sheet1!$D$2:$D$200))))
)</f>
        <v>(주)유진로직스</v>
      </c>
      <c r="V641" s="127">
        <v>420000</v>
      </c>
      <c r="W641" s="127">
        <v>380000</v>
      </c>
      <c r="X641" s="127">
        <f t="shared" si="23"/>
        <v>40000</v>
      </c>
      <c r="Y641" s="128" t="s">
        <v>2569</v>
      </c>
      <c r="Z641" s="123"/>
      <c r="AA641" s="123" t="s">
        <v>93</v>
      </c>
      <c r="AB641" s="133" t="s">
        <v>2570</v>
      </c>
      <c r="AC641" s="121" t="str">
        <f t="shared" si="24"/>
        <v>Y</v>
      </c>
      <c r="AD641" s="121" t="s">
        <v>70</v>
      </c>
      <c r="AE641" s="129">
        <v>0.41666666666666669</v>
      </c>
      <c r="AF641" s="130">
        <v>46021</v>
      </c>
      <c r="AG641" s="130" t="s">
        <v>2571</v>
      </c>
      <c r="AH641" s="131"/>
      <c r="AI641" s="131"/>
    </row>
    <row r="642" spans="1:35" s="156" customFormat="1" ht="34.950000000000003" customHeight="1" x14ac:dyDescent="0.4">
      <c r="A642" s="123" t="s">
        <v>36</v>
      </c>
      <c r="B642" s="123" t="s">
        <v>37</v>
      </c>
      <c r="C642" s="148">
        <v>46021</v>
      </c>
      <c r="D642" s="123" t="s">
        <v>72</v>
      </c>
      <c r="E642" s="123" t="s">
        <v>1099</v>
      </c>
      <c r="F642" s="123">
        <v>13305</v>
      </c>
      <c r="G642" s="149" t="s">
        <v>1100</v>
      </c>
      <c r="H642" s="120" t="s">
        <v>41</v>
      </c>
      <c r="I642" s="123" t="s">
        <v>137</v>
      </c>
      <c r="J642" s="123" t="str">
        <f>IFERROR(VLOOKUP(I642,[1]Sheet1!$A$1:$B$200,2,0),"_")</f>
        <v>BE</v>
      </c>
      <c r="K642" s="123" t="s">
        <v>86</v>
      </c>
      <c r="L642" s="123" t="str">
        <f>IFERROR(VLOOKUP(K642,[1]Sheet1!$A$1:$B$200,2,0),"-")</f>
        <v>HP</v>
      </c>
      <c r="M642" s="123" t="s">
        <v>87</v>
      </c>
      <c r="N642" s="123" t="str">
        <f>IFERROR(VLOOKUP(M642,[1]Sheet1!$G$2:$H$200,2,0),"-")</f>
        <v>HDMU</v>
      </c>
      <c r="O642" s="149" t="s">
        <v>2515</v>
      </c>
      <c r="P642" s="148">
        <v>46026</v>
      </c>
      <c r="Q642" s="150" t="s">
        <v>2572</v>
      </c>
      <c r="R642" s="150" t="s">
        <v>2573</v>
      </c>
      <c r="S642" s="151" t="str" cm="1">
        <f t="array" ref="S642">IF(
OR(AD642="",ISERROR(AD642)),
"-",
_xlfn.UNIQUE(_xlfn._xlws.FILTER([1]Sheet1!$D$2:$D$200,ISNUMBER(SEARCH(AD642,[1]Sheet1!$D$2:$D$200))))
)</f>
        <v>양양운수(주)</v>
      </c>
      <c r="T642" s="126"/>
      <c r="U642" s="123" t="str" cm="1">
        <f t="array" ref="U642">IF(
OR(AD642="",ISERROR(AD642)),
"-",
_xlfn.UNIQUE(_xlfn._xlws.FILTER([1]Sheet1!$D$2:$D$200,ISNUMBER(SEARCH(AD642,[1]Sheet1!$D$2:$D$200))))
)</f>
        <v>양양운수(주)</v>
      </c>
      <c r="V642" s="152">
        <v>750000</v>
      </c>
      <c r="W642" s="152">
        <v>702600</v>
      </c>
      <c r="X642" s="152">
        <f t="shared" si="23"/>
        <v>47400</v>
      </c>
      <c r="Y642" s="153" t="s">
        <v>2574</v>
      </c>
      <c r="Z642" s="123"/>
      <c r="AA642" s="123" t="s">
        <v>81</v>
      </c>
      <c r="AB642" s="149"/>
      <c r="AC642" s="148" t="str">
        <f t="shared" si="24"/>
        <v>Y</v>
      </c>
      <c r="AD642" s="148" t="s">
        <v>619</v>
      </c>
      <c r="AE642" s="154">
        <v>0.58333333333333337</v>
      </c>
      <c r="AF642" s="155"/>
      <c r="AG642" s="155"/>
      <c r="AH642" s="123"/>
      <c r="AI642" s="123"/>
    </row>
    <row r="643" spans="1:35" ht="34.950000000000003" customHeight="1" x14ac:dyDescent="0.4">
      <c r="C643" s="17"/>
      <c r="I643" s="19"/>
      <c r="J643" s="16" t="str">
        <f>IFERROR(VLOOKUP(I643,[1]Sheet1!$A$1:$B$200,2,0),"_")</f>
        <v>_</v>
      </c>
      <c r="K643" s="19"/>
      <c r="L643" s="16" t="str">
        <f>IFERROR(VLOOKUP(K643,[1]Sheet1!$A$1:$B$200,2,0),"-")</f>
        <v>-</v>
      </c>
      <c r="M643" s="19"/>
      <c r="N643" s="16" t="str">
        <f>IFERROR(VLOOKUP(M643,[1]Sheet1!$G$2:$H$200,2,0),"-")</f>
        <v>-</v>
      </c>
      <c r="P643" s="17"/>
      <c r="Q643" s="20"/>
      <c r="R643" s="20"/>
      <c r="S643" s="21" t="str" cm="1">
        <f t="array" ref="S643">IF(
OR(AD643="",ISERROR(AD643)),
"-",
_xlfn.UNIQUE(_xlfn._xlws.FILTER([1]Sheet1!$D$2:$D$200,ISNUMBER(SEARCH(AD643,[1]Sheet1!$D$2:$D$200))))
)</f>
        <v>-</v>
      </c>
      <c r="T643" s="22"/>
      <c r="U643" s="16" t="str" cm="1">
        <f t="array" ref="U643">IF(
OR(AD643="",ISERROR(AD643)),
"-",
_xlfn.UNIQUE(_xlfn._xlws.FILTER([1]Sheet1!$D$2:$D$200,ISNUMBER(SEARCH(AD643,[1]Sheet1!$D$2:$D$200))))
)</f>
        <v>-</v>
      </c>
      <c r="X643" s="23">
        <f t="shared" si="23"/>
        <v>0</v>
      </c>
      <c r="Z643" s="19"/>
      <c r="AA643" s="19"/>
      <c r="AC643" s="17" t="str">
        <f t="shared" si="24"/>
        <v>Y</v>
      </c>
      <c r="AD643" s="17"/>
      <c r="AF643" s="27"/>
      <c r="AG643" s="27"/>
    </row>
    <row r="644" spans="1:35" s="132" customFormat="1" ht="34.950000000000003" customHeight="1" x14ac:dyDescent="0.4">
      <c r="A644" s="120" t="s">
        <v>71</v>
      </c>
      <c r="B644" s="120" t="s">
        <v>37</v>
      </c>
      <c r="C644" s="121">
        <v>46022</v>
      </c>
      <c r="D644" s="120" t="s">
        <v>855</v>
      </c>
      <c r="E644" s="120" t="s">
        <v>934</v>
      </c>
      <c r="F644" s="120">
        <v>26969</v>
      </c>
      <c r="G644" s="122" t="s">
        <v>2508</v>
      </c>
      <c r="H644" s="120" t="s">
        <v>41</v>
      </c>
      <c r="I644" s="123" t="s">
        <v>42</v>
      </c>
      <c r="J644" s="120" t="str">
        <f>IFERROR(VLOOKUP(I644,[1]Sheet1!$A$1:$B$200,2,0),"_")</f>
        <v>P</v>
      </c>
      <c r="K644" s="123" t="s">
        <v>42</v>
      </c>
      <c r="L644" s="120" t="str">
        <f>IFERROR(VLOOKUP(K644,[1]Sheet1!$A$1:$B$200,2,0),"-")</f>
        <v>P</v>
      </c>
      <c r="M644" s="123" t="s">
        <v>151</v>
      </c>
      <c r="N644" s="120" t="str">
        <f>IFERROR(VLOOKUP(M644,[1]Sheet1!$G$2:$H$200,2,0),"-")</f>
        <v>NSSL</v>
      </c>
      <c r="O644" s="122" t="s">
        <v>55</v>
      </c>
      <c r="P644" s="121" t="s">
        <v>55</v>
      </c>
      <c r="Q644" s="124" t="s">
        <v>2575</v>
      </c>
      <c r="R644" s="124"/>
      <c r="S644" s="125" t="str" cm="1">
        <f t="array" ref="S644">IF(
OR(AD644="",ISERROR(AD644)),
"-",
_xlfn.UNIQUE(_xlfn._xlws.FILTER([1]Sheet1!$D$2:$D$200,ISNUMBER(SEARCH(AD644,[1]Sheet1!$D$2:$D$200))))
)</f>
        <v>(주)부강에너지</v>
      </c>
      <c r="T644" s="126"/>
      <c r="U644" s="120" t="str" cm="1">
        <f t="array" ref="U644">IF(
OR(AD644="",ISERROR(AD644)),
"-",
_xlfn.UNIQUE(_xlfn._xlws.FILTER([1]Sheet1!$D$2:$D$200,ISNUMBER(SEARCH(AD644,[1]Sheet1!$D$2:$D$200))))
)</f>
        <v>(주)부강에너지</v>
      </c>
      <c r="V644" s="127">
        <v>310000</v>
      </c>
      <c r="W644" s="127">
        <v>274000</v>
      </c>
      <c r="X644" s="127">
        <f t="shared" si="23"/>
        <v>36000</v>
      </c>
      <c r="Y644" s="128" t="s">
        <v>2576</v>
      </c>
      <c r="Z644" s="123"/>
      <c r="AA644" s="123" t="s">
        <v>144</v>
      </c>
      <c r="AB644" s="122"/>
      <c r="AC644" s="121" t="str">
        <f t="shared" si="24"/>
        <v>Y</v>
      </c>
      <c r="AD644" s="121" t="s">
        <v>197</v>
      </c>
      <c r="AE644" s="129">
        <v>0.35416666666666669</v>
      </c>
      <c r="AF644" s="130"/>
      <c r="AG644" s="130"/>
      <c r="AH644" s="131"/>
      <c r="AI644" s="131"/>
    </row>
    <row r="645" spans="1:35" s="132" customFormat="1" ht="34.950000000000003" customHeight="1" x14ac:dyDescent="0.4">
      <c r="A645" s="120" t="s">
        <v>36</v>
      </c>
      <c r="B645" s="120" t="s">
        <v>37</v>
      </c>
      <c r="C645" s="121">
        <v>46022</v>
      </c>
      <c r="D645" s="120" t="s">
        <v>248</v>
      </c>
      <c r="E645" s="120" t="s">
        <v>2577</v>
      </c>
      <c r="F645" s="120">
        <v>28966</v>
      </c>
      <c r="G645" s="122" t="s">
        <v>2578</v>
      </c>
      <c r="H645" s="120" t="s">
        <v>75</v>
      </c>
      <c r="I645" s="123" t="s">
        <v>730</v>
      </c>
      <c r="J645" s="120" t="str">
        <f>IFERROR(VLOOKUP(I645,[1]Sheet1!$A$1:$B$200,2,0),"_")</f>
        <v>TG</v>
      </c>
      <c r="K645" s="123" t="s">
        <v>730</v>
      </c>
      <c r="L645" s="120" t="str">
        <f>IFERROR(VLOOKUP(K645,[1]Sheet1!$A$1:$B$200,2,0),"-")</f>
        <v>TG</v>
      </c>
      <c r="M645" s="123" t="s">
        <v>1160</v>
      </c>
      <c r="N645" s="120" t="str">
        <f>IFERROR(VLOOKUP(M645,[1]Sheet1!$G$2:$H$200,2,0),"-")</f>
        <v>RSA</v>
      </c>
      <c r="O645" s="122" t="s">
        <v>2579</v>
      </c>
      <c r="P645" s="121">
        <v>46027</v>
      </c>
      <c r="Q645" s="124"/>
      <c r="R645" s="124"/>
      <c r="S645" s="125" t="str" cm="1">
        <f t="array" ref="S645">IF(
OR(AD645="",ISERROR(AD645)),
"-",
_xlfn.UNIQUE(_xlfn._xlws.FILTER([1]Sheet1!$D$2:$D$200,ISNUMBER(SEARCH(AD645,[1]Sheet1!$D$2:$D$200))))
)</f>
        <v>(주)부강에너지</v>
      </c>
      <c r="T645" s="126"/>
      <c r="U645" s="120" t="str" cm="1">
        <f t="array" ref="U645">IF(
OR(AD645="",ISERROR(AD645)),
"-",
_xlfn.UNIQUE(_xlfn._xlws.FILTER([1]Sheet1!$D$2:$D$200,ISNUMBER(SEARCH(AD645,[1]Sheet1!$D$2:$D$200))))
)</f>
        <v>(주)부강에너지</v>
      </c>
      <c r="V645" s="127">
        <v>850000</v>
      </c>
      <c r="W645" s="127">
        <v>752300</v>
      </c>
      <c r="X645" s="127">
        <f t="shared" si="23"/>
        <v>97700</v>
      </c>
      <c r="Y645" s="128" t="s">
        <v>2580</v>
      </c>
      <c r="Z645" s="123"/>
      <c r="AA645" s="123" t="s">
        <v>144</v>
      </c>
      <c r="AB645" s="122"/>
      <c r="AC645" s="121" t="str">
        <f t="shared" si="24"/>
        <v>Y</v>
      </c>
      <c r="AD645" s="121" t="s">
        <v>197</v>
      </c>
      <c r="AE645" s="129">
        <v>0.66666666666666663</v>
      </c>
      <c r="AF645" s="130"/>
      <c r="AG645" s="130"/>
      <c r="AH645" s="131"/>
      <c r="AI645" s="131"/>
    </row>
    <row r="646" spans="1:35" s="132" customFormat="1" ht="34.950000000000003" customHeight="1" x14ac:dyDescent="0.4">
      <c r="A646" s="120" t="s">
        <v>36</v>
      </c>
      <c r="B646" s="120" t="s">
        <v>99</v>
      </c>
      <c r="C646" s="121">
        <v>46022</v>
      </c>
      <c r="D646" s="120" t="s">
        <v>216</v>
      </c>
      <c r="E646" s="120" t="s">
        <v>217</v>
      </c>
      <c r="F646" s="120">
        <v>26907</v>
      </c>
      <c r="G646" s="122" t="s">
        <v>1126</v>
      </c>
      <c r="H646" s="120" t="s">
        <v>41</v>
      </c>
      <c r="I646" s="123" t="s">
        <v>219</v>
      </c>
      <c r="J646" s="120" t="str">
        <f>IFERROR(VLOOKUP(I646,[1]Sheet1!$A$1:$B$200,2,0),"_")</f>
        <v>NN</v>
      </c>
      <c r="K646" s="123" t="s">
        <v>219</v>
      </c>
      <c r="L646" s="120" t="str">
        <f>IFERROR(VLOOKUP(K646,[1]Sheet1!$A$1:$B$200,2,0),"-")</f>
        <v>NN</v>
      </c>
      <c r="M646" s="123" t="s">
        <v>221</v>
      </c>
      <c r="N646" s="120" t="str">
        <f>IFERROR(VLOOKUP(M646,[1]Sheet1!$G$2:$H$200,2,0),"-")</f>
        <v>DOOW</v>
      </c>
      <c r="O646" s="122" t="s">
        <v>2581</v>
      </c>
      <c r="P646" s="121">
        <v>46023</v>
      </c>
      <c r="Q646" s="124"/>
      <c r="R646" s="124"/>
      <c r="S646" s="125" t="str" cm="1">
        <f t="array" ref="S646">IF(
OR(AD646="",ISERROR(AD646)),
"-",
_xlfn.UNIQUE(_xlfn._xlws.FILTER([1]Sheet1!$D$2:$D$200,ISNUMBER(SEARCH(AD646,[1]Sheet1!$D$2:$D$200))))
)</f>
        <v>태성종합물류</v>
      </c>
      <c r="T646" s="126"/>
      <c r="U646" s="120" t="str" cm="1">
        <f t="array" ref="U646">IF(
OR(AD646="",ISERROR(AD646)),
"-",
_xlfn.UNIQUE(_xlfn._xlws.FILTER([1]Sheet1!$D$2:$D$200,ISNUMBER(SEARCH(AD646,[1]Sheet1!$D$2:$D$200))))
)</f>
        <v>태성종합물류</v>
      </c>
      <c r="V646" s="127">
        <v>247000</v>
      </c>
      <c r="W646" s="127">
        <v>229700</v>
      </c>
      <c r="X646" s="127">
        <f t="shared" si="23"/>
        <v>17300</v>
      </c>
      <c r="Y646" s="128" t="s">
        <v>2582</v>
      </c>
      <c r="Z646" s="123"/>
      <c r="AA646" s="123" t="s">
        <v>93</v>
      </c>
      <c r="AB646" s="122"/>
      <c r="AC646" s="121" t="str">
        <f t="shared" si="24"/>
        <v>Y</v>
      </c>
      <c r="AD646" s="121" t="s">
        <v>82</v>
      </c>
      <c r="AE646" s="129">
        <v>0.375</v>
      </c>
      <c r="AF646" s="130"/>
      <c r="AG646" s="130"/>
      <c r="AH646" s="131"/>
      <c r="AI646" s="131"/>
    </row>
    <row r="647" spans="1:35" s="132" customFormat="1" ht="34.950000000000003" customHeight="1" x14ac:dyDescent="0.4">
      <c r="A647" s="120" t="s">
        <v>36</v>
      </c>
      <c r="B647" s="120" t="s">
        <v>99</v>
      </c>
      <c r="C647" s="121">
        <v>46022</v>
      </c>
      <c r="D647" s="120" t="s">
        <v>216</v>
      </c>
      <c r="E647" s="120" t="s">
        <v>217</v>
      </c>
      <c r="F647" s="120">
        <v>26907</v>
      </c>
      <c r="G647" s="122" t="s">
        <v>1126</v>
      </c>
      <c r="H647" s="120" t="s">
        <v>41</v>
      </c>
      <c r="I647" s="123" t="s">
        <v>219</v>
      </c>
      <c r="J647" s="120" t="str">
        <f>IFERROR(VLOOKUP(I647,[1]Sheet1!$A$1:$B$200,2,0),"_")</f>
        <v>NN</v>
      </c>
      <c r="K647" s="123" t="s">
        <v>219</v>
      </c>
      <c r="L647" s="120" t="str">
        <f>IFERROR(VLOOKUP(K647,[1]Sheet1!$A$1:$B$200,2,0),"-")</f>
        <v>NN</v>
      </c>
      <c r="M647" s="123" t="s">
        <v>221</v>
      </c>
      <c r="N647" s="120" t="str">
        <f>IFERROR(VLOOKUP(M647,[1]Sheet1!$G$2:$H$200,2,0),"-")</f>
        <v>DOOW</v>
      </c>
      <c r="O647" s="122" t="s">
        <v>2581</v>
      </c>
      <c r="P647" s="121">
        <v>46023</v>
      </c>
      <c r="Q647" s="124"/>
      <c r="R647" s="124"/>
      <c r="S647" s="125" t="str" cm="1">
        <f t="array" ref="S647">IF(
OR(AD647="",ISERROR(AD647)),
"-",
_xlfn.UNIQUE(_xlfn._xlws.FILTER([1]Sheet1!$D$2:$D$200,ISNUMBER(SEARCH(AD647,[1]Sheet1!$D$2:$D$200))))
)</f>
        <v>태성종합물류</v>
      </c>
      <c r="T647" s="126"/>
      <c r="U647" s="120" t="str" cm="1">
        <f t="array" ref="U647">IF(
OR(AD647="",ISERROR(AD647)),
"-",
_xlfn.UNIQUE(_xlfn._xlws.FILTER([1]Sheet1!$D$2:$D$200,ISNUMBER(SEARCH(AD647,[1]Sheet1!$D$2:$D$200))))
)</f>
        <v>태성종합물류</v>
      </c>
      <c r="V647" s="127">
        <v>10000</v>
      </c>
      <c r="W647" s="127">
        <v>10000</v>
      </c>
      <c r="X647" s="127">
        <f t="shared" si="23"/>
        <v>0</v>
      </c>
      <c r="Y647" s="128" t="s">
        <v>2583</v>
      </c>
      <c r="Z647" s="123"/>
      <c r="AA647" s="123" t="s">
        <v>93</v>
      </c>
      <c r="AB647" s="122"/>
      <c r="AC647" s="121" t="str">
        <f t="shared" si="24"/>
        <v>Y</v>
      </c>
      <c r="AD647" s="121" t="s">
        <v>82</v>
      </c>
      <c r="AE647" s="129">
        <v>0.375</v>
      </c>
      <c r="AF647" s="130"/>
      <c r="AG647" s="130"/>
      <c r="AH647" s="131"/>
      <c r="AI647" s="131"/>
    </row>
    <row r="648" spans="1:35" ht="34.950000000000003" customHeight="1" x14ac:dyDescent="0.4">
      <c r="C648" s="17"/>
      <c r="I648" s="19"/>
      <c r="J648" s="16" t="str">
        <f>IFERROR(VLOOKUP(I648,[1]Sheet1!$A$1:$B$200,2,0),"_")</f>
        <v>_</v>
      </c>
      <c r="K648" s="19"/>
      <c r="L648" s="16" t="str">
        <f>IFERROR(VLOOKUP(K648,[1]Sheet1!$A$1:$B$200,2,0),"-")</f>
        <v>-</v>
      </c>
      <c r="M648" s="19"/>
      <c r="N648" s="16" t="str">
        <f>IFERROR(VLOOKUP(M648,[1]Sheet1!$G$2:$H$200,2,0),"-")</f>
        <v>-</v>
      </c>
      <c r="P648" s="17"/>
      <c r="Q648" s="20"/>
      <c r="R648" s="20"/>
      <c r="S648" s="21" t="str" cm="1">
        <f t="array" ref="S648">IF(
OR(AD648="",ISERROR(AD648)),
"-",
_xlfn.UNIQUE(_xlfn._xlws.FILTER([1]Sheet1!$D$2:$D$200,ISNUMBER(SEARCH(AD648,[1]Sheet1!$D$2:$D$200))))
)</f>
        <v>-</v>
      </c>
      <c r="T648" s="22"/>
      <c r="U648" s="16" t="str" cm="1">
        <f t="array" ref="U648">IF(
OR(AD648="",ISERROR(AD648)),
"-",
_xlfn.UNIQUE(_xlfn._xlws.FILTER([1]Sheet1!$D$2:$D$200,ISNUMBER(SEARCH(AD648,[1]Sheet1!$D$2:$D$200))))
)</f>
        <v>-</v>
      </c>
      <c r="X648" s="23">
        <f t="shared" si="23"/>
        <v>0</v>
      </c>
      <c r="Y648"/>
      <c r="Z648" s="19"/>
      <c r="AA648" s="19"/>
      <c r="AC648" s="17" t="str">
        <f t="shared" si="24"/>
        <v>Y</v>
      </c>
      <c r="AD648" s="17"/>
      <c r="AF648" s="27"/>
      <c r="AG648" s="27"/>
    </row>
    <row r="649" spans="1:35" ht="34.950000000000003" customHeight="1" x14ac:dyDescent="0.4">
      <c r="C649" s="17"/>
      <c r="I649" s="19"/>
      <c r="J649" s="16" t="str">
        <f>IFERROR(VLOOKUP(I649,[1]Sheet1!$A$1:$B$200,2,0),"_")</f>
        <v>_</v>
      </c>
      <c r="K649" s="19"/>
      <c r="L649" s="16" t="str">
        <f>IFERROR(VLOOKUP(K649,[1]Sheet1!$A$1:$B$200,2,0),"-")</f>
        <v>-</v>
      </c>
      <c r="M649" s="19"/>
      <c r="N649" s="16" t="str">
        <f>IFERROR(VLOOKUP(M649,[1]Sheet1!$G$2:$H$200,2,0),"-")</f>
        <v>-</v>
      </c>
      <c r="P649" s="17"/>
      <c r="Q649" s="20"/>
      <c r="R649" s="20"/>
      <c r="S649" s="21" t="str" cm="1">
        <f t="array" ref="S649">IF(
OR(AD649="",ISERROR(AD649)),
"-",
_xlfn.UNIQUE(_xlfn._xlws.FILTER([1]Sheet1!$D$2:$D$200,ISNUMBER(SEARCH(AD649,[1]Sheet1!$D$2:$D$200))))
)</f>
        <v>-</v>
      </c>
      <c r="T649" s="22"/>
      <c r="U649" s="16" t="str" cm="1">
        <f t="array" ref="U649">IF(
OR(AD649="",ISERROR(AD649)),
"-",
_xlfn.UNIQUE(_xlfn._xlws.FILTER([1]Sheet1!$D$2:$D$200,ISNUMBER(SEARCH(AD649,[1]Sheet1!$D$2:$D$200))))
)</f>
        <v>-</v>
      </c>
      <c r="X649" s="23">
        <f t="shared" si="23"/>
        <v>0</v>
      </c>
      <c r="Z649" s="19"/>
      <c r="AA649" s="19"/>
      <c r="AC649" s="17" t="str">
        <f t="shared" si="24"/>
        <v>Y</v>
      </c>
      <c r="AD649" s="17"/>
      <c r="AF649" s="27"/>
      <c r="AG649" s="27"/>
    </row>
    <row r="650" spans="1:35" ht="34.950000000000003" customHeight="1" x14ac:dyDescent="0.4">
      <c r="C650" s="17"/>
      <c r="I650" s="19"/>
      <c r="J650" s="16" t="str">
        <f>IFERROR(VLOOKUP(I650,[1]Sheet1!$A$1:$B$200,2,0),"_")</f>
        <v>_</v>
      </c>
      <c r="K650" s="19"/>
      <c r="L650" s="16" t="str">
        <f>IFERROR(VLOOKUP(K650,[1]Sheet1!$A$1:$B$200,2,0),"-")</f>
        <v>-</v>
      </c>
      <c r="M650" s="19"/>
      <c r="N650" s="16" t="str">
        <f>IFERROR(VLOOKUP(M650,[1]Sheet1!$G$2:$H$200,2,0),"-")</f>
        <v>-</v>
      </c>
      <c r="P650" s="17"/>
      <c r="Q650" s="20"/>
      <c r="R650" s="20"/>
      <c r="S650" s="21" t="str" cm="1">
        <f t="array" ref="S650">IF(
OR(AD650="",ISERROR(AD650)),
"-",
_xlfn.UNIQUE(_xlfn._xlws.FILTER([1]Sheet1!$D$2:$D$200,ISNUMBER(SEARCH(AD650,[1]Sheet1!$D$2:$D$200))))
)</f>
        <v>-</v>
      </c>
      <c r="T650" s="22"/>
      <c r="U650" s="16" t="str" cm="1">
        <f t="array" ref="U650">IF(
OR(AD650="",ISERROR(AD650)),
"-",
_xlfn.UNIQUE(_xlfn._xlws.FILTER([1]Sheet1!$D$2:$D$200,ISNUMBER(SEARCH(AD650,[1]Sheet1!$D$2:$D$200))))
)</f>
        <v>-</v>
      </c>
      <c r="X650" s="23">
        <f t="shared" si="23"/>
        <v>0</v>
      </c>
      <c r="Z650" s="19"/>
      <c r="AA650" s="19"/>
      <c r="AC650" s="17" t="str">
        <f t="shared" si="24"/>
        <v>Y</v>
      </c>
      <c r="AD650" s="17"/>
      <c r="AF650" s="27"/>
      <c r="AG650" s="27"/>
    </row>
    <row r="651" spans="1:35" ht="34.950000000000003" customHeight="1" x14ac:dyDescent="0.4">
      <c r="C651" s="17"/>
      <c r="I651" s="19"/>
      <c r="J651" s="16" t="str">
        <f>IFERROR(VLOOKUP(I651,[1]Sheet1!$A$1:$B$200,2,0),"_")</f>
        <v>_</v>
      </c>
      <c r="K651" s="19"/>
      <c r="L651" s="16" t="str">
        <f>IFERROR(VLOOKUP(K651,[1]Sheet1!$A$1:$B$200,2,0),"-")</f>
        <v>-</v>
      </c>
      <c r="M651" s="19"/>
      <c r="N651" s="16" t="str">
        <f>IFERROR(VLOOKUP(M651,[1]Sheet1!$G$2:$H$200,2,0),"-")</f>
        <v>-</v>
      </c>
      <c r="P651" s="17"/>
      <c r="Q651" s="20"/>
      <c r="R651" s="20"/>
      <c r="S651" s="21" t="str" cm="1">
        <f t="array" ref="S651">IF(
OR(AD651="",ISERROR(AD651)),
"-",
_xlfn.UNIQUE(_xlfn._xlws.FILTER([1]Sheet1!$D$2:$D$200,ISNUMBER(SEARCH(AD651,[1]Sheet1!$D$2:$D$200))))
)</f>
        <v>-</v>
      </c>
      <c r="T651" s="22"/>
      <c r="U651" s="16" t="str" cm="1">
        <f t="array" ref="U651">IF(
OR(AD651="",ISERROR(AD651)),
"-",
_xlfn.UNIQUE(_xlfn._xlws.FILTER([1]Sheet1!$D$2:$D$200,ISNUMBER(SEARCH(AD651,[1]Sheet1!$D$2:$D$200))))
)</f>
        <v>-</v>
      </c>
      <c r="X651" s="23">
        <f t="shared" si="23"/>
        <v>0</v>
      </c>
      <c r="Z651" s="19"/>
      <c r="AA651" s="19"/>
      <c r="AC651" s="17" t="str">
        <f t="shared" si="24"/>
        <v>Y</v>
      </c>
      <c r="AD651" s="17"/>
      <c r="AF651" s="27"/>
      <c r="AG651" s="27"/>
    </row>
    <row r="652" spans="1:35" ht="34.950000000000003" customHeight="1" x14ac:dyDescent="0.4">
      <c r="C652" s="17"/>
      <c r="I652" s="19"/>
      <c r="J652" s="16" t="str">
        <f>IFERROR(VLOOKUP(I652,[1]Sheet1!$A$1:$B$200,2,0),"_")</f>
        <v>_</v>
      </c>
      <c r="K652" s="19"/>
      <c r="L652" s="16" t="str">
        <f>IFERROR(VLOOKUP(K652,[1]Sheet1!$A$1:$B$200,2,0),"-")</f>
        <v>-</v>
      </c>
      <c r="M652" s="19"/>
      <c r="N652" s="16" t="str">
        <f>IFERROR(VLOOKUP(M652,[1]Sheet1!$G$2:$H$200,2,0),"-")</f>
        <v>-</v>
      </c>
      <c r="P652" s="17"/>
      <c r="Q652" s="20"/>
      <c r="R652" s="20"/>
      <c r="S652" s="21" t="str" cm="1">
        <f t="array" ref="S652">IF(
OR(AD652="",ISERROR(AD652)),
"-",
_xlfn.UNIQUE(_xlfn._xlws.FILTER([1]Sheet1!$D$2:$D$200,ISNUMBER(SEARCH(AD652,[1]Sheet1!$D$2:$D$200))))
)</f>
        <v>-</v>
      </c>
      <c r="T652" s="22"/>
      <c r="U652" s="16" t="str" cm="1">
        <f t="array" ref="U652">IF(
OR(AD652="",ISERROR(AD652)),
"-",
_xlfn.UNIQUE(_xlfn._xlws.FILTER([1]Sheet1!$D$2:$D$200,ISNUMBER(SEARCH(AD652,[1]Sheet1!$D$2:$D$200))))
)</f>
        <v>-</v>
      </c>
      <c r="X652" s="23">
        <f t="shared" si="23"/>
        <v>0</v>
      </c>
      <c r="Z652" s="19"/>
      <c r="AA652" s="19"/>
      <c r="AC652" s="17" t="str">
        <f t="shared" si="24"/>
        <v>Y</v>
      </c>
      <c r="AD652" s="17"/>
      <c r="AF652" s="27"/>
      <c r="AG652" s="27"/>
    </row>
    <row r="653" spans="1:35" ht="34.950000000000003" customHeight="1" x14ac:dyDescent="0.4">
      <c r="C653" s="17"/>
      <c r="I653" s="19"/>
      <c r="J653" s="16" t="str">
        <f>IFERROR(VLOOKUP(I653,[1]Sheet1!$A$1:$B$200,2,0),"_")</f>
        <v>_</v>
      </c>
      <c r="K653" s="19"/>
      <c r="L653" s="16" t="str">
        <f>IFERROR(VLOOKUP(K653,[1]Sheet1!$A$1:$B$200,2,0),"-")</f>
        <v>-</v>
      </c>
      <c r="M653" s="19"/>
      <c r="N653" s="16" t="str">
        <f>IFERROR(VLOOKUP(M653,[1]Sheet1!$G$2:$H$200,2,0),"-")</f>
        <v>-</v>
      </c>
      <c r="P653" s="17"/>
      <c r="Q653" s="20"/>
      <c r="R653" s="20"/>
      <c r="S653" s="21" t="str" cm="1">
        <f t="array" ref="S653">IF(
OR(AD653="",ISERROR(AD653)),
"-",
_xlfn.UNIQUE(_xlfn._xlws.FILTER([1]Sheet1!$D$2:$D$200,ISNUMBER(SEARCH(AD653,[1]Sheet1!$D$2:$D$200))))
)</f>
        <v>-</v>
      </c>
      <c r="T653" s="22"/>
      <c r="U653" s="16" t="str" cm="1">
        <f t="array" ref="U653">IF(
OR(AD653="",ISERROR(AD653)),
"-",
_xlfn.UNIQUE(_xlfn._xlws.FILTER([1]Sheet1!$D$2:$D$200,ISNUMBER(SEARCH(AD653,[1]Sheet1!$D$2:$D$200))))
)</f>
        <v>-</v>
      </c>
      <c r="X653" s="23">
        <f t="shared" si="23"/>
        <v>0</v>
      </c>
      <c r="Z653" s="19"/>
      <c r="AA653" s="19"/>
      <c r="AC653" s="17" t="str">
        <f t="shared" si="24"/>
        <v>Y</v>
      </c>
      <c r="AD653" s="17"/>
      <c r="AF653" s="27"/>
      <c r="AG653" s="27"/>
    </row>
    <row r="654" spans="1:35" ht="34.950000000000003" customHeight="1" x14ac:dyDescent="0.4">
      <c r="C654" s="17"/>
      <c r="I654" s="19"/>
      <c r="J654" s="16" t="str">
        <f>IFERROR(VLOOKUP(I654,[1]Sheet1!$A$1:$B$200,2,0),"_")</f>
        <v>_</v>
      </c>
      <c r="K654" s="19"/>
      <c r="L654" s="16" t="str">
        <f>IFERROR(VLOOKUP(K654,[1]Sheet1!$A$1:$B$200,2,0),"-")</f>
        <v>-</v>
      </c>
      <c r="M654" s="19"/>
      <c r="N654" s="16" t="str">
        <f>IFERROR(VLOOKUP(M654,[1]Sheet1!$G$2:$H$200,2,0),"-")</f>
        <v>-</v>
      </c>
      <c r="P654" s="17"/>
      <c r="Q654" s="20"/>
      <c r="R654" s="20"/>
      <c r="S654" s="21" t="str" cm="1">
        <f t="array" ref="S654">IF(
OR(AD654="",ISERROR(AD654)),
"-",
_xlfn.UNIQUE(_xlfn._xlws.FILTER([1]Sheet1!$D$2:$D$200,ISNUMBER(SEARCH(AD654,[1]Sheet1!$D$2:$D$200))))
)</f>
        <v>-</v>
      </c>
      <c r="T654" s="22"/>
      <c r="U654" s="16" t="str" cm="1">
        <f t="array" ref="U654">IF(
OR(AD654="",ISERROR(AD654)),
"-",
_xlfn.UNIQUE(_xlfn._xlws.FILTER([1]Sheet1!$D$2:$D$200,ISNUMBER(SEARCH(AD654,[1]Sheet1!$D$2:$D$200))))
)</f>
        <v>-</v>
      </c>
      <c r="X654" s="23">
        <f t="shared" si="23"/>
        <v>0</v>
      </c>
      <c r="Z654" s="19"/>
      <c r="AA654" s="19"/>
      <c r="AC654" s="17" t="str">
        <f t="shared" si="24"/>
        <v>Y</v>
      </c>
      <c r="AD654" s="17"/>
      <c r="AF654" s="27"/>
      <c r="AG654" s="27"/>
    </row>
    <row r="655" spans="1:35" ht="34.950000000000003" customHeight="1" x14ac:dyDescent="0.4">
      <c r="C655" s="17"/>
      <c r="I655" s="19"/>
      <c r="J655" s="16" t="str">
        <f>IFERROR(VLOOKUP(I655,[1]Sheet1!$A$1:$B$200,2,0),"_")</f>
        <v>_</v>
      </c>
      <c r="K655" s="19"/>
      <c r="L655" s="16" t="str">
        <f>IFERROR(VLOOKUP(K655,[1]Sheet1!$A$1:$B$200,2,0),"-")</f>
        <v>-</v>
      </c>
      <c r="M655" s="19"/>
      <c r="N655" s="16" t="str">
        <f>IFERROR(VLOOKUP(M655,[1]Sheet1!$G$2:$H$200,2,0),"-")</f>
        <v>-</v>
      </c>
      <c r="P655" s="17"/>
      <c r="Q655" s="20"/>
      <c r="R655" s="20"/>
      <c r="S655" s="21" t="str" cm="1">
        <f t="array" ref="S655">IF(
OR(AD655="",ISERROR(AD655)),
"-",
_xlfn.UNIQUE(_xlfn._xlws.FILTER([1]Sheet1!$D$2:$D$200,ISNUMBER(SEARCH(AD655,[1]Sheet1!$D$2:$D$200))))
)</f>
        <v>-</v>
      </c>
      <c r="T655" s="22"/>
      <c r="U655" s="16" t="str" cm="1">
        <f t="array" ref="U655">IF(
OR(AD655="",ISERROR(AD655)),
"-",
_xlfn.UNIQUE(_xlfn._xlws.FILTER([1]Sheet1!$D$2:$D$200,ISNUMBER(SEARCH(AD655,[1]Sheet1!$D$2:$D$200))))
)</f>
        <v>-</v>
      </c>
      <c r="X655" s="23">
        <f t="shared" si="23"/>
        <v>0</v>
      </c>
      <c r="Z655" s="19"/>
      <c r="AA655" s="19"/>
      <c r="AC655" s="17" t="str">
        <f t="shared" si="24"/>
        <v>Y</v>
      </c>
      <c r="AD655" s="17"/>
      <c r="AF655" s="27"/>
      <c r="AG655" s="27"/>
    </row>
    <row r="656" spans="1:35" ht="34.950000000000003" customHeight="1" x14ac:dyDescent="0.4">
      <c r="C656" s="17"/>
      <c r="I656" s="19"/>
      <c r="J656" s="16" t="str">
        <f>IFERROR(VLOOKUP(I656,[1]Sheet1!$A$1:$B$200,2,0),"_")</f>
        <v>_</v>
      </c>
      <c r="K656" s="19"/>
      <c r="L656" s="16" t="str">
        <f>IFERROR(VLOOKUP(K656,[1]Sheet1!$A$1:$B$200,2,0),"-")</f>
        <v>-</v>
      </c>
      <c r="M656" s="19"/>
      <c r="N656" s="16" t="str">
        <f>IFERROR(VLOOKUP(M656,[1]Sheet1!$G$2:$H$200,2,0),"-")</f>
        <v>-</v>
      </c>
      <c r="P656" s="17"/>
      <c r="Q656" s="20"/>
      <c r="R656" s="20"/>
      <c r="S656" s="21" t="str" cm="1">
        <f t="array" ref="S656">IF(
OR(AD656="",ISERROR(AD656)),
"-",
_xlfn.UNIQUE(_xlfn._xlws.FILTER([1]Sheet1!$D$2:$D$200,ISNUMBER(SEARCH(AD656,[1]Sheet1!$D$2:$D$200))))
)</f>
        <v>-</v>
      </c>
      <c r="T656" s="22"/>
      <c r="U656" s="16" t="str" cm="1">
        <f t="array" ref="U656">IF(
OR(AD656="",ISERROR(AD656)),
"-",
_xlfn.UNIQUE(_xlfn._xlws.FILTER([1]Sheet1!$D$2:$D$200,ISNUMBER(SEARCH(AD656,[1]Sheet1!$D$2:$D$200))))
)</f>
        <v>-</v>
      </c>
      <c r="X656" s="23">
        <f t="shared" si="23"/>
        <v>0</v>
      </c>
      <c r="Z656" s="19"/>
      <c r="AA656" s="19"/>
      <c r="AC656" s="17" t="str">
        <f t="shared" si="24"/>
        <v>Y</v>
      </c>
      <c r="AD656" s="17"/>
      <c r="AF656" s="27"/>
      <c r="AG656" s="27"/>
    </row>
    <row r="657" spans="3:33" ht="34.950000000000003" customHeight="1" x14ac:dyDescent="0.4">
      <c r="C657" s="17"/>
      <c r="I657" s="19"/>
      <c r="J657" s="16" t="str">
        <f>IFERROR(VLOOKUP(I657,[1]Sheet1!$A$1:$B$200,2,0),"_")</f>
        <v>_</v>
      </c>
      <c r="K657" s="19"/>
      <c r="L657" s="16" t="str">
        <f>IFERROR(VLOOKUP(K657,[1]Sheet1!$A$1:$B$200,2,0),"-")</f>
        <v>-</v>
      </c>
      <c r="M657" s="19"/>
      <c r="N657" s="16" t="str">
        <f>IFERROR(VLOOKUP(M657,[1]Sheet1!$G$2:$H$200,2,0),"-")</f>
        <v>-</v>
      </c>
      <c r="P657" s="17"/>
      <c r="Q657" s="20"/>
      <c r="R657" s="20"/>
      <c r="S657" s="21" t="str" cm="1">
        <f t="array" ref="S657">IF(
OR(AD657="",ISERROR(AD657)),
"-",
_xlfn.UNIQUE(_xlfn._xlws.FILTER([1]Sheet1!$D$2:$D$200,ISNUMBER(SEARCH(AD657,[1]Sheet1!$D$2:$D$200))))
)</f>
        <v>-</v>
      </c>
      <c r="T657" s="22"/>
      <c r="U657" s="16" t="str" cm="1">
        <f t="array" ref="U657">IF(
OR(AD657="",ISERROR(AD657)),
"-",
_xlfn.UNIQUE(_xlfn._xlws.FILTER([1]Sheet1!$D$2:$D$200,ISNUMBER(SEARCH(AD657,[1]Sheet1!$D$2:$D$200))))
)</f>
        <v>-</v>
      </c>
      <c r="X657" s="23">
        <f t="shared" si="23"/>
        <v>0</v>
      </c>
      <c r="Z657" s="19"/>
      <c r="AA657" s="19"/>
      <c r="AC657" s="17" t="str">
        <f t="shared" si="24"/>
        <v>Y</v>
      </c>
      <c r="AD657" s="17"/>
      <c r="AF657" s="27"/>
      <c r="AG657" s="27"/>
    </row>
    <row r="658" spans="3:33" ht="34.950000000000003" customHeight="1" x14ac:dyDescent="0.4">
      <c r="C658" s="17"/>
      <c r="I658" s="19"/>
      <c r="J658" s="16" t="str">
        <f>IFERROR(VLOOKUP(I658,[1]Sheet1!$A$1:$B$200,2,0),"_")</f>
        <v>_</v>
      </c>
      <c r="K658" s="19"/>
      <c r="L658" s="16" t="str">
        <f>IFERROR(VLOOKUP(K658,[1]Sheet1!$A$1:$B$200,2,0),"-")</f>
        <v>-</v>
      </c>
      <c r="M658" s="19"/>
      <c r="N658" s="16" t="str">
        <f>IFERROR(VLOOKUP(M658,[1]Sheet1!$G$2:$H$200,2,0),"-")</f>
        <v>-</v>
      </c>
      <c r="P658" s="17"/>
      <c r="Q658" s="20"/>
      <c r="R658" s="20"/>
      <c r="S658" s="21" t="str" cm="1">
        <f t="array" ref="S658">IF(
OR(AD658="",ISERROR(AD658)),
"-",
_xlfn.UNIQUE(_xlfn._xlws.FILTER([1]Sheet1!$D$2:$D$200,ISNUMBER(SEARCH(AD658,[1]Sheet1!$D$2:$D$200))))
)</f>
        <v>-</v>
      </c>
      <c r="T658" s="22"/>
      <c r="U658" s="16" t="str" cm="1">
        <f t="array" ref="U658">IF(
OR(AD658="",ISERROR(AD658)),
"-",
_xlfn.UNIQUE(_xlfn._xlws.FILTER([1]Sheet1!$D$2:$D$200,ISNUMBER(SEARCH(AD658,[1]Sheet1!$D$2:$D$200))))
)</f>
        <v>-</v>
      </c>
      <c r="X658" s="23">
        <f t="shared" si="23"/>
        <v>0</v>
      </c>
      <c r="Z658" s="19"/>
      <c r="AA658" s="19"/>
      <c r="AC658" s="17" t="str">
        <f t="shared" si="24"/>
        <v>Y</v>
      </c>
      <c r="AD658" s="17"/>
      <c r="AF658" s="27"/>
      <c r="AG658" s="27"/>
    </row>
    <row r="659" spans="3:33" ht="34.950000000000003" customHeight="1" x14ac:dyDescent="0.4">
      <c r="C659" s="17"/>
      <c r="I659" s="19"/>
      <c r="J659" s="16" t="str">
        <f>IFERROR(VLOOKUP(I659,[1]Sheet1!$A$1:$B$200,2,0),"_")</f>
        <v>_</v>
      </c>
      <c r="K659" s="19"/>
      <c r="L659" s="16" t="str">
        <f>IFERROR(VLOOKUP(K659,[1]Sheet1!$A$1:$B$200,2,0),"-")</f>
        <v>-</v>
      </c>
      <c r="M659" s="19"/>
      <c r="N659" s="16" t="str">
        <f>IFERROR(VLOOKUP(M659,[1]Sheet1!$G$2:$H$200,2,0),"-")</f>
        <v>-</v>
      </c>
      <c r="P659" s="17"/>
      <c r="Q659" s="20"/>
      <c r="R659" s="20"/>
      <c r="S659" s="21" t="str" cm="1">
        <f t="array" ref="S659">IF(
OR(AD659="",ISERROR(AD659)),
"-",
_xlfn.UNIQUE(_xlfn._xlws.FILTER([1]Sheet1!$D$2:$D$200,ISNUMBER(SEARCH(AD659,[1]Sheet1!$D$2:$D$200))))
)</f>
        <v>-</v>
      </c>
      <c r="T659" s="22"/>
      <c r="U659" s="16" t="str" cm="1">
        <f t="array" ref="U659">IF(
OR(AD659="",ISERROR(AD659)),
"-",
_xlfn.UNIQUE(_xlfn._xlws.FILTER([1]Sheet1!$D$2:$D$200,ISNUMBER(SEARCH(AD659,[1]Sheet1!$D$2:$D$200))))
)</f>
        <v>-</v>
      </c>
      <c r="X659" s="23">
        <f t="shared" si="23"/>
        <v>0</v>
      </c>
      <c r="Z659" s="19"/>
      <c r="AA659" s="19"/>
      <c r="AC659" s="17" t="str">
        <f t="shared" si="24"/>
        <v>Y</v>
      </c>
      <c r="AD659" s="17"/>
      <c r="AF659" s="27"/>
      <c r="AG659" s="27"/>
    </row>
    <row r="660" spans="3:33" ht="34.950000000000003" customHeight="1" x14ac:dyDescent="0.4">
      <c r="C660" s="17"/>
      <c r="I660" s="19"/>
      <c r="J660" s="16" t="str">
        <f>IFERROR(VLOOKUP(I660,[1]Sheet1!$A$1:$B$200,2,0),"_")</f>
        <v>_</v>
      </c>
      <c r="K660" s="19"/>
      <c r="L660" s="16" t="str">
        <f>IFERROR(VLOOKUP(K660,[1]Sheet1!$A$1:$B$200,2,0),"-")</f>
        <v>-</v>
      </c>
      <c r="M660" s="19"/>
      <c r="N660" s="16" t="str">
        <f>IFERROR(VLOOKUP(M660,[1]Sheet1!$G$2:$H$200,2,0),"-")</f>
        <v>-</v>
      </c>
      <c r="P660" s="17"/>
      <c r="Q660" s="20"/>
      <c r="R660" s="20"/>
      <c r="S660" s="21" t="str" cm="1">
        <f t="array" ref="S660">IF(
OR(AD660="",ISERROR(AD660)),
"-",
_xlfn.UNIQUE(_xlfn._xlws.FILTER([1]Sheet1!$D$2:$D$200,ISNUMBER(SEARCH(AD660,[1]Sheet1!$D$2:$D$200))))
)</f>
        <v>-</v>
      </c>
      <c r="T660" s="22"/>
      <c r="U660" s="16" t="str" cm="1">
        <f t="array" ref="U660">IF(
OR(AD660="",ISERROR(AD660)),
"-",
_xlfn.UNIQUE(_xlfn._xlws.FILTER([1]Sheet1!$D$2:$D$200,ISNUMBER(SEARCH(AD660,[1]Sheet1!$D$2:$D$200))))
)</f>
        <v>-</v>
      </c>
      <c r="X660" s="23">
        <f t="shared" si="23"/>
        <v>0</v>
      </c>
      <c r="Z660" s="19"/>
      <c r="AA660" s="19"/>
      <c r="AC660" s="17" t="str">
        <f t="shared" si="24"/>
        <v>Y</v>
      </c>
      <c r="AD660" s="17"/>
      <c r="AF660" s="27"/>
      <c r="AG660" s="27"/>
    </row>
    <row r="661" spans="3:33" ht="34.950000000000003" customHeight="1" x14ac:dyDescent="0.4">
      <c r="C661" s="17"/>
      <c r="I661" s="19"/>
      <c r="J661" s="16" t="str">
        <f>IFERROR(VLOOKUP(I661,[1]Sheet1!$A$1:$B$200,2,0),"_")</f>
        <v>_</v>
      </c>
      <c r="K661" s="19"/>
      <c r="L661" s="16" t="str">
        <f>IFERROR(VLOOKUP(K661,[1]Sheet1!$A$1:$B$200,2,0),"-")</f>
        <v>-</v>
      </c>
      <c r="M661" s="19"/>
      <c r="N661" s="16" t="str">
        <f>IFERROR(VLOOKUP(M661,[1]Sheet1!$G$2:$H$200,2,0),"-")</f>
        <v>-</v>
      </c>
      <c r="P661" s="17"/>
      <c r="Q661" s="20"/>
      <c r="R661" s="20"/>
      <c r="S661" s="21" t="str" cm="1">
        <f t="array" ref="S661">IF(
OR(AD661="",ISERROR(AD661)),
"-",
_xlfn.UNIQUE(_xlfn._xlws.FILTER([1]Sheet1!$D$2:$D$200,ISNUMBER(SEARCH(AD661,[1]Sheet1!$D$2:$D$200))))
)</f>
        <v>-</v>
      </c>
      <c r="T661" s="22"/>
      <c r="U661" s="16" t="str" cm="1">
        <f t="array" ref="U661">IF(
OR(AD661="",ISERROR(AD661)),
"-",
_xlfn.UNIQUE(_xlfn._xlws.FILTER([1]Sheet1!$D$2:$D$200,ISNUMBER(SEARCH(AD661,[1]Sheet1!$D$2:$D$200))))
)</f>
        <v>-</v>
      </c>
      <c r="X661" s="23">
        <f t="shared" si="23"/>
        <v>0</v>
      </c>
      <c r="Z661" s="19"/>
      <c r="AA661" s="19"/>
      <c r="AC661" s="17" t="str">
        <f t="shared" si="24"/>
        <v>Y</v>
      </c>
      <c r="AD661" s="17"/>
      <c r="AF661" s="27"/>
      <c r="AG661" s="27"/>
    </row>
    <row r="662" spans="3:33" ht="34.950000000000003" customHeight="1" x14ac:dyDescent="0.4">
      <c r="C662" s="17"/>
      <c r="I662" s="19"/>
      <c r="J662" s="16" t="str">
        <f>IFERROR(VLOOKUP(I662,[1]Sheet1!$A$1:$B$200,2,0),"_")</f>
        <v>_</v>
      </c>
      <c r="K662" s="19"/>
      <c r="L662" s="16" t="str">
        <f>IFERROR(VLOOKUP(K662,[1]Sheet1!$A$1:$B$200,2,0),"-")</f>
        <v>-</v>
      </c>
      <c r="M662" s="19"/>
      <c r="N662" s="16" t="str">
        <f>IFERROR(VLOOKUP(M662,[1]Sheet1!$G$2:$H$200,2,0),"-")</f>
        <v>-</v>
      </c>
      <c r="P662" s="17"/>
      <c r="Q662" s="20"/>
      <c r="R662" s="20"/>
      <c r="S662" s="21" t="str" cm="1">
        <f t="array" ref="S662">IF(
OR(AD662="",ISERROR(AD662)),
"-",
_xlfn.UNIQUE(_xlfn._xlws.FILTER([1]Sheet1!$D$2:$D$200,ISNUMBER(SEARCH(AD662,[1]Sheet1!$D$2:$D$200))))
)</f>
        <v>-</v>
      </c>
      <c r="T662" s="22"/>
      <c r="U662" s="16" t="str" cm="1">
        <f t="array" ref="U662">IF(
OR(AD662="",ISERROR(AD662)),
"-",
_xlfn.UNIQUE(_xlfn._xlws.FILTER([1]Sheet1!$D$2:$D$200,ISNUMBER(SEARCH(AD662,[1]Sheet1!$D$2:$D$200))))
)</f>
        <v>-</v>
      </c>
      <c r="X662" s="23">
        <f t="shared" si="23"/>
        <v>0</v>
      </c>
      <c r="Z662" s="19"/>
      <c r="AA662" s="19"/>
      <c r="AC662" s="17" t="str">
        <f t="shared" si="24"/>
        <v>Y</v>
      </c>
      <c r="AD662" s="17"/>
      <c r="AF662" s="27"/>
      <c r="AG662" s="27"/>
    </row>
    <row r="663" spans="3:33" ht="34.950000000000003" customHeight="1" x14ac:dyDescent="0.4">
      <c r="C663" s="17"/>
      <c r="I663" s="19"/>
      <c r="J663" s="16" t="str">
        <f>IFERROR(VLOOKUP(I663,[1]Sheet1!$A$1:$B$200,2,0),"_")</f>
        <v>_</v>
      </c>
      <c r="K663" s="19"/>
      <c r="L663" s="16" t="str">
        <f>IFERROR(VLOOKUP(K663,[1]Sheet1!$A$1:$B$200,2,0),"-")</f>
        <v>-</v>
      </c>
      <c r="M663" s="19"/>
      <c r="N663" s="16" t="str">
        <f>IFERROR(VLOOKUP(M663,[1]Sheet1!$G$2:$H$200,2,0),"-")</f>
        <v>-</v>
      </c>
      <c r="P663" s="17"/>
      <c r="Q663" s="20"/>
      <c r="R663" s="20"/>
      <c r="S663" s="21" t="str" cm="1">
        <f t="array" ref="S663">IF(
OR(AD663="",ISERROR(AD663)),
"-",
_xlfn.UNIQUE(_xlfn._xlws.FILTER([1]Sheet1!$D$2:$D$200,ISNUMBER(SEARCH(AD663,[1]Sheet1!$D$2:$D$200))))
)</f>
        <v>-</v>
      </c>
      <c r="T663" s="22"/>
      <c r="U663" s="16" t="str" cm="1">
        <f t="array" ref="U663">IF(
OR(AD663="",ISERROR(AD663)),
"-",
_xlfn.UNIQUE(_xlfn._xlws.FILTER([1]Sheet1!$D$2:$D$200,ISNUMBER(SEARCH(AD663,[1]Sheet1!$D$2:$D$200))))
)</f>
        <v>-</v>
      </c>
      <c r="X663" s="23">
        <f t="shared" si="23"/>
        <v>0</v>
      </c>
      <c r="Z663" s="19"/>
      <c r="AA663" s="19"/>
      <c r="AC663" s="17" t="str">
        <f t="shared" si="24"/>
        <v>Y</v>
      </c>
      <c r="AD663" s="17"/>
      <c r="AF663" s="27"/>
      <c r="AG663" s="27"/>
    </row>
    <row r="664" spans="3:33" ht="34.950000000000003" customHeight="1" x14ac:dyDescent="0.4">
      <c r="C664" s="17"/>
      <c r="I664" s="19"/>
      <c r="J664" s="16" t="str">
        <f>IFERROR(VLOOKUP(I664,[1]Sheet1!$A$1:$B$200,2,0),"_")</f>
        <v>_</v>
      </c>
      <c r="K664" s="19"/>
      <c r="L664" s="16" t="str">
        <f>IFERROR(VLOOKUP(K664,[1]Sheet1!$A$1:$B$200,2,0),"-")</f>
        <v>-</v>
      </c>
      <c r="M664" s="19"/>
      <c r="N664" s="16" t="str">
        <f>IFERROR(VLOOKUP(M664,[1]Sheet1!$G$2:$H$200,2,0),"-")</f>
        <v>-</v>
      </c>
      <c r="P664" s="17"/>
      <c r="Q664" s="20"/>
      <c r="R664" s="20"/>
      <c r="S664" s="21" t="str" cm="1">
        <f t="array" ref="S664">IF(
OR(AD664="",ISERROR(AD664)),
"-",
_xlfn.UNIQUE(_xlfn._xlws.FILTER([1]Sheet1!$D$2:$D$200,ISNUMBER(SEARCH(AD664,[1]Sheet1!$D$2:$D$200))))
)</f>
        <v>-</v>
      </c>
      <c r="T664" s="22"/>
      <c r="U664" s="16" t="str" cm="1">
        <f t="array" ref="U664">IF(
OR(AD664="",ISERROR(AD664)),
"-",
_xlfn.UNIQUE(_xlfn._xlws.FILTER([1]Sheet1!$D$2:$D$200,ISNUMBER(SEARCH(AD664,[1]Sheet1!$D$2:$D$200))))
)</f>
        <v>-</v>
      </c>
      <c r="X664" s="23">
        <f t="shared" si="23"/>
        <v>0</v>
      </c>
      <c r="Z664" s="19"/>
      <c r="AA664" s="19"/>
      <c r="AC664" s="17" t="str">
        <f t="shared" si="24"/>
        <v>Y</v>
      </c>
      <c r="AD664" s="17"/>
      <c r="AF664" s="27"/>
      <c r="AG664" s="27"/>
    </row>
    <row r="665" spans="3:33" ht="34.950000000000003" customHeight="1" x14ac:dyDescent="0.4">
      <c r="C665" s="17"/>
      <c r="I665" s="19"/>
      <c r="J665" s="16" t="str">
        <f>IFERROR(VLOOKUP(I665,[1]Sheet1!$A$1:$B$200,2,0),"_")</f>
        <v>_</v>
      </c>
      <c r="K665" s="19"/>
      <c r="L665" s="16" t="str">
        <f>IFERROR(VLOOKUP(K665,[1]Sheet1!$A$1:$B$200,2,0),"-")</f>
        <v>-</v>
      </c>
      <c r="M665" s="19"/>
      <c r="N665" s="16" t="str">
        <f>IFERROR(VLOOKUP(M665,[1]Sheet1!$G$2:$H$200,2,0),"-")</f>
        <v>-</v>
      </c>
      <c r="P665" s="17"/>
      <c r="Q665" s="20"/>
      <c r="R665" s="20"/>
      <c r="S665" s="21" t="str" cm="1">
        <f t="array" ref="S665">IF(
OR(AD665="",ISERROR(AD665)),
"-",
_xlfn.UNIQUE(_xlfn._xlws.FILTER([1]Sheet1!$D$2:$D$200,ISNUMBER(SEARCH(AD665,[1]Sheet1!$D$2:$D$200))))
)</f>
        <v>-</v>
      </c>
      <c r="T665" s="22"/>
      <c r="U665" s="16" t="str" cm="1">
        <f t="array" ref="U665">IF(
OR(AD665="",ISERROR(AD665)),
"-",
_xlfn.UNIQUE(_xlfn._xlws.FILTER([1]Sheet1!$D$2:$D$200,ISNUMBER(SEARCH(AD665,[1]Sheet1!$D$2:$D$200))))
)</f>
        <v>-</v>
      </c>
      <c r="X665" s="23">
        <f t="shared" si="23"/>
        <v>0</v>
      </c>
      <c r="Z665" s="19"/>
      <c r="AA665" s="19"/>
      <c r="AC665" s="17" t="str">
        <f t="shared" si="24"/>
        <v>Y</v>
      </c>
      <c r="AD665" s="17"/>
      <c r="AF665" s="27"/>
      <c r="AG665" s="27"/>
    </row>
    <row r="666" spans="3:33" ht="34.950000000000003" customHeight="1" x14ac:dyDescent="0.4">
      <c r="C666" s="17"/>
      <c r="I666" s="19"/>
      <c r="J666" s="16" t="str">
        <f>IFERROR(VLOOKUP(I666,[1]Sheet1!$A$1:$B$200,2,0),"_")</f>
        <v>_</v>
      </c>
      <c r="K666" s="19"/>
      <c r="L666" s="16" t="str">
        <f>IFERROR(VLOOKUP(K666,[1]Sheet1!$A$1:$B$200,2,0),"-")</f>
        <v>-</v>
      </c>
      <c r="M666" s="19"/>
      <c r="N666" s="16" t="str">
        <f>IFERROR(VLOOKUP(M666,[1]Sheet1!$G$2:$H$200,2,0),"-")</f>
        <v>-</v>
      </c>
      <c r="P666" s="17"/>
      <c r="Q666" s="20"/>
      <c r="R666" s="20"/>
      <c r="S666" s="21" t="str" cm="1">
        <f t="array" ref="S666">IF(
OR(AD666="",ISERROR(AD666)),
"-",
_xlfn.UNIQUE(_xlfn._xlws.FILTER([1]Sheet1!$D$2:$D$200,ISNUMBER(SEARCH(AD666,[1]Sheet1!$D$2:$D$200))))
)</f>
        <v>-</v>
      </c>
      <c r="T666" s="22"/>
      <c r="U666" s="16" t="str" cm="1">
        <f t="array" ref="U666">IF(
OR(AD666="",ISERROR(AD666)),
"-",
_xlfn.UNIQUE(_xlfn._xlws.FILTER([1]Sheet1!$D$2:$D$200,ISNUMBER(SEARCH(AD666,[1]Sheet1!$D$2:$D$200))))
)</f>
        <v>-</v>
      </c>
      <c r="X666" s="23">
        <f t="shared" si="23"/>
        <v>0</v>
      </c>
      <c r="Z666" s="19"/>
      <c r="AA666" s="19"/>
      <c r="AC666" s="17" t="str">
        <f t="shared" si="24"/>
        <v>Y</v>
      </c>
      <c r="AD666" s="17"/>
      <c r="AF666" s="27"/>
      <c r="AG666" s="27"/>
    </row>
    <row r="667" spans="3:33" ht="34.950000000000003" customHeight="1" x14ac:dyDescent="0.4">
      <c r="C667" s="17"/>
      <c r="I667" s="19"/>
      <c r="J667" s="16" t="str">
        <f>IFERROR(VLOOKUP(I667,[1]Sheet1!$A$1:$B$200,2,0),"_")</f>
        <v>_</v>
      </c>
      <c r="K667" s="19"/>
      <c r="L667" s="16" t="str">
        <f>IFERROR(VLOOKUP(K667,[1]Sheet1!$A$1:$B$200,2,0),"-")</f>
        <v>-</v>
      </c>
      <c r="M667" s="19"/>
      <c r="N667" s="16" t="str">
        <f>IFERROR(VLOOKUP(M667,[1]Sheet1!$G$2:$H$200,2,0),"-")</f>
        <v>-</v>
      </c>
      <c r="P667" s="17"/>
      <c r="Q667" s="20"/>
      <c r="R667" s="20"/>
      <c r="S667" s="21" t="str" cm="1">
        <f t="array" ref="S667">IF(
OR(AD667="",ISERROR(AD667)),
"-",
_xlfn.UNIQUE(_xlfn._xlws.FILTER([1]Sheet1!$D$2:$D$200,ISNUMBER(SEARCH(AD667,[1]Sheet1!$D$2:$D$200))))
)</f>
        <v>-</v>
      </c>
      <c r="T667" s="22"/>
      <c r="U667" s="16" t="str" cm="1">
        <f t="array" ref="U667">IF(
OR(AD667="",ISERROR(AD667)),
"-",
_xlfn.UNIQUE(_xlfn._xlws.FILTER([1]Sheet1!$D$2:$D$200,ISNUMBER(SEARCH(AD667,[1]Sheet1!$D$2:$D$200))))
)</f>
        <v>-</v>
      </c>
      <c r="X667" s="23">
        <f t="shared" si="23"/>
        <v>0</v>
      </c>
      <c r="Z667" s="19"/>
      <c r="AA667" s="19"/>
      <c r="AC667" s="17" t="str">
        <f t="shared" si="24"/>
        <v>Y</v>
      </c>
      <c r="AD667" s="17"/>
      <c r="AF667" s="27"/>
      <c r="AG667" s="27"/>
    </row>
    <row r="668" spans="3:33" ht="34.950000000000003" customHeight="1" x14ac:dyDescent="0.4">
      <c r="C668" s="17"/>
      <c r="I668" s="19"/>
      <c r="J668" s="16" t="str">
        <f>IFERROR(VLOOKUP(I668,[1]Sheet1!$A$1:$B$200,2,0),"_")</f>
        <v>_</v>
      </c>
      <c r="K668" s="19"/>
      <c r="L668" s="16" t="str">
        <f>IFERROR(VLOOKUP(K668,[1]Sheet1!$A$1:$B$200,2,0),"-")</f>
        <v>-</v>
      </c>
      <c r="M668" s="19"/>
      <c r="N668" s="16" t="str">
        <f>IFERROR(VLOOKUP(M668,[1]Sheet1!$G$2:$H$200,2,0),"-")</f>
        <v>-</v>
      </c>
      <c r="P668" s="17"/>
      <c r="Q668" s="20"/>
      <c r="R668" s="20"/>
      <c r="S668" s="21" t="str" cm="1">
        <f t="array" ref="S668">IF(
OR(AD668="",ISERROR(AD668)),
"-",
_xlfn.UNIQUE(_xlfn._xlws.FILTER([1]Sheet1!$D$2:$D$200,ISNUMBER(SEARCH(AD668,[1]Sheet1!$D$2:$D$200))))
)</f>
        <v>-</v>
      </c>
      <c r="T668" s="22"/>
      <c r="U668" s="16" t="str" cm="1">
        <f t="array" ref="U668">IF(
OR(AD668="",ISERROR(AD668)),
"-",
_xlfn.UNIQUE(_xlfn._xlws.FILTER([1]Sheet1!$D$2:$D$200,ISNUMBER(SEARCH(AD668,[1]Sheet1!$D$2:$D$200))))
)</f>
        <v>-</v>
      </c>
      <c r="X668" s="23">
        <f t="shared" si="23"/>
        <v>0</v>
      </c>
      <c r="Z668" s="19"/>
      <c r="AA668" s="19"/>
      <c r="AC668" s="17" t="str">
        <f t="shared" si="24"/>
        <v>Y</v>
      </c>
      <c r="AD668" s="17"/>
      <c r="AF668" s="27"/>
      <c r="AG668" s="27"/>
    </row>
    <row r="669" spans="3:33" ht="34.950000000000003" customHeight="1" x14ac:dyDescent="0.4">
      <c r="C669" s="17"/>
      <c r="I669" s="19"/>
      <c r="J669" s="16" t="str">
        <f>IFERROR(VLOOKUP(I669,[1]Sheet1!$A$1:$B$200,2,0),"_")</f>
        <v>_</v>
      </c>
      <c r="K669" s="19"/>
      <c r="L669" s="16" t="str">
        <f>IFERROR(VLOOKUP(K669,[1]Sheet1!$A$1:$B$200,2,0),"-")</f>
        <v>-</v>
      </c>
      <c r="M669" s="19"/>
      <c r="N669" s="16" t="str">
        <f>IFERROR(VLOOKUP(M669,[1]Sheet1!$G$2:$H$200,2,0),"-")</f>
        <v>-</v>
      </c>
      <c r="P669" s="17"/>
      <c r="Q669" s="20"/>
      <c r="R669" s="20"/>
      <c r="S669" s="21" t="str" cm="1">
        <f t="array" ref="S669">IF(
OR(AD669="",ISERROR(AD669)),
"-",
_xlfn.UNIQUE(_xlfn._xlws.FILTER([1]Sheet1!$D$2:$D$200,ISNUMBER(SEARCH(AD669,[1]Sheet1!$D$2:$D$200))))
)</f>
        <v>-</v>
      </c>
      <c r="T669" s="22"/>
      <c r="U669" s="16" t="str" cm="1">
        <f t="array" ref="U669">IF(
OR(AD669="",ISERROR(AD669)),
"-",
_xlfn.UNIQUE(_xlfn._xlws.FILTER([1]Sheet1!$D$2:$D$200,ISNUMBER(SEARCH(AD669,[1]Sheet1!$D$2:$D$200))))
)</f>
        <v>-</v>
      </c>
      <c r="X669" s="23">
        <f t="shared" si="23"/>
        <v>0</v>
      </c>
      <c r="Z669" s="19"/>
      <c r="AA669" s="19"/>
      <c r="AC669" s="17" t="str">
        <f t="shared" si="24"/>
        <v>Y</v>
      </c>
      <c r="AD669" s="17"/>
      <c r="AF669" s="27"/>
      <c r="AG669" s="27"/>
    </row>
    <row r="670" spans="3:33" ht="34.950000000000003" customHeight="1" x14ac:dyDescent="0.4">
      <c r="C670" s="17"/>
      <c r="I670" s="19"/>
      <c r="J670" s="16" t="str">
        <f>IFERROR(VLOOKUP(I670,[1]Sheet1!$A$1:$B$200,2,0),"_")</f>
        <v>_</v>
      </c>
      <c r="K670" s="19"/>
      <c r="L670" s="16" t="str">
        <f>IFERROR(VLOOKUP(K670,[1]Sheet1!$A$1:$B$200,2,0),"-")</f>
        <v>-</v>
      </c>
      <c r="M670" s="19"/>
      <c r="N670" s="16" t="str">
        <f>IFERROR(VLOOKUP(M670,[1]Sheet1!$G$2:$H$200,2,0),"-")</f>
        <v>-</v>
      </c>
      <c r="P670" s="17"/>
      <c r="Q670" s="20"/>
      <c r="R670" s="20"/>
      <c r="S670" s="21" t="str" cm="1">
        <f t="array" ref="S670">IF(
OR(AD670="",ISERROR(AD670)),
"-",
_xlfn.UNIQUE(_xlfn._xlws.FILTER([1]Sheet1!$D$2:$D$200,ISNUMBER(SEARCH(AD670,[1]Sheet1!$D$2:$D$200))))
)</f>
        <v>-</v>
      </c>
      <c r="T670" s="22"/>
      <c r="U670" s="16" t="str" cm="1">
        <f t="array" ref="U670">IF(
OR(AD670="",ISERROR(AD670)),
"-",
_xlfn.UNIQUE(_xlfn._xlws.FILTER([1]Sheet1!$D$2:$D$200,ISNUMBER(SEARCH(AD670,[1]Sheet1!$D$2:$D$200))))
)</f>
        <v>-</v>
      </c>
      <c r="X670" s="23">
        <f t="shared" si="23"/>
        <v>0</v>
      </c>
      <c r="Z670" s="19"/>
      <c r="AA670" s="19"/>
      <c r="AC670" s="17" t="str">
        <f t="shared" si="24"/>
        <v>Y</v>
      </c>
      <c r="AD670" s="17"/>
      <c r="AF670" s="27"/>
      <c r="AG670" s="27"/>
    </row>
    <row r="671" spans="3:33" ht="34.950000000000003" customHeight="1" x14ac:dyDescent="0.4">
      <c r="C671" s="17"/>
      <c r="I671" s="19"/>
      <c r="J671" s="16" t="str">
        <f>IFERROR(VLOOKUP(I671,[1]Sheet1!$A$1:$B$200,2,0),"_")</f>
        <v>_</v>
      </c>
      <c r="K671" s="19"/>
      <c r="L671" s="16" t="str">
        <f>IFERROR(VLOOKUP(K671,[1]Sheet1!$A$1:$B$200,2,0),"-")</f>
        <v>-</v>
      </c>
      <c r="M671" s="19"/>
      <c r="N671" s="16" t="str">
        <f>IFERROR(VLOOKUP(M671,[1]Sheet1!$G$2:$H$200,2,0),"-")</f>
        <v>-</v>
      </c>
      <c r="P671" s="17"/>
      <c r="Q671" s="20"/>
      <c r="R671" s="20"/>
      <c r="S671" s="21" t="str" cm="1">
        <f t="array" ref="S671">IF(
OR(AD671="",ISERROR(AD671)),
"-",
_xlfn.UNIQUE(_xlfn._xlws.FILTER([1]Sheet1!$D$2:$D$200,ISNUMBER(SEARCH(AD671,[1]Sheet1!$D$2:$D$200))))
)</f>
        <v>-</v>
      </c>
      <c r="T671" s="22"/>
      <c r="U671" s="16" t="str" cm="1">
        <f t="array" ref="U671">IF(
OR(AD671="",ISERROR(AD671)),
"-",
_xlfn.UNIQUE(_xlfn._xlws.FILTER([1]Sheet1!$D$2:$D$200,ISNUMBER(SEARCH(AD671,[1]Sheet1!$D$2:$D$200))))
)</f>
        <v>-</v>
      </c>
      <c r="X671" s="23">
        <f t="shared" si="23"/>
        <v>0</v>
      </c>
      <c r="Z671" s="19"/>
      <c r="AA671" s="19"/>
      <c r="AC671" s="17" t="str">
        <f t="shared" si="24"/>
        <v>Y</v>
      </c>
      <c r="AD671" s="17"/>
      <c r="AF671" s="27"/>
      <c r="AG671" s="27"/>
    </row>
    <row r="672" spans="3:33" ht="34.950000000000003" customHeight="1" x14ac:dyDescent="0.4">
      <c r="C672" s="17"/>
      <c r="I672" s="19"/>
      <c r="J672" s="16" t="str">
        <f>IFERROR(VLOOKUP(I672,[1]Sheet1!$A$1:$B$200,2,0),"_")</f>
        <v>_</v>
      </c>
      <c r="K672" s="19"/>
      <c r="L672" s="16" t="str">
        <f>IFERROR(VLOOKUP(K672,[1]Sheet1!$A$1:$B$200,2,0),"-")</f>
        <v>-</v>
      </c>
      <c r="M672" s="19"/>
      <c r="N672" s="16" t="str">
        <f>IFERROR(VLOOKUP(M672,[1]Sheet1!$G$2:$H$200,2,0),"-")</f>
        <v>-</v>
      </c>
      <c r="P672" s="17"/>
      <c r="Q672" s="20"/>
      <c r="R672" s="20"/>
      <c r="S672" s="21" t="str" cm="1">
        <f t="array" ref="S672">IF(
OR(AD672="",ISERROR(AD672)),
"-",
_xlfn.UNIQUE(_xlfn._xlws.FILTER([1]Sheet1!$D$2:$D$200,ISNUMBER(SEARCH(AD672,[1]Sheet1!$D$2:$D$200))))
)</f>
        <v>-</v>
      </c>
      <c r="T672" s="22"/>
      <c r="U672" s="16" t="str" cm="1">
        <f t="array" ref="U672">IF(
OR(AD672="",ISERROR(AD672)),
"-",
_xlfn.UNIQUE(_xlfn._xlws.FILTER([1]Sheet1!$D$2:$D$200,ISNUMBER(SEARCH(AD672,[1]Sheet1!$D$2:$D$200))))
)</f>
        <v>-</v>
      </c>
      <c r="X672" s="23">
        <f t="shared" si="23"/>
        <v>0</v>
      </c>
      <c r="Z672" s="19"/>
      <c r="AA672" s="19"/>
      <c r="AC672" s="17" t="str">
        <f t="shared" si="24"/>
        <v>Y</v>
      </c>
      <c r="AD672" s="17"/>
      <c r="AF672" s="27"/>
      <c r="AG672" s="27"/>
    </row>
    <row r="673" spans="3:33" ht="34.950000000000003" customHeight="1" x14ac:dyDescent="0.4">
      <c r="C673" s="17"/>
      <c r="I673" s="19"/>
      <c r="J673" s="16" t="str">
        <f>IFERROR(VLOOKUP(I673,[1]Sheet1!$A$1:$B$200,2,0),"_")</f>
        <v>_</v>
      </c>
      <c r="K673" s="19"/>
      <c r="L673" s="16" t="str">
        <f>IFERROR(VLOOKUP(K673,[1]Sheet1!$A$1:$B$200,2,0),"-")</f>
        <v>-</v>
      </c>
      <c r="M673" s="19"/>
      <c r="N673" s="16" t="str">
        <f>IFERROR(VLOOKUP(M673,[1]Sheet1!$G$2:$H$200,2,0),"-")</f>
        <v>-</v>
      </c>
      <c r="P673" s="17"/>
      <c r="Q673" s="20"/>
      <c r="R673" s="20"/>
      <c r="S673" s="21" t="str" cm="1">
        <f t="array" ref="S673">IF(
OR(AD673="",ISERROR(AD673)),
"-",
_xlfn.UNIQUE(_xlfn._xlws.FILTER([1]Sheet1!$D$2:$D$200,ISNUMBER(SEARCH(AD673,[1]Sheet1!$D$2:$D$200))))
)</f>
        <v>-</v>
      </c>
      <c r="T673" s="22"/>
      <c r="U673" s="16" t="str" cm="1">
        <f t="array" ref="U673">IF(
OR(AD673="",ISERROR(AD673)),
"-",
_xlfn.UNIQUE(_xlfn._xlws.FILTER([1]Sheet1!$D$2:$D$200,ISNUMBER(SEARCH(AD673,[1]Sheet1!$D$2:$D$200))))
)</f>
        <v>-</v>
      </c>
      <c r="X673" s="23">
        <f t="shared" si="23"/>
        <v>0</v>
      </c>
      <c r="Z673" s="19"/>
      <c r="AA673" s="19"/>
      <c r="AC673" s="17" t="str">
        <f t="shared" si="24"/>
        <v>Y</v>
      </c>
      <c r="AD673" s="17"/>
      <c r="AF673" s="27"/>
      <c r="AG673" s="27"/>
    </row>
    <row r="674" spans="3:33" ht="34.950000000000003" customHeight="1" x14ac:dyDescent="0.4">
      <c r="C674" s="17"/>
      <c r="I674" s="19"/>
      <c r="J674" s="16" t="str">
        <f>IFERROR(VLOOKUP(I674,[1]Sheet1!$A$1:$B$200,2,0),"_")</f>
        <v>_</v>
      </c>
      <c r="K674" s="19"/>
      <c r="L674" s="16" t="str">
        <f>IFERROR(VLOOKUP(K674,[1]Sheet1!$A$1:$B$200,2,0),"-")</f>
        <v>-</v>
      </c>
      <c r="M674" s="19"/>
      <c r="N674" s="16" t="str">
        <f>IFERROR(VLOOKUP(M674,[1]Sheet1!$G$2:$H$200,2,0),"-")</f>
        <v>-</v>
      </c>
      <c r="P674" s="17"/>
      <c r="Q674" s="20"/>
      <c r="R674" s="20"/>
      <c r="S674" s="21" t="str" cm="1">
        <f t="array" ref="S674">IF(
OR(AD674="",ISERROR(AD674)),
"-",
_xlfn.UNIQUE(_xlfn._xlws.FILTER([1]Sheet1!$D$2:$D$200,ISNUMBER(SEARCH(AD674,[1]Sheet1!$D$2:$D$200))))
)</f>
        <v>-</v>
      </c>
      <c r="T674" s="22"/>
      <c r="U674" s="16" t="str" cm="1">
        <f t="array" ref="U674">IF(
OR(AD674="",ISERROR(AD674)),
"-",
_xlfn.UNIQUE(_xlfn._xlws.FILTER([1]Sheet1!$D$2:$D$200,ISNUMBER(SEARCH(AD674,[1]Sheet1!$D$2:$D$200))))
)</f>
        <v>-</v>
      </c>
      <c r="X674" s="23">
        <f t="shared" si="23"/>
        <v>0</v>
      </c>
      <c r="Z674" s="19"/>
      <c r="AA674" s="19"/>
      <c r="AC674" s="17" t="str">
        <f t="shared" si="24"/>
        <v>Y</v>
      </c>
      <c r="AD674" s="17"/>
      <c r="AF674" s="27"/>
      <c r="AG674" s="27"/>
    </row>
    <row r="675" spans="3:33" ht="34.950000000000003" customHeight="1" x14ac:dyDescent="0.4">
      <c r="C675" s="17"/>
      <c r="I675" s="19"/>
      <c r="J675" s="16" t="str">
        <f>IFERROR(VLOOKUP(I675,[1]Sheet1!$A$1:$B$200,2,0),"_")</f>
        <v>_</v>
      </c>
      <c r="K675" s="19"/>
      <c r="L675" s="16" t="str">
        <f>IFERROR(VLOOKUP(K675,[1]Sheet1!$A$1:$B$200,2,0),"-")</f>
        <v>-</v>
      </c>
      <c r="M675" s="19"/>
      <c r="N675" s="16" t="str">
        <f>IFERROR(VLOOKUP(M675,[1]Sheet1!$G$2:$H$200,2,0),"-")</f>
        <v>-</v>
      </c>
      <c r="P675" s="17"/>
      <c r="Q675" s="20"/>
      <c r="R675" s="20"/>
      <c r="S675" s="21" t="str" cm="1">
        <f t="array" ref="S675">IF(
OR(AD675="",ISERROR(AD675)),
"-",
_xlfn.UNIQUE(_xlfn._xlws.FILTER([1]Sheet1!$D$2:$D$200,ISNUMBER(SEARCH(AD675,[1]Sheet1!$D$2:$D$200))))
)</f>
        <v>-</v>
      </c>
      <c r="T675" s="22"/>
      <c r="U675" s="16" t="str" cm="1">
        <f t="array" ref="U675">IF(
OR(AD675="",ISERROR(AD675)),
"-",
_xlfn.UNIQUE(_xlfn._xlws.FILTER([1]Sheet1!$D$2:$D$200,ISNUMBER(SEARCH(AD675,[1]Sheet1!$D$2:$D$200))))
)</f>
        <v>-</v>
      </c>
      <c r="X675" s="23">
        <f t="shared" si="23"/>
        <v>0</v>
      </c>
      <c r="Z675" s="19"/>
      <c r="AA675" s="19"/>
      <c r="AC675" s="17" t="str">
        <f t="shared" si="24"/>
        <v>Y</v>
      </c>
      <c r="AD675" s="17"/>
      <c r="AF675" s="27"/>
      <c r="AG675" s="27"/>
    </row>
    <row r="676" spans="3:33" ht="34.950000000000003" customHeight="1" x14ac:dyDescent="0.4">
      <c r="C676" s="17"/>
      <c r="I676" s="19"/>
      <c r="J676" s="16" t="str">
        <f>IFERROR(VLOOKUP(I676,[1]Sheet1!$A$1:$B$200,2,0),"_")</f>
        <v>_</v>
      </c>
      <c r="K676" s="19"/>
      <c r="L676" s="16" t="str">
        <f>IFERROR(VLOOKUP(K676,[1]Sheet1!$A$1:$B$200,2,0),"-")</f>
        <v>-</v>
      </c>
      <c r="M676" s="19"/>
      <c r="N676" s="16" t="str">
        <f>IFERROR(VLOOKUP(M676,[1]Sheet1!$G$2:$H$200,2,0),"-")</f>
        <v>-</v>
      </c>
      <c r="P676" s="17"/>
      <c r="Q676" s="20"/>
      <c r="R676" s="20"/>
      <c r="S676" s="21" t="str" cm="1">
        <f t="array" ref="S676">IF(
OR(AD676="",ISERROR(AD676)),
"-",
_xlfn.UNIQUE(_xlfn._xlws.FILTER([1]Sheet1!$D$2:$D$200,ISNUMBER(SEARCH(AD676,[1]Sheet1!$D$2:$D$200))))
)</f>
        <v>-</v>
      </c>
      <c r="T676" s="22"/>
      <c r="U676" s="16" t="str" cm="1">
        <f t="array" ref="U676">IF(
OR(AD676="",ISERROR(AD676)),
"-",
_xlfn.UNIQUE(_xlfn._xlws.FILTER([1]Sheet1!$D$2:$D$200,ISNUMBER(SEARCH(AD676,[1]Sheet1!$D$2:$D$200))))
)</f>
        <v>-</v>
      </c>
      <c r="X676" s="23">
        <f t="shared" si="23"/>
        <v>0</v>
      </c>
      <c r="Z676" s="19"/>
      <c r="AA676" s="19"/>
      <c r="AC676" s="17" t="str">
        <f t="shared" si="24"/>
        <v>Y</v>
      </c>
      <c r="AD676" s="17"/>
      <c r="AF676" s="27"/>
      <c r="AG676" s="27"/>
    </row>
    <row r="677" spans="3:33" ht="34.950000000000003" customHeight="1" x14ac:dyDescent="0.4">
      <c r="C677" s="17"/>
      <c r="I677" s="19"/>
      <c r="J677" s="16" t="str">
        <f>IFERROR(VLOOKUP(I677,[1]Sheet1!$A$1:$B$200,2,0),"_")</f>
        <v>_</v>
      </c>
      <c r="K677" s="19"/>
      <c r="L677" s="16" t="str">
        <f>IFERROR(VLOOKUP(K677,[1]Sheet1!$A$1:$B$200,2,0),"-")</f>
        <v>-</v>
      </c>
      <c r="M677" s="19"/>
      <c r="N677" s="16" t="str">
        <f>IFERROR(VLOOKUP(M677,[1]Sheet1!$G$2:$H$200,2,0),"-")</f>
        <v>-</v>
      </c>
      <c r="P677" s="17"/>
      <c r="Q677" s="20"/>
      <c r="R677" s="20"/>
      <c r="S677" s="21" t="str" cm="1">
        <f t="array" ref="S677">IF(
OR(AD677="",ISERROR(AD677)),
"-",
_xlfn.UNIQUE(_xlfn._xlws.FILTER([1]Sheet1!$D$2:$D$200,ISNUMBER(SEARCH(AD677,[1]Sheet1!$D$2:$D$200))))
)</f>
        <v>-</v>
      </c>
      <c r="T677" s="22"/>
      <c r="U677" s="16" t="str" cm="1">
        <f t="array" ref="U677">IF(
OR(AD677="",ISERROR(AD677)),
"-",
_xlfn.UNIQUE(_xlfn._xlws.FILTER([1]Sheet1!$D$2:$D$200,ISNUMBER(SEARCH(AD677,[1]Sheet1!$D$2:$D$200))))
)</f>
        <v>-</v>
      </c>
      <c r="X677" s="23">
        <f t="shared" si="23"/>
        <v>0</v>
      </c>
      <c r="Z677" s="19"/>
      <c r="AA677" s="19"/>
      <c r="AC677" s="17" t="str">
        <f t="shared" si="24"/>
        <v>Y</v>
      </c>
      <c r="AD677" s="17"/>
      <c r="AF677" s="27"/>
      <c r="AG677" s="27"/>
    </row>
    <row r="678" spans="3:33" ht="34.950000000000003" customHeight="1" x14ac:dyDescent="0.4">
      <c r="C678" s="17"/>
      <c r="I678" s="19"/>
      <c r="J678" s="16" t="str">
        <f>IFERROR(VLOOKUP(I678,[1]Sheet1!$A$1:$B$200,2,0),"_")</f>
        <v>_</v>
      </c>
      <c r="K678" s="19"/>
      <c r="L678" s="16" t="str">
        <f>IFERROR(VLOOKUP(K678,[1]Sheet1!$A$1:$B$200,2,0),"-")</f>
        <v>-</v>
      </c>
      <c r="M678" s="19"/>
      <c r="N678" s="16" t="str">
        <f>IFERROR(VLOOKUP(M678,[1]Sheet1!$G$2:$H$200,2,0),"-")</f>
        <v>-</v>
      </c>
      <c r="P678" s="17"/>
      <c r="Q678" s="20"/>
      <c r="R678" s="20"/>
      <c r="S678" s="21" t="str" cm="1">
        <f t="array" ref="S678">IF(
OR(AD678="",ISERROR(AD678)),
"-",
_xlfn.UNIQUE(_xlfn._xlws.FILTER([1]Sheet1!$D$2:$D$200,ISNUMBER(SEARCH(AD678,[1]Sheet1!$D$2:$D$200))))
)</f>
        <v>-</v>
      </c>
      <c r="T678" s="22"/>
      <c r="U678" s="16" t="str" cm="1">
        <f t="array" ref="U678">IF(
OR(AD678="",ISERROR(AD678)),
"-",
_xlfn.UNIQUE(_xlfn._xlws.FILTER([1]Sheet1!$D$2:$D$200,ISNUMBER(SEARCH(AD678,[1]Sheet1!$D$2:$D$200))))
)</f>
        <v>-</v>
      </c>
      <c r="X678" s="23">
        <f t="shared" si="23"/>
        <v>0</v>
      </c>
      <c r="Z678" s="19"/>
      <c r="AA678" s="19"/>
      <c r="AC678" s="17" t="str">
        <f t="shared" si="24"/>
        <v>Y</v>
      </c>
      <c r="AD678" s="17"/>
      <c r="AF678" s="27"/>
      <c r="AG678" s="27"/>
    </row>
    <row r="679" spans="3:33" ht="34.950000000000003" customHeight="1" x14ac:dyDescent="0.4">
      <c r="C679" s="17"/>
      <c r="I679" s="19"/>
      <c r="J679" s="16" t="str">
        <f>IFERROR(VLOOKUP(I679,[1]Sheet1!$A$1:$B$200,2,0),"_")</f>
        <v>_</v>
      </c>
      <c r="K679" s="19"/>
      <c r="L679" s="16" t="str">
        <f>IFERROR(VLOOKUP(K679,[1]Sheet1!$A$1:$B$200,2,0),"-")</f>
        <v>-</v>
      </c>
      <c r="M679" s="19"/>
      <c r="N679" s="16" t="str">
        <f>IFERROR(VLOOKUP(M679,[1]Sheet1!$G$2:$H$200,2,0),"-")</f>
        <v>-</v>
      </c>
      <c r="P679" s="17"/>
      <c r="Q679" s="20"/>
      <c r="R679" s="20"/>
      <c r="S679" s="21" t="str" cm="1">
        <f t="array" ref="S679">IF(
OR(AD679="",ISERROR(AD679)),
"-",
_xlfn.UNIQUE(_xlfn._xlws.FILTER([1]Sheet1!$D$2:$D$200,ISNUMBER(SEARCH(AD679,[1]Sheet1!$D$2:$D$200))))
)</f>
        <v>-</v>
      </c>
      <c r="T679" s="22"/>
      <c r="U679" s="16" t="str" cm="1">
        <f t="array" ref="U679">IF(
OR(AD679="",ISERROR(AD679)),
"-",
_xlfn.UNIQUE(_xlfn._xlws.FILTER([1]Sheet1!$D$2:$D$200,ISNUMBER(SEARCH(AD679,[1]Sheet1!$D$2:$D$200))))
)</f>
        <v>-</v>
      </c>
      <c r="X679" s="23">
        <f t="shared" si="23"/>
        <v>0</v>
      </c>
      <c r="Z679" s="19"/>
      <c r="AA679" s="19"/>
      <c r="AC679" s="17" t="str">
        <f t="shared" si="24"/>
        <v>Y</v>
      </c>
      <c r="AD679" s="17"/>
      <c r="AF679" s="27"/>
      <c r="AG679" s="27"/>
    </row>
    <row r="680" spans="3:33" ht="34.950000000000003" customHeight="1" x14ac:dyDescent="0.4">
      <c r="C680" s="17"/>
      <c r="I680" s="19"/>
      <c r="J680" s="16" t="str">
        <f>IFERROR(VLOOKUP(I680,[1]Sheet1!$A$1:$B$200,2,0),"_")</f>
        <v>_</v>
      </c>
      <c r="K680" s="19"/>
      <c r="L680" s="16" t="str">
        <f>IFERROR(VLOOKUP(K680,[1]Sheet1!$A$1:$B$200,2,0),"-")</f>
        <v>-</v>
      </c>
      <c r="M680" s="19"/>
      <c r="N680" s="16" t="str">
        <f>IFERROR(VLOOKUP(M680,[1]Sheet1!$G$2:$H$200,2,0),"-")</f>
        <v>-</v>
      </c>
      <c r="P680" s="17"/>
      <c r="Q680" s="20"/>
      <c r="R680" s="20"/>
      <c r="S680" s="21" t="str" cm="1">
        <f t="array" ref="S680">IF(
OR(AD680="",ISERROR(AD680)),
"-",
_xlfn.UNIQUE(_xlfn._xlws.FILTER([1]Sheet1!$D$2:$D$200,ISNUMBER(SEARCH(AD680,[1]Sheet1!$D$2:$D$200))))
)</f>
        <v>-</v>
      </c>
      <c r="T680" s="22"/>
      <c r="U680" s="16" t="str" cm="1">
        <f t="array" ref="U680">IF(
OR(AD680="",ISERROR(AD680)),
"-",
_xlfn.UNIQUE(_xlfn._xlws.FILTER([1]Sheet1!$D$2:$D$200,ISNUMBER(SEARCH(AD680,[1]Sheet1!$D$2:$D$200))))
)</f>
        <v>-</v>
      </c>
      <c r="X680" s="23">
        <f t="shared" si="23"/>
        <v>0</v>
      </c>
      <c r="Z680" s="19"/>
      <c r="AA680" s="19"/>
      <c r="AC680" s="17" t="str">
        <f t="shared" si="24"/>
        <v>Y</v>
      </c>
      <c r="AD680" s="17"/>
      <c r="AF680" s="27"/>
      <c r="AG680" s="27"/>
    </row>
    <row r="681" spans="3:33" ht="34.950000000000003" customHeight="1" x14ac:dyDescent="0.4">
      <c r="C681" s="17"/>
      <c r="I681" s="19"/>
      <c r="J681" s="16" t="str">
        <f>IFERROR(VLOOKUP(I681,[1]Sheet1!$A$1:$B$200,2,0),"_")</f>
        <v>_</v>
      </c>
      <c r="K681" s="19"/>
      <c r="L681" s="16" t="str">
        <f>IFERROR(VLOOKUP(K681,[1]Sheet1!$A$1:$B$200,2,0),"-")</f>
        <v>-</v>
      </c>
      <c r="M681" s="19"/>
      <c r="N681" s="16" t="str">
        <f>IFERROR(VLOOKUP(M681,[1]Sheet1!$G$2:$H$200,2,0),"-")</f>
        <v>-</v>
      </c>
      <c r="P681" s="17"/>
      <c r="Q681" s="20"/>
      <c r="R681" s="20"/>
      <c r="S681" s="21" t="str" cm="1">
        <f t="array" ref="S681">IF(
OR(AD681="",ISERROR(AD681)),
"-",
_xlfn.UNIQUE(_xlfn._xlws.FILTER([1]Sheet1!$D$2:$D$200,ISNUMBER(SEARCH(AD681,[1]Sheet1!$D$2:$D$200))))
)</f>
        <v>-</v>
      </c>
      <c r="T681" s="22"/>
      <c r="U681" s="16" t="str" cm="1">
        <f t="array" ref="U681">IF(
OR(AD681="",ISERROR(AD681)),
"-",
_xlfn.UNIQUE(_xlfn._xlws.FILTER([1]Sheet1!$D$2:$D$200,ISNUMBER(SEARCH(AD681,[1]Sheet1!$D$2:$D$200))))
)</f>
        <v>-</v>
      </c>
      <c r="X681" s="23">
        <f t="shared" si="23"/>
        <v>0</v>
      </c>
      <c r="Z681" s="19"/>
      <c r="AA681" s="19"/>
      <c r="AC681" s="17" t="str">
        <f t="shared" si="24"/>
        <v>Y</v>
      </c>
      <c r="AD681" s="17"/>
      <c r="AF681" s="27"/>
      <c r="AG681" s="27"/>
    </row>
    <row r="682" spans="3:33" ht="34.950000000000003" customHeight="1" x14ac:dyDescent="0.4">
      <c r="C682" s="17"/>
      <c r="I682" s="19"/>
      <c r="J682" s="16" t="str">
        <f>IFERROR(VLOOKUP(I682,[1]Sheet1!$A$1:$B$200,2,0),"_")</f>
        <v>_</v>
      </c>
      <c r="K682" s="19"/>
      <c r="L682" s="16" t="str">
        <f>IFERROR(VLOOKUP(K682,[1]Sheet1!$A$1:$B$200,2,0),"-")</f>
        <v>-</v>
      </c>
      <c r="M682" s="19"/>
      <c r="N682" s="16" t="str">
        <f>IFERROR(VLOOKUP(M682,[1]Sheet1!$G$2:$H$200,2,0),"-")</f>
        <v>-</v>
      </c>
      <c r="P682" s="17"/>
      <c r="Q682" s="20"/>
      <c r="R682" s="20"/>
      <c r="S682" s="21" t="str" cm="1">
        <f t="array" ref="S682">IF(
OR(AD682="",ISERROR(AD682)),
"-",
_xlfn.UNIQUE(_xlfn._xlws.FILTER([1]Sheet1!$D$2:$D$200,ISNUMBER(SEARCH(AD682,[1]Sheet1!$D$2:$D$200))))
)</f>
        <v>-</v>
      </c>
      <c r="T682" s="22"/>
      <c r="U682" s="16" t="str" cm="1">
        <f t="array" ref="U682">IF(
OR(AD682="",ISERROR(AD682)),
"-",
_xlfn.UNIQUE(_xlfn._xlws.FILTER([1]Sheet1!$D$2:$D$200,ISNUMBER(SEARCH(AD682,[1]Sheet1!$D$2:$D$200))))
)</f>
        <v>-</v>
      </c>
      <c r="X682" s="23">
        <f t="shared" si="23"/>
        <v>0</v>
      </c>
      <c r="Z682" s="19"/>
      <c r="AA682" s="19"/>
      <c r="AC682" s="17" t="str">
        <f t="shared" si="24"/>
        <v>Y</v>
      </c>
      <c r="AD682" s="17"/>
      <c r="AF682" s="27"/>
      <c r="AG682" s="27"/>
    </row>
    <row r="683" spans="3:33" ht="34.950000000000003" customHeight="1" x14ac:dyDescent="0.4">
      <c r="C683" s="17"/>
      <c r="I683" s="19"/>
      <c r="J683" s="16" t="str">
        <f>IFERROR(VLOOKUP(I683,[1]Sheet1!$A$1:$B$200,2,0),"_")</f>
        <v>_</v>
      </c>
      <c r="K683" s="19"/>
      <c r="L683" s="16" t="str">
        <f>IFERROR(VLOOKUP(K683,[1]Sheet1!$A$1:$B$200,2,0),"-")</f>
        <v>-</v>
      </c>
      <c r="M683" s="19"/>
      <c r="N683" s="16" t="str">
        <f>IFERROR(VLOOKUP(M683,[1]Sheet1!$G$2:$H$200,2,0),"-")</f>
        <v>-</v>
      </c>
      <c r="P683" s="17"/>
      <c r="Q683" s="20"/>
      <c r="R683" s="20"/>
      <c r="S683" s="21" t="str" cm="1">
        <f t="array" ref="S683">IF(
OR(AD683="",ISERROR(AD683)),
"-",
_xlfn.UNIQUE(_xlfn._xlws.FILTER([1]Sheet1!$D$2:$D$200,ISNUMBER(SEARCH(AD683,[1]Sheet1!$D$2:$D$200))))
)</f>
        <v>-</v>
      </c>
      <c r="T683" s="22"/>
      <c r="U683" s="16" t="str" cm="1">
        <f t="array" ref="U683">IF(
OR(AD683="",ISERROR(AD683)),
"-",
_xlfn.UNIQUE(_xlfn._xlws.FILTER([1]Sheet1!$D$2:$D$200,ISNUMBER(SEARCH(AD683,[1]Sheet1!$D$2:$D$200))))
)</f>
        <v>-</v>
      </c>
      <c r="X683" s="23">
        <f t="shared" si="23"/>
        <v>0</v>
      </c>
      <c r="Z683" s="19"/>
      <c r="AA683" s="19"/>
      <c r="AC683" s="17" t="str">
        <f t="shared" si="24"/>
        <v>Y</v>
      </c>
      <c r="AD683" s="17"/>
      <c r="AF683" s="27"/>
      <c r="AG683" s="27"/>
    </row>
    <row r="684" spans="3:33" ht="34.950000000000003" customHeight="1" x14ac:dyDescent="0.4">
      <c r="C684" s="17"/>
      <c r="I684" s="19"/>
      <c r="J684" s="16" t="str">
        <f>IFERROR(VLOOKUP(I684,[1]Sheet1!$A$1:$B$200,2,0),"_")</f>
        <v>_</v>
      </c>
      <c r="K684" s="19"/>
      <c r="L684" s="16" t="str">
        <f>IFERROR(VLOOKUP(K684,[1]Sheet1!$A$1:$B$200,2,0),"-")</f>
        <v>-</v>
      </c>
      <c r="M684" s="19"/>
      <c r="N684" s="16" t="str">
        <f>IFERROR(VLOOKUP(M684,[1]Sheet1!$G$2:$H$200,2,0),"-")</f>
        <v>-</v>
      </c>
      <c r="P684" s="17"/>
      <c r="Q684" s="20"/>
      <c r="R684" s="20"/>
      <c r="S684" s="21" t="str" cm="1">
        <f t="array" ref="S684">IF(
OR(AD684="",ISERROR(AD684)),
"-",
_xlfn.UNIQUE(_xlfn._xlws.FILTER([1]Sheet1!$D$2:$D$200,ISNUMBER(SEARCH(AD684,[1]Sheet1!$D$2:$D$200))))
)</f>
        <v>-</v>
      </c>
      <c r="T684" s="22"/>
      <c r="U684" s="16" t="str" cm="1">
        <f t="array" ref="U684">IF(
OR(AD684="",ISERROR(AD684)),
"-",
_xlfn.UNIQUE(_xlfn._xlws.FILTER([1]Sheet1!$D$2:$D$200,ISNUMBER(SEARCH(AD684,[1]Sheet1!$D$2:$D$200))))
)</f>
        <v>-</v>
      </c>
      <c r="X684" s="23">
        <f t="shared" si="23"/>
        <v>0</v>
      </c>
      <c r="Z684" s="19"/>
      <c r="AA684" s="19"/>
      <c r="AC684" s="17" t="str">
        <f t="shared" si="24"/>
        <v>Y</v>
      </c>
      <c r="AD684" s="17"/>
      <c r="AF684" s="27"/>
      <c r="AG684" s="27"/>
    </row>
    <row r="685" spans="3:33" ht="34.950000000000003" customHeight="1" x14ac:dyDescent="0.4">
      <c r="C685" s="17"/>
      <c r="I685" s="19"/>
      <c r="J685" s="16" t="str">
        <f>IFERROR(VLOOKUP(I685,[1]Sheet1!$A$1:$B$200,2,0),"_")</f>
        <v>_</v>
      </c>
      <c r="K685" s="19"/>
      <c r="L685" s="16" t="str">
        <f>IFERROR(VLOOKUP(K685,[1]Sheet1!$A$1:$B$200,2,0),"-")</f>
        <v>-</v>
      </c>
      <c r="M685" s="19"/>
      <c r="N685" s="16" t="str">
        <f>IFERROR(VLOOKUP(M685,[1]Sheet1!$G$2:$H$200,2,0),"-")</f>
        <v>-</v>
      </c>
      <c r="P685" s="17"/>
      <c r="Q685" s="20"/>
      <c r="R685" s="20"/>
      <c r="S685" s="21" t="str" cm="1">
        <f t="array" ref="S685">IF(
OR(AD685="",ISERROR(AD685)),
"-",
_xlfn.UNIQUE(_xlfn._xlws.FILTER([1]Sheet1!$D$2:$D$200,ISNUMBER(SEARCH(AD685,[1]Sheet1!$D$2:$D$200))))
)</f>
        <v>-</v>
      </c>
      <c r="T685" s="22"/>
      <c r="U685" s="16" t="str" cm="1">
        <f t="array" ref="U685">IF(
OR(AD685="",ISERROR(AD685)),
"-",
_xlfn.UNIQUE(_xlfn._xlws.FILTER([1]Sheet1!$D$2:$D$200,ISNUMBER(SEARCH(AD685,[1]Sheet1!$D$2:$D$200))))
)</f>
        <v>-</v>
      </c>
      <c r="X685" s="23">
        <f t="shared" si="23"/>
        <v>0</v>
      </c>
      <c r="Z685" s="19"/>
      <c r="AA685" s="19"/>
      <c r="AC685" s="17" t="str">
        <f t="shared" si="24"/>
        <v>Y</v>
      </c>
      <c r="AD685" s="17"/>
      <c r="AF685" s="27"/>
      <c r="AG685" s="27"/>
    </row>
    <row r="686" spans="3:33" ht="34.950000000000003" customHeight="1" x14ac:dyDescent="0.4">
      <c r="C686" s="17"/>
      <c r="I686" s="19"/>
      <c r="J686" s="16" t="str">
        <f>IFERROR(VLOOKUP(I686,[1]Sheet1!$A$1:$B$200,2,0),"_")</f>
        <v>_</v>
      </c>
      <c r="K686" s="19"/>
      <c r="L686" s="16" t="str">
        <f>IFERROR(VLOOKUP(K686,[1]Sheet1!$A$1:$B$200,2,0),"-")</f>
        <v>-</v>
      </c>
      <c r="M686" s="19"/>
      <c r="N686" s="16" t="str">
        <f>IFERROR(VLOOKUP(M686,[1]Sheet1!$G$2:$H$200,2,0),"-")</f>
        <v>-</v>
      </c>
      <c r="P686" s="17"/>
      <c r="Q686" s="20"/>
      <c r="R686" s="20"/>
      <c r="S686" s="21" t="str" cm="1">
        <f t="array" ref="S686">IF(
OR(AD686="",ISERROR(AD686)),
"-",
_xlfn.UNIQUE(_xlfn._xlws.FILTER([1]Sheet1!$D$2:$D$200,ISNUMBER(SEARCH(AD686,[1]Sheet1!$D$2:$D$200))))
)</f>
        <v>-</v>
      </c>
      <c r="T686" s="22"/>
      <c r="U686" s="16" t="str" cm="1">
        <f t="array" ref="U686">IF(
OR(AD686="",ISERROR(AD686)),
"-",
_xlfn.UNIQUE(_xlfn._xlws.FILTER([1]Sheet1!$D$2:$D$200,ISNUMBER(SEARCH(AD686,[1]Sheet1!$D$2:$D$200))))
)</f>
        <v>-</v>
      </c>
      <c r="X686" s="23">
        <f t="shared" si="23"/>
        <v>0</v>
      </c>
      <c r="Z686" s="19"/>
      <c r="AA686" s="19"/>
      <c r="AC686" s="17" t="str">
        <f t="shared" si="24"/>
        <v>Y</v>
      </c>
      <c r="AD686" s="17"/>
      <c r="AF686" s="27"/>
      <c r="AG686" s="27"/>
    </row>
    <row r="687" spans="3:33" ht="34.950000000000003" customHeight="1" x14ac:dyDescent="0.4">
      <c r="C687" s="17"/>
      <c r="I687" s="19"/>
      <c r="J687" s="16" t="str">
        <f>IFERROR(VLOOKUP(I687,[1]Sheet1!$A$1:$B$200,2,0),"_")</f>
        <v>_</v>
      </c>
      <c r="K687" s="19"/>
      <c r="L687" s="16" t="str">
        <f>IFERROR(VLOOKUP(K687,[1]Sheet1!$A$1:$B$200,2,0),"-")</f>
        <v>-</v>
      </c>
      <c r="M687" s="19"/>
      <c r="N687" s="16" t="str">
        <f>IFERROR(VLOOKUP(M687,[1]Sheet1!$G$2:$H$200,2,0),"-")</f>
        <v>-</v>
      </c>
      <c r="P687" s="17"/>
      <c r="Q687" s="20"/>
      <c r="R687" s="20"/>
      <c r="S687" s="21" t="str" cm="1">
        <f t="array" ref="S687">IF(
OR(AD687="",ISERROR(AD687)),
"-",
_xlfn.UNIQUE(_xlfn._xlws.FILTER([1]Sheet1!$D$2:$D$200,ISNUMBER(SEARCH(AD687,[1]Sheet1!$D$2:$D$200))))
)</f>
        <v>-</v>
      </c>
      <c r="T687" s="22"/>
      <c r="U687" s="16" t="str" cm="1">
        <f t="array" ref="U687">IF(
OR(AD687="",ISERROR(AD687)),
"-",
_xlfn.UNIQUE(_xlfn._xlws.FILTER([1]Sheet1!$D$2:$D$200,ISNUMBER(SEARCH(AD687,[1]Sheet1!$D$2:$D$200))))
)</f>
        <v>-</v>
      </c>
      <c r="X687" s="23">
        <f t="shared" si="23"/>
        <v>0</v>
      </c>
      <c r="Z687" s="19"/>
      <c r="AA687" s="19"/>
      <c r="AC687" s="17" t="str">
        <f t="shared" si="24"/>
        <v>Y</v>
      </c>
      <c r="AD687" s="17"/>
      <c r="AF687" s="27"/>
      <c r="AG687" s="27"/>
    </row>
    <row r="688" spans="3:33" ht="34.950000000000003" customHeight="1" x14ac:dyDescent="0.4">
      <c r="C688" s="17"/>
      <c r="I688" s="19"/>
      <c r="J688" s="16" t="str">
        <f>IFERROR(VLOOKUP(I688,[1]Sheet1!$A$1:$B$200,2,0),"_")</f>
        <v>_</v>
      </c>
      <c r="K688" s="19"/>
      <c r="L688" s="16" t="str">
        <f>IFERROR(VLOOKUP(K688,[1]Sheet1!$A$1:$B$200,2,0),"-")</f>
        <v>-</v>
      </c>
      <c r="M688" s="19"/>
      <c r="N688" s="16" t="str">
        <f>IFERROR(VLOOKUP(M688,[1]Sheet1!$G$2:$H$200,2,0),"-")</f>
        <v>-</v>
      </c>
      <c r="P688" s="17"/>
      <c r="Q688" s="20"/>
      <c r="R688" s="20"/>
      <c r="S688" s="21" t="str" cm="1">
        <f t="array" ref="S688">IF(
OR(AD688="",ISERROR(AD688)),
"-",
_xlfn.UNIQUE(_xlfn._xlws.FILTER([1]Sheet1!$D$2:$D$200,ISNUMBER(SEARCH(AD688,[1]Sheet1!$D$2:$D$200))))
)</f>
        <v>-</v>
      </c>
      <c r="T688" s="22"/>
      <c r="U688" s="16" t="str" cm="1">
        <f t="array" ref="U688">IF(
OR(AD688="",ISERROR(AD688)),
"-",
_xlfn.UNIQUE(_xlfn._xlws.FILTER([1]Sheet1!$D$2:$D$200,ISNUMBER(SEARCH(AD688,[1]Sheet1!$D$2:$D$200))))
)</f>
        <v>-</v>
      </c>
      <c r="X688" s="23">
        <f t="shared" si="23"/>
        <v>0</v>
      </c>
      <c r="Z688" s="19"/>
      <c r="AA688" s="19"/>
      <c r="AC688" s="17" t="str">
        <f t="shared" si="24"/>
        <v>Y</v>
      </c>
      <c r="AD688" s="17"/>
      <c r="AF688" s="27"/>
      <c r="AG688" s="27"/>
    </row>
    <row r="689" spans="3:33" ht="34.950000000000003" customHeight="1" x14ac:dyDescent="0.4">
      <c r="C689" s="17"/>
      <c r="I689" s="19"/>
      <c r="J689" s="16" t="str">
        <f>IFERROR(VLOOKUP(I689,[1]Sheet1!$A$1:$B$200,2,0),"_")</f>
        <v>_</v>
      </c>
      <c r="K689" s="19"/>
      <c r="L689" s="16" t="str">
        <f>IFERROR(VLOOKUP(K689,[1]Sheet1!$A$1:$B$200,2,0),"-")</f>
        <v>-</v>
      </c>
      <c r="M689" s="19"/>
      <c r="N689" s="16" t="str">
        <f>IFERROR(VLOOKUP(M689,[1]Sheet1!$G$2:$H$200,2,0),"-")</f>
        <v>-</v>
      </c>
      <c r="P689" s="17"/>
      <c r="Q689" s="20"/>
      <c r="R689" s="20"/>
      <c r="S689" s="21" t="str" cm="1">
        <f t="array" ref="S689">IF(
OR(AD689="",ISERROR(AD689)),
"-",
_xlfn.UNIQUE(_xlfn._xlws.FILTER([1]Sheet1!$D$2:$D$200,ISNUMBER(SEARCH(AD689,[1]Sheet1!$D$2:$D$200))))
)</f>
        <v>-</v>
      </c>
      <c r="T689" s="22"/>
      <c r="U689" s="16" t="str" cm="1">
        <f t="array" ref="U689">IF(
OR(AD689="",ISERROR(AD689)),
"-",
_xlfn.UNIQUE(_xlfn._xlws.FILTER([1]Sheet1!$D$2:$D$200,ISNUMBER(SEARCH(AD689,[1]Sheet1!$D$2:$D$200))))
)</f>
        <v>-</v>
      </c>
      <c r="X689" s="23">
        <f t="shared" si="23"/>
        <v>0</v>
      </c>
      <c r="Z689" s="19"/>
      <c r="AA689" s="19"/>
      <c r="AC689" s="17" t="str">
        <f t="shared" si="24"/>
        <v>Y</v>
      </c>
      <c r="AD689" s="17"/>
      <c r="AF689" s="27"/>
      <c r="AG689" s="27"/>
    </row>
    <row r="690" spans="3:33" ht="34.950000000000003" customHeight="1" x14ac:dyDescent="0.4">
      <c r="C690" s="17"/>
      <c r="I690" s="19"/>
      <c r="J690" s="16" t="str">
        <f>IFERROR(VLOOKUP(I690,[1]Sheet1!$A$1:$B$200,2,0),"_")</f>
        <v>_</v>
      </c>
      <c r="K690" s="19"/>
      <c r="L690" s="16" t="str">
        <f>IFERROR(VLOOKUP(K690,[1]Sheet1!$A$1:$B$200,2,0),"-")</f>
        <v>-</v>
      </c>
      <c r="M690" s="19"/>
      <c r="N690" s="16" t="str">
        <f>IFERROR(VLOOKUP(M690,[1]Sheet1!$G$2:$H$200,2,0),"-")</f>
        <v>-</v>
      </c>
      <c r="P690" s="17"/>
      <c r="Q690" s="20"/>
      <c r="R690" s="20"/>
      <c r="S690" s="21" t="str" cm="1">
        <f t="array" ref="S690">IF(
OR(AD690="",ISERROR(AD690)),
"-",
_xlfn.UNIQUE(_xlfn._xlws.FILTER([1]Sheet1!$D$2:$D$200,ISNUMBER(SEARCH(AD690,[1]Sheet1!$D$2:$D$200))))
)</f>
        <v>-</v>
      </c>
      <c r="T690" s="22"/>
      <c r="U690" s="16" t="str" cm="1">
        <f t="array" ref="U690">IF(
OR(AD690="",ISERROR(AD690)),
"-",
_xlfn.UNIQUE(_xlfn._xlws.FILTER([1]Sheet1!$D$2:$D$200,ISNUMBER(SEARCH(AD690,[1]Sheet1!$D$2:$D$200))))
)</f>
        <v>-</v>
      </c>
      <c r="X690" s="23">
        <f t="shared" si="23"/>
        <v>0</v>
      </c>
      <c r="Z690" s="19"/>
      <c r="AA690" s="19"/>
      <c r="AC690" s="17" t="str">
        <f t="shared" si="24"/>
        <v>Y</v>
      </c>
      <c r="AD690" s="17"/>
      <c r="AF690" s="27"/>
      <c r="AG690" s="27"/>
    </row>
    <row r="691" spans="3:33" ht="34.950000000000003" customHeight="1" x14ac:dyDescent="0.4">
      <c r="C691" s="17"/>
      <c r="I691" s="19"/>
      <c r="J691" s="16" t="str">
        <f>IFERROR(VLOOKUP(I691,[1]Sheet1!$A$1:$B$200,2,0),"_")</f>
        <v>_</v>
      </c>
      <c r="K691" s="19"/>
      <c r="L691" s="16" t="str">
        <f>IFERROR(VLOOKUP(K691,[1]Sheet1!$A$1:$B$200,2,0),"-")</f>
        <v>-</v>
      </c>
      <c r="M691" s="19"/>
      <c r="N691" s="16" t="str">
        <f>IFERROR(VLOOKUP(M691,[1]Sheet1!$G$2:$H$200,2,0),"-")</f>
        <v>-</v>
      </c>
      <c r="P691" s="17"/>
      <c r="Q691" s="20"/>
      <c r="R691" s="20"/>
      <c r="S691" s="21" t="str" cm="1">
        <f t="array" ref="S691">IF(
OR(AD691="",ISERROR(AD691)),
"-",
_xlfn.UNIQUE(_xlfn._xlws.FILTER([1]Sheet1!$D$2:$D$200,ISNUMBER(SEARCH(AD691,[1]Sheet1!$D$2:$D$200))))
)</f>
        <v>-</v>
      </c>
      <c r="T691" s="22"/>
      <c r="U691" s="16" t="str" cm="1">
        <f t="array" ref="U691">IF(
OR(AD691="",ISERROR(AD691)),
"-",
_xlfn.UNIQUE(_xlfn._xlws.FILTER([1]Sheet1!$D$2:$D$200,ISNUMBER(SEARCH(AD691,[1]Sheet1!$D$2:$D$200))))
)</f>
        <v>-</v>
      </c>
      <c r="X691" s="23">
        <f t="shared" ref="X691:X759" si="25">V691-W691</f>
        <v>0</v>
      </c>
      <c r="Z691" s="19"/>
      <c r="AA691" s="19"/>
      <c r="AC691" s="17" t="str">
        <f t="shared" ref="AC691:AC760" si="26">IF(AI691="ㅇ", "Y", IF(Z691="강다영", "", "Y"))</f>
        <v>Y</v>
      </c>
      <c r="AD691" s="17"/>
      <c r="AF691" s="27"/>
      <c r="AG691" s="27"/>
    </row>
    <row r="692" spans="3:33" ht="34.950000000000003" customHeight="1" x14ac:dyDescent="0.4">
      <c r="C692" s="17"/>
      <c r="I692" s="19"/>
      <c r="J692" s="16" t="str">
        <f>IFERROR(VLOOKUP(I692,[1]Sheet1!$A$1:$B$200,2,0),"_")</f>
        <v>_</v>
      </c>
      <c r="K692" s="19"/>
      <c r="L692" s="16" t="str">
        <f>IFERROR(VLOOKUP(K692,[1]Sheet1!$A$1:$B$200,2,0),"-")</f>
        <v>-</v>
      </c>
      <c r="M692" s="19"/>
      <c r="N692" s="16" t="str">
        <f>IFERROR(VLOOKUP(M692,[1]Sheet1!$G$2:$H$200,2,0),"-")</f>
        <v>-</v>
      </c>
      <c r="P692" s="17"/>
      <c r="Q692" s="20"/>
      <c r="R692" s="20"/>
      <c r="S692" s="21" t="str" cm="1">
        <f t="array" ref="S692">IF(
OR(AD692="",ISERROR(AD692)),
"-",
_xlfn.UNIQUE(_xlfn._xlws.FILTER([1]Sheet1!$D$2:$D$200,ISNUMBER(SEARCH(AD692,[1]Sheet1!$D$2:$D$200))))
)</f>
        <v>-</v>
      </c>
      <c r="T692" s="22"/>
      <c r="U692" s="16" t="str" cm="1">
        <f t="array" ref="U692">IF(
OR(AD692="",ISERROR(AD692)),
"-",
_xlfn.UNIQUE(_xlfn._xlws.FILTER([1]Sheet1!$D$2:$D$200,ISNUMBER(SEARCH(AD692,[1]Sheet1!$D$2:$D$200))))
)</f>
        <v>-</v>
      </c>
      <c r="X692" s="23">
        <f t="shared" si="25"/>
        <v>0</v>
      </c>
      <c r="Z692" s="19"/>
      <c r="AA692" s="19"/>
      <c r="AC692" s="17" t="str">
        <f t="shared" si="26"/>
        <v>Y</v>
      </c>
      <c r="AD692" s="17"/>
      <c r="AF692" s="27"/>
      <c r="AG692" s="27"/>
    </row>
    <row r="693" spans="3:33" ht="34.950000000000003" customHeight="1" x14ac:dyDescent="0.4">
      <c r="C693" s="17"/>
      <c r="I693" s="19"/>
      <c r="J693" s="16" t="str">
        <f>IFERROR(VLOOKUP(I693,[1]Sheet1!$A$1:$B$200,2,0),"_")</f>
        <v>_</v>
      </c>
      <c r="K693" s="19"/>
      <c r="L693" s="16" t="str">
        <f>IFERROR(VLOOKUP(K693,[1]Sheet1!$A$1:$B$200,2,0),"-")</f>
        <v>-</v>
      </c>
      <c r="M693" s="19"/>
      <c r="N693" s="16" t="str">
        <f>IFERROR(VLOOKUP(M693,[1]Sheet1!$G$2:$H$200,2,0),"-")</f>
        <v>-</v>
      </c>
      <c r="P693" s="17"/>
      <c r="Q693" s="20"/>
      <c r="R693" s="20"/>
      <c r="S693" s="21" t="str" cm="1">
        <f t="array" ref="S693">IF(
OR(AD693="",ISERROR(AD693)),
"-",
_xlfn.UNIQUE(_xlfn._xlws.FILTER([1]Sheet1!$D$2:$D$200,ISNUMBER(SEARCH(AD693,[1]Sheet1!$D$2:$D$200))))
)</f>
        <v>-</v>
      </c>
      <c r="T693" s="22"/>
      <c r="U693" s="16" t="str" cm="1">
        <f t="array" ref="U693">IF(
OR(AD693="",ISERROR(AD693)),
"-",
_xlfn.UNIQUE(_xlfn._xlws.FILTER([1]Sheet1!$D$2:$D$200,ISNUMBER(SEARCH(AD693,[1]Sheet1!$D$2:$D$200))))
)</f>
        <v>-</v>
      </c>
      <c r="X693" s="23">
        <f t="shared" si="25"/>
        <v>0</v>
      </c>
      <c r="Z693" s="19"/>
      <c r="AA693" s="19"/>
      <c r="AC693" s="17" t="str">
        <f t="shared" si="26"/>
        <v>Y</v>
      </c>
      <c r="AD693" s="17"/>
      <c r="AF693" s="27"/>
      <c r="AG693" s="27"/>
    </row>
    <row r="694" spans="3:33" ht="34.950000000000003" customHeight="1" x14ac:dyDescent="0.4">
      <c r="C694" s="17"/>
      <c r="I694" s="19"/>
      <c r="J694" s="16" t="str">
        <f>IFERROR(VLOOKUP(I694,[1]Sheet1!$A$1:$B$200,2,0),"_")</f>
        <v>_</v>
      </c>
      <c r="K694" s="19"/>
      <c r="L694" s="16" t="str">
        <f>IFERROR(VLOOKUP(K694,[1]Sheet1!$A$1:$B$200,2,0),"-")</f>
        <v>-</v>
      </c>
      <c r="M694" s="19"/>
      <c r="N694" s="16" t="str">
        <f>IFERROR(VLOOKUP(M694,[1]Sheet1!$G$2:$H$200,2,0),"-")</f>
        <v>-</v>
      </c>
      <c r="P694" s="17"/>
      <c r="Q694" s="20"/>
      <c r="R694" s="20"/>
      <c r="S694" s="21" t="str" cm="1">
        <f t="array" ref="S694">IF(
OR(AD694="",ISERROR(AD694)),
"-",
_xlfn.UNIQUE(_xlfn._xlws.FILTER([1]Sheet1!$D$2:$D$200,ISNUMBER(SEARCH(AD694,[1]Sheet1!$D$2:$D$200))))
)</f>
        <v>-</v>
      </c>
      <c r="T694" s="22"/>
      <c r="U694" s="16" t="str" cm="1">
        <f t="array" ref="U694">IF(
OR(AD694="",ISERROR(AD694)),
"-",
_xlfn.UNIQUE(_xlfn._xlws.FILTER([1]Sheet1!$D$2:$D$200,ISNUMBER(SEARCH(AD694,[1]Sheet1!$D$2:$D$200))))
)</f>
        <v>-</v>
      </c>
      <c r="X694" s="23">
        <f t="shared" si="25"/>
        <v>0</v>
      </c>
      <c r="Z694" s="19"/>
      <c r="AA694" s="19"/>
      <c r="AC694" s="17" t="str">
        <f t="shared" si="26"/>
        <v>Y</v>
      </c>
      <c r="AD694" s="17"/>
      <c r="AF694" s="27"/>
      <c r="AG694" s="27"/>
    </row>
    <row r="695" spans="3:33" ht="34.950000000000003" customHeight="1" x14ac:dyDescent="0.4">
      <c r="C695" s="17"/>
      <c r="I695" s="19"/>
      <c r="J695" s="16" t="str">
        <f>IFERROR(VLOOKUP(I695,[1]Sheet1!$A$1:$B$200,2,0),"_")</f>
        <v>_</v>
      </c>
      <c r="K695" s="19"/>
      <c r="L695" s="16" t="str">
        <f>IFERROR(VLOOKUP(K695,[1]Sheet1!$A$1:$B$200,2,0),"-")</f>
        <v>-</v>
      </c>
      <c r="M695" s="19"/>
      <c r="N695" s="16" t="str">
        <f>IFERROR(VLOOKUP(M695,[1]Sheet1!$G$2:$H$200,2,0),"-")</f>
        <v>-</v>
      </c>
      <c r="P695" s="17"/>
      <c r="Q695" s="20"/>
      <c r="R695" s="20"/>
      <c r="S695" s="21" t="str" cm="1">
        <f t="array" ref="S695">IF(
OR(AD695="",ISERROR(AD695)),
"-",
_xlfn.UNIQUE(_xlfn._xlws.FILTER([1]Sheet1!$D$2:$D$200,ISNUMBER(SEARCH(AD695,[1]Sheet1!$D$2:$D$200))))
)</f>
        <v>-</v>
      </c>
      <c r="T695" s="22"/>
      <c r="U695" s="16" t="str" cm="1">
        <f t="array" ref="U695">IF(
OR(AD695="",ISERROR(AD695)),
"-",
_xlfn.UNIQUE(_xlfn._xlws.FILTER([1]Sheet1!$D$2:$D$200,ISNUMBER(SEARCH(AD695,[1]Sheet1!$D$2:$D$200))))
)</f>
        <v>-</v>
      </c>
      <c r="X695" s="23">
        <f t="shared" si="25"/>
        <v>0</v>
      </c>
      <c r="Z695" s="19"/>
      <c r="AA695" s="19"/>
      <c r="AC695" s="17" t="str">
        <f t="shared" si="26"/>
        <v>Y</v>
      </c>
      <c r="AD695" s="17"/>
      <c r="AF695" s="27"/>
      <c r="AG695" s="27"/>
    </row>
    <row r="696" spans="3:33" ht="34.950000000000003" customHeight="1" x14ac:dyDescent="0.4">
      <c r="C696" s="17"/>
      <c r="I696" s="19"/>
      <c r="J696" s="16" t="str">
        <f>IFERROR(VLOOKUP(I696,[1]Sheet1!$A$1:$B$200,2,0),"_")</f>
        <v>_</v>
      </c>
      <c r="K696" s="19"/>
      <c r="L696" s="16" t="str">
        <f>IFERROR(VLOOKUP(K696,[1]Sheet1!$A$1:$B$200,2,0),"-")</f>
        <v>-</v>
      </c>
      <c r="M696" s="19"/>
      <c r="N696" s="16" t="str">
        <f>IFERROR(VLOOKUP(M696,[1]Sheet1!$G$2:$H$200,2,0),"-")</f>
        <v>-</v>
      </c>
      <c r="P696" s="17"/>
      <c r="Q696" s="20"/>
      <c r="R696" s="20"/>
      <c r="S696" s="21" t="str" cm="1">
        <f t="array" ref="S696">IF(
OR(AD696="",ISERROR(AD696)),
"-",
_xlfn.UNIQUE(_xlfn._xlws.FILTER([1]Sheet1!$D$2:$D$200,ISNUMBER(SEARCH(AD696,[1]Sheet1!$D$2:$D$200))))
)</f>
        <v>-</v>
      </c>
      <c r="T696" s="22"/>
      <c r="U696" s="16" t="str" cm="1">
        <f t="array" ref="U696">IF(
OR(AD696="",ISERROR(AD696)),
"-",
_xlfn.UNIQUE(_xlfn._xlws.FILTER([1]Sheet1!$D$2:$D$200,ISNUMBER(SEARCH(AD696,[1]Sheet1!$D$2:$D$200))))
)</f>
        <v>-</v>
      </c>
      <c r="X696" s="23">
        <f t="shared" si="25"/>
        <v>0</v>
      </c>
      <c r="Z696" s="19"/>
      <c r="AA696" s="19"/>
      <c r="AC696" s="17" t="str">
        <f t="shared" si="26"/>
        <v>Y</v>
      </c>
      <c r="AD696" s="17"/>
      <c r="AF696" s="27"/>
      <c r="AG696" s="27"/>
    </row>
    <row r="697" spans="3:33" ht="34.950000000000003" customHeight="1" x14ac:dyDescent="0.4">
      <c r="C697" s="17"/>
      <c r="I697" s="19"/>
      <c r="J697" s="16" t="str">
        <f>IFERROR(VLOOKUP(I697,[1]Sheet1!$A$1:$B$200,2,0),"_")</f>
        <v>_</v>
      </c>
      <c r="K697" s="19"/>
      <c r="L697" s="16" t="str">
        <f>IFERROR(VLOOKUP(K697,[1]Sheet1!$A$1:$B$200,2,0),"-")</f>
        <v>-</v>
      </c>
      <c r="M697" s="19"/>
      <c r="N697" s="16" t="str">
        <f>IFERROR(VLOOKUP(M697,[1]Sheet1!$G$2:$H$200,2,0),"-")</f>
        <v>-</v>
      </c>
      <c r="P697" s="17"/>
      <c r="Q697" s="20"/>
      <c r="R697" s="20"/>
      <c r="S697" s="21" t="str" cm="1">
        <f t="array" ref="S697">IF(
OR(AD697="",ISERROR(AD697)),
"-",
_xlfn.UNIQUE(_xlfn._xlws.FILTER([1]Sheet1!$D$2:$D$200,ISNUMBER(SEARCH(AD697,[1]Sheet1!$D$2:$D$200))))
)</f>
        <v>-</v>
      </c>
      <c r="T697" s="22"/>
      <c r="U697" s="16" t="str" cm="1">
        <f t="array" ref="U697">IF(
OR(AD697="",ISERROR(AD697)),
"-",
_xlfn.UNIQUE(_xlfn._xlws.FILTER([1]Sheet1!$D$2:$D$200,ISNUMBER(SEARCH(AD697,[1]Sheet1!$D$2:$D$200))))
)</f>
        <v>-</v>
      </c>
      <c r="X697" s="23">
        <f t="shared" si="25"/>
        <v>0</v>
      </c>
      <c r="Z697" s="19"/>
      <c r="AA697" s="19"/>
      <c r="AC697" s="17" t="str">
        <f t="shared" si="26"/>
        <v>Y</v>
      </c>
      <c r="AD697" s="17"/>
      <c r="AF697" s="27"/>
      <c r="AG697" s="27"/>
    </row>
    <row r="698" spans="3:33" ht="34.950000000000003" customHeight="1" x14ac:dyDescent="0.4">
      <c r="C698" s="17"/>
      <c r="I698" s="19"/>
      <c r="J698" s="16" t="str">
        <f>IFERROR(VLOOKUP(I698,[1]Sheet1!$A$1:$B$200,2,0),"_")</f>
        <v>_</v>
      </c>
      <c r="K698" s="19"/>
      <c r="L698" s="16" t="str">
        <f>IFERROR(VLOOKUP(K698,[1]Sheet1!$A$1:$B$200,2,0),"-")</f>
        <v>-</v>
      </c>
      <c r="M698" s="19"/>
      <c r="N698" s="16" t="str">
        <f>IFERROR(VLOOKUP(M698,[1]Sheet1!$G$2:$H$200,2,0),"-")</f>
        <v>-</v>
      </c>
      <c r="P698" s="17"/>
      <c r="Q698" s="20"/>
      <c r="R698" s="20"/>
      <c r="S698" s="21" t="str" cm="1">
        <f t="array" ref="S698">IF(
OR(AD698="",ISERROR(AD698)),
"-",
_xlfn.UNIQUE(_xlfn._xlws.FILTER([1]Sheet1!$D$2:$D$200,ISNUMBER(SEARCH(AD698,[1]Sheet1!$D$2:$D$200))))
)</f>
        <v>-</v>
      </c>
      <c r="T698" s="22"/>
      <c r="U698" s="16" t="str" cm="1">
        <f t="array" ref="U698">IF(
OR(AD698="",ISERROR(AD698)),
"-",
_xlfn.UNIQUE(_xlfn._xlws.FILTER([1]Sheet1!$D$2:$D$200,ISNUMBER(SEARCH(AD698,[1]Sheet1!$D$2:$D$200))))
)</f>
        <v>-</v>
      </c>
      <c r="X698" s="23">
        <f t="shared" si="25"/>
        <v>0</v>
      </c>
      <c r="Z698" s="19"/>
      <c r="AA698" s="19"/>
      <c r="AC698" s="17" t="str">
        <f t="shared" si="26"/>
        <v>Y</v>
      </c>
      <c r="AD698" s="17"/>
      <c r="AF698" s="27"/>
      <c r="AG698" s="27"/>
    </row>
    <row r="699" spans="3:33" ht="34.950000000000003" customHeight="1" x14ac:dyDescent="0.4">
      <c r="C699" s="17"/>
      <c r="I699" s="19"/>
      <c r="J699" s="16" t="str">
        <f>IFERROR(VLOOKUP(I699,[1]Sheet1!$A$1:$B$200,2,0),"_")</f>
        <v>_</v>
      </c>
      <c r="K699" s="19"/>
      <c r="L699" s="16" t="str">
        <f>IFERROR(VLOOKUP(K699,[1]Sheet1!$A$1:$B$200,2,0),"-")</f>
        <v>-</v>
      </c>
      <c r="M699" s="19"/>
      <c r="N699" s="16" t="str">
        <f>IFERROR(VLOOKUP(M699,[1]Sheet1!$G$2:$H$200,2,0),"-")</f>
        <v>-</v>
      </c>
      <c r="P699" s="17"/>
      <c r="Q699" s="20"/>
      <c r="R699" s="20"/>
      <c r="S699" s="21" t="str" cm="1">
        <f t="array" ref="S699">IF(
OR(AD699="",ISERROR(AD699)),
"-",
_xlfn.UNIQUE(_xlfn._xlws.FILTER([1]Sheet1!$D$2:$D$200,ISNUMBER(SEARCH(AD699,[1]Sheet1!$D$2:$D$200))))
)</f>
        <v>-</v>
      </c>
      <c r="T699" s="22"/>
      <c r="U699" s="16" t="str" cm="1">
        <f t="array" ref="U699">IF(
OR(AD699="",ISERROR(AD699)),
"-",
_xlfn.UNIQUE(_xlfn._xlws.FILTER([1]Sheet1!$D$2:$D$200,ISNUMBER(SEARCH(AD699,[1]Sheet1!$D$2:$D$200))))
)</f>
        <v>-</v>
      </c>
      <c r="X699" s="23">
        <f t="shared" si="25"/>
        <v>0</v>
      </c>
      <c r="Z699" s="19"/>
      <c r="AA699" s="19"/>
      <c r="AC699" s="17" t="str">
        <f t="shared" si="26"/>
        <v>Y</v>
      </c>
      <c r="AD699" s="17"/>
      <c r="AF699" s="27"/>
      <c r="AG699" s="27"/>
    </row>
    <row r="700" spans="3:33" ht="34.950000000000003" customHeight="1" x14ac:dyDescent="0.4">
      <c r="C700" s="17"/>
      <c r="I700" s="19"/>
      <c r="J700" s="16" t="str">
        <f>IFERROR(VLOOKUP(I700,[1]Sheet1!$A$1:$B$200,2,0),"_")</f>
        <v>_</v>
      </c>
      <c r="K700" s="19"/>
      <c r="L700" s="16" t="str">
        <f>IFERROR(VLOOKUP(K700,[1]Sheet1!$A$1:$B$200,2,0),"-")</f>
        <v>-</v>
      </c>
      <c r="M700" s="19"/>
      <c r="N700" s="16" t="str">
        <f>IFERROR(VLOOKUP(M700,[1]Sheet1!$G$2:$H$200,2,0),"-")</f>
        <v>-</v>
      </c>
      <c r="P700" s="17"/>
      <c r="Q700" s="20"/>
      <c r="R700" s="20"/>
      <c r="S700" s="21" t="str" cm="1">
        <f t="array" ref="S700">IF(
OR(AD700="",ISERROR(AD700)),
"-",
_xlfn.UNIQUE(_xlfn._xlws.FILTER([1]Sheet1!$D$2:$D$200,ISNUMBER(SEARCH(AD700,[1]Sheet1!$D$2:$D$200))))
)</f>
        <v>-</v>
      </c>
      <c r="T700" s="22"/>
      <c r="U700" s="16" t="str" cm="1">
        <f t="array" ref="U700">IF(
OR(AD700="",ISERROR(AD700)),
"-",
_xlfn.UNIQUE(_xlfn._xlws.FILTER([1]Sheet1!$D$2:$D$200,ISNUMBER(SEARCH(AD700,[1]Sheet1!$D$2:$D$200))))
)</f>
        <v>-</v>
      </c>
      <c r="X700" s="23">
        <f t="shared" si="25"/>
        <v>0</v>
      </c>
      <c r="Z700" s="19"/>
      <c r="AA700" s="19"/>
      <c r="AC700" s="17" t="str">
        <f t="shared" si="26"/>
        <v>Y</v>
      </c>
      <c r="AD700" s="17"/>
      <c r="AF700" s="27"/>
      <c r="AG700" s="27"/>
    </row>
    <row r="701" spans="3:33" ht="34.950000000000003" customHeight="1" x14ac:dyDescent="0.4">
      <c r="C701" s="17"/>
      <c r="I701" s="19"/>
      <c r="J701" s="16" t="str">
        <f>IFERROR(VLOOKUP(I701,[1]Sheet1!$A$1:$B$200,2,0),"_")</f>
        <v>_</v>
      </c>
      <c r="K701" s="19"/>
      <c r="L701" s="16" t="str">
        <f>IFERROR(VLOOKUP(K701,[1]Sheet1!$A$1:$B$200,2,0),"-")</f>
        <v>-</v>
      </c>
      <c r="M701" s="19"/>
      <c r="N701" s="16" t="str">
        <f>IFERROR(VLOOKUP(M701,[1]Sheet1!$G$2:$H$200,2,0),"-")</f>
        <v>-</v>
      </c>
      <c r="P701" s="17"/>
      <c r="Q701" s="20"/>
      <c r="R701" s="20"/>
      <c r="S701" s="21" t="str" cm="1">
        <f t="array" ref="S701">IF(
OR(AD701="",ISERROR(AD701)),
"-",
_xlfn.UNIQUE(_xlfn._xlws.FILTER([1]Sheet1!$D$2:$D$200,ISNUMBER(SEARCH(AD701,[1]Sheet1!$D$2:$D$200))))
)</f>
        <v>-</v>
      </c>
      <c r="T701" s="22"/>
      <c r="U701" s="16" t="str" cm="1">
        <f t="array" ref="U701">IF(
OR(AD701="",ISERROR(AD701)),
"-",
_xlfn.UNIQUE(_xlfn._xlws.FILTER([1]Sheet1!$D$2:$D$200,ISNUMBER(SEARCH(AD701,[1]Sheet1!$D$2:$D$200))))
)</f>
        <v>-</v>
      </c>
      <c r="X701" s="23">
        <f t="shared" si="25"/>
        <v>0</v>
      </c>
      <c r="Z701" s="19"/>
      <c r="AA701" s="19"/>
      <c r="AC701" s="17" t="str">
        <f t="shared" si="26"/>
        <v>Y</v>
      </c>
      <c r="AD701" s="17"/>
      <c r="AF701" s="27"/>
      <c r="AG701" s="27"/>
    </row>
    <row r="702" spans="3:33" ht="34.950000000000003" customHeight="1" x14ac:dyDescent="0.4">
      <c r="C702" s="17"/>
      <c r="I702" s="19"/>
      <c r="J702" s="16" t="str">
        <f>IFERROR(VLOOKUP(I702,[1]Sheet1!$A$1:$B$200,2,0),"_")</f>
        <v>_</v>
      </c>
      <c r="K702" s="19"/>
      <c r="L702" s="16" t="str">
        <f>IFERROR(VLOOKUP(K702,[1]Sheet1!$A$1:$B$200,2,0),"-")</f>
        <v>-</v>
      </c>
      <c r="M702" s="19"/>
      <c r="N702" s="16" t="str">
        <f>IFERROR(VLOOKUP(M702,[1]Sheet1!$G$2:$H$200,2,0),"-")</f>
        <v>-</v>
      </c>
      <c r="P702" s="17"/>
      <c r="Q702" s="20"/>
      <c r="R702" s="20"/>
      <c r="S702" s="21" t="str" cm="1">
        <f t="array" ref="S702">IF(
OR(AD702="",ISERROR(AD702)),
"-",
_xlfn.UNIQUE(_xlfn._xlws.FILTER([1]Sheet1!$D$2:$D$200,ISNUMBER(SEARCH(AD702,[1]Sheet1!$D$2:$D$200))))
)</f>
        <v>-</v>
      </c>
      <c r="T702" s="22"/>
      <c r="U702" s="16" t="str" cm="1">
        <f t="array" ref="U702">IF(
OR(AD702="",ISERROR(AD702)),
"-",
_xlfn.UNIQUE(_xlfn._xlws.FILTER([1]Sheet1!$D$2:$D$200,ISNUMBER(SEARCH(AD702,[1]Sheet1!$D$2:$D$200))))
)</f>
        <v>-</v>
      </c>
      <c r="X702" s="23">
        <f t="shared" si="25"/>
        <v>0</v>
      </c>
      <c r="Z702" s="19"/>
      <c r="AA702" s="19"/>
      <c r="AC702" s="17" t="str">
        <f t="shared" si="26"/>
        <v>Y</v>
      </c>
      <c r="AD702" s="17"/>
      <c r="AF702" s="27"/>
      <c r="AG702" s="27"/>
    </row>
    <row r="703" spans="3:33" ht="34.950000000000003" customHeight="1" x14ac:dyDescent="0.4">
      <c r="C703" s="17"/>
      <c r="I703" s="19"/>
      <c r="J703" s="16" t="str">
        <f>IFERROR(VLOOKUP(I703,[1]Sheet1!$A$1:$B$200,2,0),"_")</f>
        <v>_</v>
      </c>
      <c r="K703" s="19"/>
      <c r="L703" s="16" t="str">
        <f>IFERROR(VLOOKUP(K703,[1]Sheet1!$A$1:$B$200,2,0),"-")</f>
        <v>-</v>
      </c>
      <c r="M703" s="19"/>
      <c r="N703" s="16" t="str">
        <f>IFERROR(VLOOKUP(M703,[1]Sheet1!$G$2:$H$200,2,0),"-")</f>
        <v>-</v>
      </c>
      <c r="P703" s="17"/>
      <c r="Q703" s="20"/>
      <c r="R703" s="20"/>
      <c r="S703" s="21" t="str" cm="1">
        <f t="array" ref="S703">IF(
OR(AD703="",ISERROR(AD703)),
"-",
_xlfn.UNIQUE(_xlfn._xlws.FILTER([1]Sheet1!$D$2:$D$200,ISNUMBER(SEARCH(AD703,[1]Sheet1!$D$2:$D$200))))
)</f>
        <v>-</v>
      </c>
      <c r="T703" s="22"/>
      <c r="U703" s="16" t="str" cm="1">
        <f t="array" ref="U703">IF(
OR(AD703="",ISERROR(AD703)),
"-",
_xlfn.UNIQUE(_xlfn._xlws.FILTER([1]Sheet1!$D$2:$D$200,ISNUMBER(SEARCH(AD703,[1]Sheet1!$D$2:$D$200))))
)</f>
        <v>-</v>
      </c>
      <c r="X703" s="23">
        <f t="shared" si="25"/>
        <v>0</v>
      </c>
      <c r="Z703" s="19"/>
      <c r="AA703" s="19"/>
      <c r="AC703" s="17" t="str">
        <f t="shared" si="26"/>
        <v>Y</v>
      </c>
      <c r="AD703" s="17"/>
      <c r="AF703" s="27"/>
      <c r="AG703" s="27"/>
    </row>
    <row r="704" spans="3:33" ht="34.950000000000003" customHeight="1" x14ac:dyDescent="0.4">
      <c r="C704" s="17"/>
      <c r="I704" s="19"/>
      <c r="J704" s="16" t="str">
        <f>IFERROR(VLOOKUP(I704,[1]Sheet1!$A$1:$B$200,2,0),"_")</f>
        <v>_</v>
      </c>
      <c r="K704" s="19"/>
      <c r="L704" s="16" t="str">
        <f>IFERROR(VLOOKUP(K704,[1]Sheet1!$A$1:$B$200,2,0),"-")</f>
        <v>-</v>
      </c>
      <c r="M704" s="19"/>
      <c r="N704" s="16" t="str">
        <f>IFERROR(VLOOKUP(M704,[1]Sheet1!$G$2:$H$200,2,0),"-")</f>
        <v>-</v>
      </c>
      <c r="P704" s="17"/>
      <c r="Q704" s="20"/>
      <c r="R704" s="20"/>
      <c r="S704" s="21" t="str" cm="1">
        <f t="array" ref="S704">IF(
OR(AD704="",ISERROR(AD704)),
"-",
_xlfn.UNIQUE(_xlfn._xlws.FILTER([1]Sheet1!$D$2:$D$200,ISNUMBER(SEARCH(AD704,[1]Sheet1!$D$2:$D$200))))
)</f>
        <v>-</v>
      </c>
      <c r="T704" s="22"/>
      <c r="U704" s="16" t="str" cm="1">
        <f t="array" ref="U704">IF(
OR(AD704="",ISERROR(AD704)),
"-",
_xlfn.UNIQUE(_xlfn._xlws.FILTER([1]Sheet1!$D$2:$D$200,ISNUMBER(SEARCH(AD704,[1]Sheet1!$D$2:$D$200))))
)</f>
        <v>-</v>
      </c>
      <c r="X704" s="23">
        <f t="shared" si="25"/>
        <v>0</v>
      </c>
      <c r="Z704" s="19"/>
      <c r="AA704" s="19"/>
      <c r="AC704" s="17" t="str">
        <f t="shared" si="26"/>
        <v>Y</v>
      </c>
      <c r="AD704" s="17"/>
      <c r="AF704" s="27"/>
      <c r="AG704" s="27"/>
    </row>
    <row r="705" spans="3:33" ht="34.950000000000003" customHeight="1" x14ac:dyDescent="0.4">
      <c r="C705" s="17"/>
      <c r="I705" s="19"/>
      <c r="J705" s="16" t="str">
        <f>IFERROR(VLOOKUP(I705,[1]Sheet1!$A$1:$B$200,2,0),"_")</f>
        <v>_</v>
      </c>
      <c r="K705" s="19"/>
      <c r="L705" s="16" t="str">
        <f>IFERROR(VLOOKUP(K705,[1]Sheet1!$A$1:$B$200,2,0),"-")</f>
        <v>-</v>
      </c>
      <c r="M705" s="19"/>
      <c r="N705" s="16" t="str">
        <f>IFERROR(VLOOKUP(M705,[1]Sheet1!$G$2:$H$200,2,0),"-")</f>
        <v>-</v>
      </c>
      <c r="P705" s="17"/>
      <c r="Q705" s="20"/>
      <c r="R705" s="20"/>
      <c r="S705" s="21" t="str" cm="1">
        <f t="array" ref="S705">IF(
OR(AD705="",ISERROR(AD705)),
"-",
_xlfn.UNIQUE(_xlfn._xlws.FILTER([1]Sheet1!$D$2:$D$200,ISNUMBER(SEARCH(AD705,[1]Sheet1!$D$2:$D$200))))
)</f>
        <v>-</v>
      </c>
      <c r="T705" s="22"/>
      <c r="U705" s="16" t="str" cm="1">
        <f t="array" ref="U705">IF(
OR(AD705="",ISERROR(AD705)),
"-",
_xlfn.UNIQUE(_xlfn._xlws.FILTER([1]Sheet1!$D$2:$D$200,ISNUMBER(SEARCH(AD705,[1]Sheet1!$D$2:$D$200))))
)</f>
        <v>-</v>
      </c>
      <c r="X705" s="23">
        <f t="shared" si="25"/>
        <v>0</v>
      </c>
      <c r="Z705" s="19"/>
      <c r="AA705" s="19"/>
      <c r="AC705" s="17" t="str">
        <f t="shared" si="26"/>
        <v>Y</v>
      </c>
      <c r="AD705" s="17"/>
      <c r="AF705" s="27"/>
      <c r="AG705" s="27"/>
    </row>
    <row r="706" spans="3:33" ht="34.950000000000003" customHeight="1" x14ac:dyDescent="0.4">
      <c r="C706" s="17"/>
      <c r="I706" s="19"/>
      <c r="J706" s="16" t="str">
        <f>IFERROR(VLOOKUP(I706,[1]Sheet1!$A$1:$B$200,2,0),"_")</f>
        <v>_</v>
      </c>
      <c r="K706" s="19"/>
      <c r="L706" s="16" t="str">
        <f>IFERROR(VLOOKUP(K706,[1]Sheet1!$A$1:$B$200,2,0),"-")</f>
        <v>-</v>
      </c>
      <c r="M706" s="19"/>
      <c r="N706" s="16" t="str">
        <f>IFERROR(VLOOKUP(M706,[1]Sheet1!$G$2:$H$200,2,0),"-")</f>
        <v>-</v>
      </c>
      <c r="P706" s="17"/>
      <c r="Q706" s="20"/>
      <c r="R706" s="20"/>
      <c r="S706" s="21" t="str" cm="1">
        <f t="array" ref="S706">IF(
OR(AD706="",ISERROR(AD706)),
"-",
_xlfn.UNIQUE(_xlfn._xlws.FILTER([1]Sheet1!$D$2:$D$200,ISNUMBER(SEARCH(AD706,[1]Sheet1!$D$2:$D$200))))
)</f>
        <v>-</v>
      </c>
      <c r="T706" s="22"/>
      <c r="U706" s="16" t="str" cm="1">
        <f t="array" ref="U706">IF(
OR(AD706="",ISERROR(AD706)),
"-",
_xlfn.UNIQUE(_xlfn._xlws.FILTER([1]Sheet1!$D$2:$D$200,ISNUMBER(SEARCH(AD706,[1]Sheet1!$D$2:$D$200))))
)</f>
        <v>-</v>
      </c>
      <c r="X706" s="23">
        <f t="shared" si="25"/>
        <v>0</v>
      </c>
      <c r="Z706" s="19"/>
      <c r="AA706" s="19"/>
      <c r="AC706" s="17" t="str">
        <f t="shared" si="26"/>
        <v>Y</v>
      </c>
      <c r="AD706" s="17"/>
      <c r="AF706" s="27"/>
      <c r="AG706" s="27"/>
    </row>
    <row r="707" spans="3:33" ht="34.950000000000003" customHeight="1" x14ac:dyDescent="0.4">
      <c r="C707" s="17"/>
      <c r="I707" s="19"/>
      <c r="J707" s="16" t="str">
        <f>IFERROR(VLOOKUP(I707,[1]Sheet1!$A$1:$B$200,2,0),"_")</f>
        <v>_</v>
      </c>
      <c r="K707" s="19"/>
      <c r="L707" s="16" t="str">
        <f>IFERROR(VLOOKUP(K707,[1]Sheet1!$A$1:$B$200,2,0),"-")</f>
        <v>-</v>
      </c>
      <c r="M707" s="19"/>
      <c r="N707" s="16" t="str">
        <f>IFERROR(VLOOKUP(M707,[1]Sheet1!$G$2:$H$200,2,0),"-")</f>
        <v>-</v>
      </c>
      <c r="P707" s="17"/>
      <c r="Q707" s="20"/>
      <c r="R707" s="20"/>
      <c r="S707" s="21" t="str" cm="1">
        <f t="array" ref="S707">IF(
OR(AD707="",ISERROR(AD707)),
"-",
_xlfn.UNIQUE(_xlfn._xlws.FILTER([1]Sheet1!$D$2:$D$200,ISNUMBER(SEARCH(AD707,[1]Sheet1!$D$2:$D$200))))
)</f>
        <v>-</v>
      </c>
      <c r="T707" s="22"/>
      <c r="U707" s="16" t="str" cm="1">
        <f t="array" ref="U707">IF(
OR(AD707="",ISERROR(AD707)),
"-",
_xlfn.UNIQUE(_xlfn._xlws.FILTER([1]Sheet1!$D$2:$D$200,ISNUMBER(SEARCH(AD707,[1]Sheet1!$D$2:$D$200))))
)</f>
        <v>-</v>
      </c>
      <c r="X707" s="23">
        <f t="shared" si="25"/>
        <v>0</v>
      </c>
      <c r="Z707" s="19"/>
      <c r="AA707" s="19"/>
      <c r="AC707" s="17" t="str">
        <f t="shared" si="26"/>
        <v>Y</v>
      </c>
      <c r="AD707" s="17"/>
      <c r="AF707" s="27"/>
      <c r="AG707" s="27"/>
    </row>
    <row r="708" spans="3:33" ht="34.950000000000003" customHeight="1" x14ac:dyDescent="0.4">
      <c r="C708" s="17"/>
      <c r="I708" s="19"/>
      <c r="J708" s="16" t="str">
        <f>IFERROR(VLOOKUP(I708,[1]Sheet1!$A$1:$B$200,2,0),"_")</f>
        <v>_</v>
      </c>
      <c r="K708" s="19"/>
      <c r="L708" s="16" t="str">
        <f>IFERROR(VLOOKUP(K708,[1]Sheet1!$A$1:$B$200,2,0),"-")</f>
        <v>-</v>
      </c>
      <c r="M708" s="19"/>
      <c r="N708" s="16" t="str">
        <f>IFERROR(VLOOKUP(M708,[1]Sheet1!$G$2:$H$200,2,0),"-")</f>
        <v>-</v>
      </c>
      <c r="P708" s="17"/>
      <c r="Q708" s="20"/>
      <c r="R708" s="20"/>
      <c r="S708" s="21" t="str" cm="1">
        <f t="array" ref="S708">IF(
OR(AD708="",ISERROR(AD708)),
"-",
_xlfn.UNIQUE(_xlfn._xlws.FILTER([1]Sheet1!$D$2:$D$200,ISNUMBER(SEARCH(AD708,[1]Sheet1!$D$2:$D$200))))
)</f>
        <v>-</v>
      </c>
      <c r="T708" s="22"/>
      <c r="U708" s="16" t="str" cm="1">
        <f t="array" ref="U708">IF(
OR(AD708="",ISERROR(AD708)),
"-",
_xlfn.UNIQUE(_xlfn._xlws.FILTER([1]Sheet1!$D$2:$D$200,ISNUMBER(SEARCH(AD708,[1]Sheet1!$D$2:$D$200))))
)</f>
        <v>-</v>
      </c>
      <c r="X708" s="23">
        <f t="shared" si="25"/>
        <v>0</v>
      </c>
      <c r="Z708" s="19"/>
      <c r="AA708" s="19"/>
      <c r="AC708" s="17" t="str">
        <f t="shared" si="26"/>
        <v>Y</v>
      </c>
      <c r="AD708" s="17"/>
      <c r="AF708" s="27"/>
      <c r="AG708" s="27"/>
    </row>
    <row r="709" spans="3:33" ht="34.950000000000003" customHeight="1" x14ac:dyDescent="0.4">
      <c r="C709" s="17"/>
      <c r="I709" s="19"/>
      <c r="J709" s="16" t="str">
        <f>IFERROR(VLOOKUP(I709,[1]Sheet1!$A$1:$B$200,2,0),"_")</f>
        <v>_</v>
      </c>
      <c r="K709" s="19"/>
      <c r="L709" s="16" t="str">
        <f>IFERROR(VLOOKUP(K709,[1]Sheet1!$A$1:$B$200,2,0),"-")</f>
        <v>-</v>
      </c>
      <c r="M709" s="19"/>
      <c r="N709" s="16" t="str">
        <f>IFERROR(VLOOKUP(M709,[1]Sheet1!$G$2:$H$200,2,0),"-")</f>
        <v>-</v>
      </c>
      <c r="P709" s="17"/>
      <c r="Q709" s="20"/>
      <c r="R709" s="20"/>
      <c r="S709" s="21" t="str" cm="1">
        <f t="array" ref="S709">IF(
OR(AD709="",ISERROR(AD709)),
"-",
_xlfn.UNIQUE(_xlfn._xlws.FILTER([1]Sheet1!$D$2:$D$200,ISNUMBER(SEARCH(AD709,[1]Sheet1!$D$2:$D$200))))
)</f>
        <v>-</v>
      </c>
      <c r="T709" s="22"/>
      <c r="U709" s="16" t="str" cm="1">
        <f t="array" ref="U709">IF(
OR(AD709="",ISERROR(AD709)),
"-",
_xlfn.UNIQUE(_xlfn._xlws.FILTER([1]Sheet1!$D$2:$D$200,ISNUMBER(SEARCH(AD709,[1]Sheet1!$D$2:$D$200))))
)</f>
        <v>-</v>
      </c>
      <c r="X709" s="23">
        <f t="shared" si="25"/>
        <v>0</v>
      </c>
      <c r="Z709" s="19"/>
      <c r="AA709" s="19"/>
      <c r="AC709" s="17" t="str">
        <f t="shared" si="26"/>
        <v>Y</v>
      </c>
      <c r="AD709" s="17"/>
      <c r="AF709" s="27"/>
      <c r="AG709" s="27"/>
    </row>
    <row r="710" spans="3:33" ht="34.950000000000003" customHeight="1" x14ac:dyDescent="0.4">
      <c r="C710" s="17"/>
      <c r="I710" s="19"/>
      <c r="J710" s="16" t="str">
        <f>IFERROR(VLOOKUP(I710,[1]Sheet1!$A$1:$B$200,2,0),"_")</f>
        <v>_</v>
      </c>
      <c r="K710" s="19"/>
      <c r="L710" s="16" t="str">
        <f>IFERROR(VLOOKUP(K710,[1]Sheet1!$A$1:$B$200,2,0),"-")</f>
        <v>-</v>
      </c>
      <c r="M710" s="19"/>
      <c r="N710" s="16" t="str">
        <f>IFERROR(VLOOKUP(M710,[1]Sheet1!$G$2:$H$200,2,0),"-")</f>
        <v>-</v>
      </c>
      <c r="P710" s="17"/>
      <c r="Q710" s="20"/>
      <c r="R710" s="20"/>
      <c r="S710" s="21" t="str" cm="1">
        <f t="array" ref="S710">IF(
OR(AD710="",ISERROR(AD710)),
"-",
_xlfn.UNIQUE(_xlfn._xlws.FILTER([1]Sheet1!$D$2:$D$200,ISNUMBER(SEARCH(AD710,[1]Sheet1!$D$2:$D$200))))
)</f>
        <v>-</v>
      </c>
      <c r="T710" s="22"/>
      <c r="U710" s="16" t="str" cm="1">
        <f t="array" ref="U710">IF(
OR(AD710="",ISERROR(AD710)),
"-",
_xlfn.UNIQUE(_xlfn._xlws.FILTER([1]Sheet1!$D$2:$D$200,ISNUMBER(SEARCH(AD710,[1]Sheet1!$D$2:$D$200))))
)</f>
        <v>-</v>
      </c>
      <c r="X710" s="23">
        <f t="shared" si="25"/>
        <v>0</v>
      </c>
      <c r="Z710" s="19"/>
      <c r="AA710" s="19"/>
      <c r="AC710" s="17" t="str">
        <f t="shared" si="26"/>
        <v>Y</v>
      </c>
      <c r="AD710" s="17"/>
      <c r="AF710" s="27"/>
      <c r="AG710" s="27"/>
    </row>
    <row r="711" spans="3:33" ht="34.950000000000003" customHeight="1" x14ac:dyDescent="0.4">
      <c r="C711" s="17"/>
      <c r="I711" s="19"/>
      <c r="J711" s="16" t="str">
        <f>IFERROR(VLOOKUP(I711,[1]Sheet1!$A$1:$B$200,2,0),"_")</f>
        <v>_</v>
      </c>
      <c r="K711" s="19"/>
      <c r="L711" s="16" t="str">
        <f>IFERROR(VLOOKUP(K711,[1]Sheet1!$A$1:$B$200,2,0),"-")</f>
        <v>-</v>
      </c>
      <c r="M711" s="19"/>
      <c r="N711" s="16" t="str">
        <f>IFERROR(VLOOKUP(M711,[1]Sheet1!$G$2:$H$200,2,0),"-")</f>
        <v>-</v>
      </c>
      <c r="P711" s="17"/>
      <c r="Q711" s="20"/>
      <c r="R711" s="20"/>
      <c r="S711" s="21" t="str" cm="1">
        <f t="array" ref="S711">IF(
OR(AD711="",ISERROR(AD711)),
"-",
_xlfn.UNIQUE(_xlfn._xlws.FILTER([1]Sheet1!$D$2:$D$200,ISNUMBER(SEARCH(AD711,[1]Sheet1!$D$2:$D$200))))
)</f>
        <v>-</v>
      </c>
      <c r="T711" s="22"/>
      <c r="U711" s="16" t="str" cm="1">
        <f t="array" ref="U711">IF(
OR(AD711="",ISERROR(AD711)),
"-",
_xlfn.UNIQUE(_xlfn._xlws.FILTER([1]Sheet1!$D$2:$D$200,ISNUMBER(SEARCH(AD711,[1]Sheet1!$D$2:$D$200))))
)</f>
        <v>-</v>
      </c>
      <c r="X711" s="23">
        <f t="shared" si="25"/>
        <v>0</v>
      </c>
      <c r="Z711" s="19"/>
      <c r="AA711" s="19"/>
      <c r="AC711" s="17" t="str">
        <f t="shared" si="26"/>
        <v>Y</v>
      </c>
      <c r="AD711" s="17"/>
      <c r="AF711" s="27"/>
      <c r="AG711" s="27"/>
    </row>
    <row r="712" spans="3:33" ht="34.950000000000003" customHeight="1" x14ac:dyDescent="0.4">
      <c r="C712" s="17"/>
      <c r="I712" s="19"/>
      <c r="J712" s="16" t="str">
        <f>IFERROR(VLOOKUP(I712,[1]Sheet1!$A$1:$B$200,2,0),"_")</f>
        <v>_</v>
      </c>
      <c r="K712" s="19"/>
      <c r="L712" s="16" t="str">
        <f>IFERROR(VLOOKUP(K712,[1]Sheet1!$A$1:$B$200,2,0),"-")</f>
        <v>-</v>
      </c>
      <c r="M712" s="19"/>
      <c r="N712" s="16" t="str">
        <f>IFERROR(VLOOKUP(M712,[1]Sheet1!$G$2:$H$200,2,0),"-")</f>
        <v>-</v>
      </c>
      <c r="P712" s="17"/>
      <c r="Q712" s="20"/>
      <c r="R712" s="20"/>
      <c r="S712" s="21" t="str" cm="1">
        <f t="array" ref="S712">IF(
OR(AD712="",ISERROR(AD712)),
"-",
_xlfn.UNIQUE(_xlfn._xlws.FILTER([1]Sheet1!$D$2:$D$200,ISNUMBER(SEARCH(AD712,[1]Sheet1!$D$2:$D$200))))
)</f>
        <v>-</v>
      </c>
      <c r="T712" s="22"/>
      <c r="U712" s="16" t="str" cm="1">
        <f t="array" ref="U712">IF(
OR(AD712="",ISERROR(AD712)),
"-",
_xlfn.UNIQUE(_xlfn._xlws.FILTER([1]Sheet1!$D$2:$D$200,ISNUMBER(SEARCH(AD712,[1]Sheet1!$D$2:$D$200))))
)</f>
        <v>-</v>
      </c>
      <c r="X712" s="23">
        <f t="shared" si="25"/>
        <v>0</v>
      </c>
      <c r="Z712" s="19"/>
      <c r="AA712" s="19"/>
      <c r="AC712" s="17" t="str">
        <f t="shared" si="26"/>
        <v>Y</v>
      </c>
      <c r="AD712" s="17"/>
      <c r="AF712" s="27"/>
      <c r="AG712" s="27"/>
    </row>
    <row r="713" spans="3:33" ht="34.950000000000003" customHeight="1" x14ac:dyDescent="0.4">
      <c r="C713" s="17"/>
      <c r="I713" s="19"/>
      <c r="J713" s="16" t="str">
        <f>IFERROR(VLOOKUP(I713,[1]Sheet1!$A$1:$B$200,2,0),"_")</f>
        <v>_</v>
      </c>
      <c r="K713" s="19"/>
      <c r="L713" s="16" t="str">
        <f>IFERROR(VLOOKUP(K713,[1]Sheet1!$A$1:$B$200,2,0),"-")</f>
        <v>-</v>
      </c>
      <c r="M713" s="19"/>
      <c r="N713" s="16" t="str">
        <f>IFERROR(VLOOKUP(M713,[1]Sheet1!$G$2:$H$200,2,0),"-")</f>
        <v>-</v>
      </c>
      <c r="P713" s="17"/>
      <c r="Q713" s="20"/>
      <c r="R713" s="20"/>
      <c r="S713" s="21" t="str" cm="1">
        <f t="array" ref="S713">IF(
OR(AD713="",ISERROR(AD713)),
"-",
_xlfn.UNIQUE(_xlfn._xlws.FILTER([1]Sheet1!$D$2:$D$200,ISNUMBER(SEARCH(AD713,[1]Sheet1!$D$2:$D$200))))
)</f>
        <v>-</v>
      </c>
      <c r="T713" s="22"/>
      <c r="U713" s="16" t="str" cm="1">
        <f t="array" ref="U713">IF(
OR(AD713="",ISERROR(AD713)),
"-",
_xlfn.UNIQUE(_xlfn._xlws.FILTER([1]Sheet1!$D$2:$D$200,ISNUMBER(SEARCH(AD713,[1]Sheet1!$D$2:$D$200))))
)</f>
        <v>-</v>
      </c>
      <c r="X713" s="23">
        <f t="shared" si="25"/>
        <v>0</v>
      </c>
      <c r="Z713" s="19"/>
      <c r="AA713" s="19"/>
      <c r="AC713" s="17" t="str">
        <f t="shared" si="26"/>
        <v>Y</v>
      </c>
      <c r="AD713" s="17"/>
      <c r="AF713" s="27"/>
      <c r="AG713" s="27"/>
    </row>
    <row r="714" spans="3:33" ht="34.950000000000003" customHeight="1" x14ac:dyDescent="0.4">
      <c r="C714" s="17"/>
      <c r="I714" s="19"/>
      <c r="J714" s="16" t="str">
        <f>IFERROR(VLOOKUP(I714,[1]Sheet1!$A$1:$B$200,2,0),"_")</f>
        <v>_</v>
      </c>
      <c r="K714" s="19"/>
      <c r="L714" s="16" t="str">
        <f>IFERROR(VLOOKUP(K714,[1]Sheet1!$A$1:$B$200,2,0),"-")</f>
        <v>-</v>
      </c>
      <c r="M714" s="19"/>
      <c r="N714" s="16" t="str">
        <f>IFERROR(VLOOKUP(M714,[1]Sheet1!$G$2:$H$200,2,0),"-")</f>
        <v>-</v>
      </c>
      <c r="P714" s="17"/>
      <c r="Q714" s="20"/>
      <c r="R714" s="20"/>
      <c r="S714" s="21" t="str" cm="1">
        <f t="array" ref="S714">IF(
OR(AD714="",ISERROR(AD714)),
"-",
_xlfn.UNIQUE(_xlfn._xlws.FILTER([1]Sheet1!$D$2:$D$200,ISNUMBER(SEARCH(AD714,[1]Sheet1!$D$2:$D$200))))
)</f>
        <v>-</v>
      </c>
      <c r="T714" s="22"/>
      <c r="U714" s="16" t="str" cm="1">
        <f t="array" ref="U714">IF(
OR(AD714="",ISERROR(AD714)),
"-",
_xlfn.UNIQUE(_xlfn._xlws.FILTER([1]Sheet1!$D$2:$D$200,ISNUMBER(SEARCH(AD714,[1]Sheet1!$D$2:$D$200))))
)</f>
        <v>-</v>
      </c>
      <c r="X714" s="23">
        <f t="shared" si="25"/>
        <v>0</v>
      </c>
      <c r="Z714" s="19"/>
      <c r="AA714" s="19"/>
      <c r="AC714" s="17" t="str">
        <f t="shared" si="26"/>
        <v>Y</v>
      </c>
      <c r="AD714" s="17"/>
      <c r="AF714" s="27"/>
      <c r="AG714" s="27"/>
    </row>
    <row r="715" spans="3:33" ht="34.950000000000003" customHeight="1" x14ac:dyDescent="0.4">
      <c r="C715" s="17"/>
      <c r="I715" s="19"/>
      <c r="J715" s="16" t="str">
        <f>IFERROR(VLOOKUP(I715,[1]Sheet1!$A$1:$B$200,2,0),"_")</f>
        <v>_</v>
      </c>
      <c r="K715" s="19"/>
      <c r="L715" s="16" t="str">
        <f>IFERROR(VLOOKUP(K715,[1]Sheet1!$A$1:$B$200,2,0),"-")</f>
        <v>-</v>
      </c>
      <c r="M715" s="19"/>
      <c r="N715" s="16" t="str">
        <f>IFERROR(VLOOKUP(M715,[1]Sheet1!$G$2:$H$200,2,0),"-")</f>
        <v>-</v>
      </c>
      <c r="P715" s="17"/>
      <c r="Q715" s="20"/>
      <c r="R715" s="20"/>
      <c r="S715" s="21" t="str" cm="1">
        <f t="array" ref="S715">IF(
OR(AD715="",ISERROR(AD715)),
"-",
_xlfn.UNIQUE(_xlfn._xlws.FILTER([1]Sheet1!$D$2:$D$200,ISNUMBER(SEARCH(AD715,[1]Sheet1!$D$2:$D$200))))
)</f>
        <v>-</v>
      </c>
      <c r="T715" s="22"/>
      <c r="U715" s="16" t="str" cm="1">
        <f t="array" ref="U715">IF(
OR(AD715="",ISERROR(AD715)),
"-",
_xlfn.UNIQUE(_xlfn._xlws.FILTER([1]Sheet1!$D$2:$D$200,ISNUMBER(SEARCH(AD715,[1]Sheet1!$D$2:$D$200))))
)</f>
        <v>-</v>
      </c>
      <c r="X715" s="23">
        <f t="shared" si="25"/>
        <v>0</v>
      </c>
      <c r="Z715" s="19"/>
      <c r="AA715" s="19"/>
      <c r="AC715" s="17" t="str">
        <f t="shared" si="26"/>
        <v>Y</v>
      </c>
      <c r="AD715" s="17"/>
      <c r="AF715" s="27"/>
      <c r="AG715" s="27"/>
    </row>
    <row r="716" spans="3:33" ht="34.950000000000003" customHeight="1" x14ac:dyDescent="0.4">
      <c r="C716" s="17"/>
      <c r="I716" s="19"/>
      <c r="J716" s="16" t="str">
        <f>IFERROR(VLOOKUP(I716,[1]Sheet1!$A$1:$B$200,2,0),"_")</f>
        <v>_</v>
      </c>
      <c r="K716" s="19"/>
      <c r="L716" s="16" t="str">
        <f>IFERROR(VLOOKUP(K716,[1]Sheet1!$A$1:$B$200,2,0),"-")</f>
        <v>-</v>
      </c>
      <c r="M716" s="19"/>
      <c r="N716" s="16" t="str">
        <f>IFERROR(VLOOKUP(M716,[1]Sheet1!$G$2:$H$200,2,0),"-")</f>
        <v>-</v>
      </c>
      <c r="P716" s="17"/>
      <c r="Q716" s="20"/>
      <c r="R716" s="20"/>
      <c r="S716" s="21" t="str" cm="1">
        <f t="array" ref="S716">IF(
OR(AD716="",ISERROR(AD716)),
"-",
_xlfn.UNIQUE(_xlfn._xlws.FILTER([1]Sheet1!$D$2:$D$200,ISNUMBER(SEARCH(AD716,[1]Sheet1!$D$2:$D$200))))
)</f>
        <v>-</v>
      </c>
      <c r="T716" s="22"/>
      <c r="U716" s="16" t="str" cm="1">
        <f t="array" ref="U716">IF(
OR(AD716="",ISERROR(AD716)),
"-",
_xlfn.UNIQUE(_xlfn._xlws.FILTER([1]Sheet1!$D$2:$D$200,ISNUMBER(SEARCH(AD716,[1]Sheet1!$D$2:$D$200))))
)</f>
        <v>-</v>
      </c>
      <c r="X716" s="23">
        <f t="shared" si="25"/>
        <v>0</v>
      </c>
      <c r="Z716" s="19"/>
      <c r="AA716" s="19"/>
      <c r="AC716" s="17" t="str">
        <f t="shared" si="26"/>
        <v>Y</v>
      </c>
      <c r="AD716" s="17"/>
      <c r="AF716" s="27"/>
      <c r="AG716" s="27"/>
    </row>
    <row r="717" spans="3:33" ht="34.950000000000003" customHeight="1" x14ac:dyDescent="0.4">
      <c r="C717" s="17"/>
      <c r="I717" s="19"/>
      <c r="J717" s="16" t="str">
        <f>IFERROR(VLOOKUP(I717,[1]Sheet1!$A$1:$B$200,2,0),"_")</f>
        <v>_</v>
      </c>
      <c r="K717" s="19"/>
      <c r="L717" s="16" t="str">
        <f>IFERROR(VLOOKUP(K717,[1]Sheet1!$A$1:$B$200,2,0),"-")</f>
        <v>-</v>
      </c>
      <c r="M717" s="19"/>
      <c r="N717" s="16" t="str">
        <f>IFERROR(VLOOKUP(M717,[1]Sheet1!$G$2:$H$200,2,0),"-")</f>
        <v>-</v>
      </c>
      <c r="P717" s="17"/>
      <c r="Q717" s="20"/>
      <c r="R717" s="20"/>
      <c r="S717" s="21" t="str" cm="1">
        <f t="array" ref="S717">IF(
OR(AD717="",ISERROR(AD717)),
"-",
_xlfn.UNIQUE(_xlfn._xlws.FILTER([1]Sheet1!$D$2:$D$200,ISNUMBER(SEARCH(AD717,[1]Sheet1!$D$2:$D$200))))
)</f>
        <v>-</v>
      </c>
      <c r="T717" s="22"/>
      <c r="U717" s="16" t="str" cm="1">
        <f t="array" ref="U717">IF(
OR(AD717="",ISERROR(AD717)),
"-",
_xlfn.UNIQUE(_xlfn._xlws.FILTER([1]Sheet1!$D$2:$D$200,ISNUMBER(SEARCH(AD717,[1]Sheet1!$D$2:$D$200))))
)</f>
        <v>-</v>
      </c>
      <c r="X717" s="23">
        <f t="shared" si="25"/>
        <v>0</v>
      </c>
      <c r="Z717" s="19"/>
      <c r="AA717" s="19"/>
      <c r="AC717" s="17" t="str">
        <f t="shared" si="26"/>
        <v>Y</v>
      </c>
      <c r="AD717" s="17"/>
      <c r="AF717" s="27"/>
      <c r="AG717" s="27"/>
    </row>
    <row r="718" spans="3:33" ht="34.950000000000003" customHeight="1" x14ac:dyDescent="0.4">
      <c r="C718" s="17"/>
      <c r="I718" s="19"/>
      <c r="J718" s="16" t="str">
        <f>IFERROR(VLOOKUP(I718,[1]Sheet1!$A$1:$B$200,2,0),"_")</f>
        <v>_</v>
      </c>
      <c r="K718" s="19"/>
      <c r="L718" s="16" t="str">
        <f>IFERROR(VLOOKUP(K718,[1]Sheet1!$A$1:$B$200,2,0),"-")</f>
        <v>-</v>
      </c>
      <c r="M718" s="19"/>
      <c r="N718" s="16" t="str">
        <f>IFERROR(VLOOKUP(M718,[1]Sheet1!$G$2:$H$200,2,0),"-")</f>
        <v>-</v>
      </c>
      <c r="P718" s="17"/>
      <c r="Q718" s="20"/>
      <c r="R718" s="20"/>
      <c r="S718" s="21" t="str" cm="1">
        <f t="array" ref="S718">IF(
OR(AD718="",ISERROR(AD718)),
"-",
_xlfn.UNIQUE(_xlfn._xlws.FILTER([1]Sheet1!$D$2:$D$200,ISNUMBER(SEARCH(AD718,[1]Sheet1!$D$2:$D$200))))
)</f>
        <v>-</v>
      </c>
      <c r="T718" s="22"/>
      <c r="U718" s="16" t="str" cm="1">
        <f t="array" ref="U718">IF(
OR(AD718="",ISERROR(AD718)),
"-",
_xlfn.UNIQUE(_xlfn._xlws.FILTER([1]Sheet1!$D$2:$D$200,ISNUMBER(SEARCH(AD718,[1]Sheet1!$D$2:$D$200))))
)</f>
        <v>-</v>
      </c>
      <c r="X718" s="23">
        <f t="shared" si="25"/>
        <v>0</v>
      </c>
      <c r="Z718" s="19"/>
      <c r="AA718" s="19"/>
      <c r="AC718" s="17" t="str">
        <f t="shared" si="26"/>
        <v>Y</v>
      </c>
      <c r="AD718" s="17"/>
      <c r="AF718" s="27"/>
      <c r="AG718" s="27"/>
    </row>
    <row r="719" spans="3:33" ht="34.950000000000003" customHeight="1" x14ac:dyDescent="0.4">
      <c r="C719" s="17"/>
      <c r="I719" s="19"/>
      <c r="J719" s="16" t="str">
        <f>IFERROR(VLOOKUP(I719,[1]Sheet1!$A$1:$B$200,2,0),"_")</f>
        <v>_</v>
      </c>
      <c r="K719" s="19"/>
      <c r="L719" s="16" t="str">
        <f>IFERROR(VLOOKUP(K719,[1]Sheet1!$A$1:$B$200,2,0),"-")</f>
        <v>-</v>
      </c>
      <c r="M719" s="19"/>
      <c r="N719" s="16" t="str">
        <f>IFERROR(VLOOKUP(M719,[1]Sheet1!$G$2:$H$200,2,0),"-")</f>
        <v>-</v>
      </c>
      <c r="P719" s="17"/>
      <c r="Q719" s="20"/>
      <c r="R719" s="20"/>
      <c r="S719" s="21" t="str" cm="1">
        <f t="array" ref="S719">IF(
OR(AD719="",ISERROR(AD719)),
"-",
_xlfn.UNIQUE(_xlfn._xlws.FILTER([1]Sheet1!$D$2:$D$200,ISNUMBER(SEARCH(AD719,[1]Sheet1!$D$2:$D$200))))
)</f>
        <v>-</v>
      </c>
      <c r="T719" s="22"/>
      <c r="U719" s="16" t="str" cm="1">
        <f t="array" ref="U719">IF(
OR(AD719="",ISERROR(AD719)),
"-",
_xlfn.UNIQUE(_xlfn._xlws.FILTER([1]Sheet1!$D$2:$D$200,ISNUMBER(SEARCH(AD719,[1]Sheet1!$D$2:$D$200))))
)</f>
        <v>-</v>
      </c>
      <c r="X719" s="23">
        <f t="shared" si="25"/>
        <v>0</v>
      </c>
      <c r="Z719" s="19"/>
      <c r="AA719" s="19"/>
      <c r="AC719" s="17" t="str">
        <f t="shared" si="26"/>
        <v>Y</v>
      </c>
      <c r="AD719" s="17"/>
      <c r="AF719" s="27"/>
      <c r="AG719" s="27"/>
    </row>
    <row r="720" spans="3:33" ht="34.950000000000003" customHeight="1" x14ac:dyDescent="0.4">
      <c r="C720" s="17"/>
      <c r="I720" s="19"/>
      <c r="J720" s="16" t="str">
        <f>IFERROR(VLOOKUP(I720,[1]Sheet1!$A$1:$B$200,2,0),"_")</f>
        <v>_</v>
      </c>
      <c r="K720" s="19"/>
      <c r="L720" s="16" t="str">
        <f>IFERROR(VLOOKUP(K720,[1]Sheet1!$A$1:$B$200,2,0),"-")</f>
        <v>-</v>
      </c>
      <c r="M720" s="19"/>
      <c r="N720" s="16" t="str">
        <f>IFERROR(VLOOKUP(M720,[1]Sheet1!$G$2:$H$200,2,0),"-")</f>
        <v>-</v>
      </c>
      <c r="P720" s="17"/>
      <c r="Q720" s="20"/>
      <c r="R720" s="20"/>
      <c r="S720" s="21" t="str" cm="1">
        <f t="array" ref="S720">IF(
OR(AD720="",ISERROR(AD720)),
"-",
_xlfn.UNIQUE(_xlfn._xlws.FILTER([1]Sheet1!$D$2:$D$200,ISNUMBER(SEARCH(AD720,[1]Sheet1!$D$2:$D$200))))
)</f>
        <v>-</v>
      </c>
      <c r="T720" s="22"/>
      <c r="U720" s="16" t="str" cm="1">
        <f t="array" ref="U720">IF(
OR(AD720="",ISERROR(AD720)),
"-",
_xlfn.UNIQUE(_xlfn._xlws.FILTER([1]Sheet1!$D$2:$D$200,ISNUMBER(SEARCH(AD720,[1]Sheet1!$D$2:$D$200))))
)</f>
        <v>-</v>
      </c>
      <c r="X720" s="23">
        <f t="shared" si="25"/>
        <v>0</v>
      </c>
      <c r="Z720" s="19"/>
      <c r="AA720" s="19"/>
      <c r="AC720" s="17" t="str">
        <f t="shared" si="26"/>
        <v>Y</v>
      </c>
      <c r="AD720" s="17"/>
      <c r="AF720" s="27"/>
      <c r="AG720" s="27"/>
    </row>
    <row r="721" spans="3:33" ht="34.950000000000003" customHeight="1" x14ac:dyDescent="0.4">
      <c r="C721" s="17"/>
      <c r="I721" s="19"/>
      <c r="J721" s="16" t="str">
        <f>IFERROR(VLOOKUP(I721,[1]Sheet1!$A$1:$B$200,2,0),"_")</f>
        <v>_</v>
      </c>
      <c r="K721" s="19"/>
      <c r="L721" s="16" t="str">
        <f>IFERROR(VLOOKUP(K721,[1]Sheet1!$A$1:$B$200,2,0),"-")</f>
        <v>-</v>
      </c>
      <c r="M721" s="19"/>
      <c r="N721" s="16" t="str">
        <f>IFERROR(VLOOKUP(M721,[1]Sheet1!$G$2:$H$200,2,0),"-")</f>
        <v>-</v>
      </c>
      <c r="P721" s="17"/>
      <c r="Q721" s="20"/>
      <c r="R721" s="20"/>
      <c r="S721" s="21" t="str" cm="1">
        <f t="array" ref="S721">IF(
OR(AD721="",ISERROR(AD721)),
"-",
_xlfn.UNIQUE(_xlfn._xlws.FILTER([1]Sheet1!$D$2:$D$200,ISNUMBER(SEARCH(AD721,[1]Sheet1!$D$2:$D$200))))
)</f>
        <v>-</v>
      </c>
      <c r="T721" s="22"/>
      <c r="U721" s="16" t="str" cm="1">
        <f t="array" ref="U721">IF(
OR(AD721="",ISERROR(AD721)),
"-",
_xlfn.UNIQUE(_xlfn._xlws.FILTER([1]Sheet1!$D$2:$D$200,ISNUMBER(SEARCH(AD721,[1]Sheet1!$D$2:$D$200))))
)</f>
        <v>-</v>
      </c>
      <c r="X721" s="23">
        <f t="shared" si="25"/>
        <v>0</v>
      </c>
      <c r="Z721" s="19"/>
      <c r="AA721" s="19"/>
      <c r="AC721" s="17" t="str">
        <f t="shared" si="26"/>
        <v>Y</v>
      </c>
      <c r="AD721" s="17"/>
      <c r="AF721" s="27"/>
      <c r="AG721" s="27"/>
    </row>
    <row r="722" spans="3:33" ht="34.950000000000003" customHeight="1" x14ac:dyDescent="0.4">
      <c r="C722" s="17"/>
      <c r="I722" s="19"/>
      <c r="J722" s="16" t="str">
        <f>IFERROR(VLOOKUP(I722,[1]Sheet1!$A$1:$B$200,2,0),"_")</f>
        <v>_</v>
      </c>
      <c r="K722" s="19"/>
      <c r="L722" s="16" t="str">
        <f>IFERROR(VLOOKUP(K722,[1]Sheet1!$A$1:$B$200,2,0),"-")</f>
        <v>-</v>
      </c>
      <c r="M722" s="19"/>
      <c r="N722" s="16" t="str">
        <f>IFERROR(VLOOKUP(M722,[1]Sheet1!$G$2:$H$200,2,0),"-")</f>
        <v>-</v>
      </c>
      <c r="P722" s="17"/>
      <c r="Q722" s="20"/>
      <c r="R722" s="20"/>
      <c r="S722" s="21" t="str" cm="1">
        <f t="array" ref="S722">IF(
OR(AD722="",ISERROR(AD722)),
"-",
_xlfn.UNIQUE(_xlfn._xlws.FILTER([1]Sheet1!$D$2:$D$200,ISNUMBER(SEARCH(AD722,[1]Sheet1!$D$2:$D$200))))
)</f>
        <v>-</v>
      </c>
      <c r="T722" s="22"/>
      <c r="U722" s="16" t="str" cm="1">
        <f t="array" ref="U722">IF(
OR(AD722="",ISERROR(AD722)),
"-",
_xlfn.UNIQUE(_xlfn._xlws.FILTER([1]Sheet1!$D$2:$D$200,ISNUMBER(SEARCH(AD722,[1]Sheet1!$D$2:$D$200))))
)</f>
        <v>-</v>
      </c>
      <c r="X722" s="23">
        <f t="shared" si="25"/>
        <v>0</v>
      </c>
      <c r="Z722" s="19"/>
      <c r="AA722" s="19"/>
      <c r="AC722" s="17" t="str">
        <f t="shared" si="26"/>
        <v>Y</v>
      </c>
      <c r="AD722" s="17"/>
      <c r="AF722" s="27"/>
      <c r="AG722" s="27"/>
    </row>
    <row r="723" spans="3:33" ht="34.950000000000003" customHeight="1" x14ac:dyDescent="0.4">
      <c r="C723" s="17"/>
      <c r="I723" s="19"/>
      <c r="J723" s="16" t="str">
        <f>IFERROR(VLOOKUP(I723,[1]Sheet1!$A$1:$B$200,2,0),"_")</f>
        <v>_</v>
      </c>
      <c r="K723" s="19"/>
      <c r="L723" s="16" t="str">
        <f>IFERROR(VLOOKUP(K723,[1]Sheet1!$A$1:$B$200,2,0),"-")</f>
        <v>-</v>
      </c>
      <c r="M723" s="19"/>
      <c r="N723" s="16" t="str">
        <f>IFERROR(VLOOKUP(M723,[1]Sheet1!$G$2:$H$200,2,0),"-")</f>
        <v>-</v>
      </c>
      <c r="P723" s="17"/>
      <c r="Q723" s="20"/>
      <c r="R723" s="20"/>
      <c r="S723" s="21" t="str" cm="1">
        <f t="array" ref="S723">IF(
OR(AD723="",ISERROR(AD723)),
"-",
_xlfn.UNIQUE(_xlfn._xlws.FILTER([1]Sheet1!$D$2:$D$200,ISNUMBER(SEARCH(AD723,[1]Sheet1!$D$2:$D$200))))
)</f>
        <v>-</v>
      </c>
      <c r="T723" s="22"/>
      <c r="U723" s="16" t="str" cm="1">
        <f t="array" ref="U723">IF(
OR(AD723="",ISERROR(AD723)),
"-",
_xlfn.UNIQUE(_xlfn._xlws.FILTER([1]Sheet1!$D$2:$D$200,ISNUMBER(SEARCH(AD723,[1]Sheet1!$D$2:$D$200))))
)</f>
        <v>-</v>
      </c>
      <c r="X723" s="23">
        <f t="shared" si="25"/>
        <v>0</v>
      </c>
      <c r="Z723" s="19"/>
      <c r="AA723" s="19"/>
      <c r="AC723" s="17" t="str">
        <f t="shared" si="26"/>
        <v>Y</v>
      </c>
      <c r="AD723" s="17"/>
      <c r="AF723" s="27"/>
      <c r="AG723" s="27"/>
    </row>
    <row r="724" spans="3:33" ht="34.950000000000003" customHeight="1" x14ac:dyDescent="0.4">
      <c r="C724" s="17"/>
      <c r="I724" s="19"/>
      <c r="J724" s="16" t="str">
        <f>IFERROR(VLOOKUP(I724,[1]Sheet1!$A$1:$B$200,2,0),"_")</f>
        <v>_</v>
      </c>
      <c r="K724" s="19"/>
      <c r="L724" s="16" t="str">
        <f>IFERROR(VLOOKUP(K724,[1]Sheet1!$A$1:$B$200,2,0),"-")</f>
        <v>-</v>
      </c>
      <c r="M724" s="19"/>
      <c r="N724" s="16" t="str">
        <f>IFERROR(VLOOKUP(M724,[1]Sheet1!$G$2:$H$200,2,0),"-")</f>
        <v>-</v>
      </c>
      <c r="P724" s="17"/>
      <c r="Q724" s="20"/>
      <c r="R724" s="20"/>
      <c r="S724" s="21" t="str" cm="1">
        <f t="array" ref="S724">IF(
OR(AD724="",ISERROR(AD724)),
"-",
_xlfn.UNIQUE(_xlfn._xlws.FILTER([1]Sheet1!$D$2:$D$200,ISNUMBER(SEARCH(AD724,[1]Sheet1!$D$2:$D$200))))
)</f>
        <v>-</v>
      </c>
      <c r="T724" s="22"/>
      <c r="U724" s="16" t="str" cm="1">
        <f t="array" ref="U724">IF(
OR(AD724="",ISERROR(AD724)),
"-",
_xlfn.UNIQUE(_xlfn._xlws.FILTER([1]Sheet1!$D$2:$D$200,ISNUMBER(SEARCH(AD724,[1]Sheet1!$D$2:$D$200))))
)</f>
        <v>-</v>
      </c>
      <c r="X724" s="23">
        <f t="shared" si="25"/>
        <v>0</v>
      </c>
      <c r="Z724" s="19"/>
      <c r="AA724" s="19"/>
      <c r="AC724" s="17" t="str">
        <f t="shared" si="26"/>
        <v>Y</v>
      </c>
      <c r="AD724" s="17"/>
      <c r="AF724" s="27"/>
      <c r="AG724" s="27"/>
    </row>
    <row r="725" spans="3:33" ht="34.950000000000003" customHeight="1" x14ac:dyDescent="0.4">
      <c r="C725" s="17"/>
      <c r="I725" s="19"/>
      <c r="J725" s="16" t="str">
        <f>IFERROR(VLOOKUP(I725,[1]Sheet1!$A$1:$B$200,2,0),"_")</f>
        <v>_</v>
      </c>
      <c r="K725" s="19"/>
      <c r="L725" s="16" t="str">
        <f>IFERROR(VLOOKUP(K725,[1]Sheet1!$A$1:$B$200,2,0),"-")</f>
        <v>-</v>
      </c>
      <c r="M725" s="19"/>
      <c r="N725" s="16" t="str">
        <f>IFERROR(VLOOKUP(M725,[1]Sheet1!$G$2:$H$200,2,0),"-")</f>
        <v>-</v>
      </c>
      <c r="P725" s="17"/>
      <c r="Q725" s="20"/>
      <c r="R725" s="20"/>
      <c r="S725" s="21" t="str" cm="1">
        <f t="array" ref="S725">IF(
OR(AD725="",ISERROR(AD725)),
"-",
_xlfn.UNIQUE(_xlfn._xlws.FILTER([1]Sheet1!$D$2:$D$200,ISNUMBER(SEARCH(AD725,[1]Sheet1!$D$2:$D$200))))
)</f>
        <v>-</v>
      </c>
      <c r="T725" s="22"/>
      <c r="U725" s="16" t="str" cm="1">
        <f t="array" ref="U725">IF(
OR(AD725="",ISERROR(AD725)),
"-",
_xlfn.UNIQUE(_xlfn._xlws.FILTER([1]Sheet1!$D$2:$D$200,ISNUMBER(SEARCH(AD725,[1]Sheet1!$D$2:$D$200))))
)</f>
        <v>-</v>
      </c>
      <c r="X725" s="23">
        <f t="shared" si="25"/>
        <v>0</v>
      </c>
      <c r="Z725" s="19"/>
      <c r="AA725" s="19"/>
      <c r="AC725" s="17" t="str">
        <f t="shared" si="26"/>
        <v>Y</v>
      </c>
      <c r="AD725" s="17"/>
      <c r="AF725" s="27"/>
      <c r="AG725" s="27"/>
    </row>
    <row r="726" spans="3:33" ht="34.950000000000003" customHeight="1" x14ac:dyDescent="0.4">
      <c r="C726" s="17"/>
      <c r="I726" s="19"/>
      <c r="J726" s="16" t="str">
        <f>IFERROR(VLOOKUP(I726,[1]Sheet1!$A$1:$B$200,2,0),"_")</f>
        <v>_</v>
      </c>
      <c r="K726" s="19"/>
      <c r="L726" s="16" t="str">
        <f>IFERROR(VLOOKUP(K726,[1]Sheet1!$A$1:$B$200,2,0),"-")</f>
        <v>-</v>
      </c>
      <c r="M726" s="19"/>
      <c r="N726" s="16" t="str">
        <f>IFERROR(VLOOKUP(M726,[1]Sheet1!$G$2:$H$200,2,0),"-")</f>
        <v>-</v>
      </c>
      <c r="P726" s="17"/>
      <c r="Q726" s="20"/>
      <c r="R726" s="20"/>
      <c r="S726" s="21" t="str" cm="1">
        <f t="array" ref="S726">IF(
OR(AD726="",ISERROR(AD726)),
"-",
_xlfn.UNIQUE(_xlfn._xlws.FILTER([1]Sheet1!$D$2:$D$200,ISNUMBER(SEARCH(AD726,[1]Sheet1!$D$2:$D$200))))
)</f>
        <v>-</v>
      </c>
      <c r="T726" s="22"/>
      <c r="U726" s="16" t="str" cm="1">
        <f t="array" ref="U726">IF(
OR(AD726="",ISERROR(AD726)),
"-",
_xlfn.UNIQUE(_xlfn._xlws.FILTER([1]Sheet1!$D$2:$D$200,ISNUMBER(SEARCH(AD726,[1]Sheet1!$D$2:$D$200))))
)</f>
        <v>-</v>
      </c>
      <c r="X726" s="23">
        <f t="shared" si="25"/>
        <v>0</v>
      </c>
      <c r="Z726" s="19"/>
      <c r="AA726" s="19"/>
      <c r="AC726" s="17" t="str">
        <f t="shared" si="26"/>
        <v>Y</v>
      </c>
      <c r="AD726" s="17"/>
      <c r="AF726" s="27"/>
      <c r="AG726" s="27"/>
    </row>
    <row r="727" spans="3:33" ht="34.950000000000003" customHeight="1" x14ac:dyDescent="0.4">
      <c r="C727" s="17"/>
      <c r="I727" s="19"/>
      <c r="J727" s="16" t="str">
        <f>IFERROR(VLOOKUP(I727,[1]Sheet1!$A$1:$B$200,2,0),"_")</f>
        <v>_</v>
      </c>
      <c r="K727" s="19"/>
      <c r="L727" s="16" t="str">
        <f>IFERROR(VLOOKUP(K727,[1]Sheet1!$A$1:$B$200,2,0),"-")</f>
        <v>-</v>
      </c>
      <c r="M727" s="19"/>
      <c r="N727" s="16" t="str">
        <f>IFERROR(VLOOKUP(M727,[1]Sheet1!$G$2:$H$200,2,0),"-")</f>
        <v>-</v>
      </c>
      <c r="P727" s="17"/>
      <c r="Q727" s="20"/>
      <c r="R727" s="20"/>
      <c r="S727" s="21" t="str" cm="1">
        <f t="array" ref="S727">IF(
OR(AD727="",ISERROR(AD727)),
"-",
_xlfn.UNIQUE(_xlfn._xlws.FILTER([1]Sheet1!$D$2:$D$200,ISNUMBER(SEARCH(AD727,[1]Sheet1!$D$2:$D$200))))
)</f>
        <v>-</v>
      </c>
      <c r="T727" s="22"/>
      <c r="U727" s="16" t="str" cm="1">
        <f t="array" ref="U727">IF(
OR(AD727="",ISERROR(AD727)),
"-",
_xlfn.UNIQUE(_xlfn._xlws.FILTER([1]Sheet1!$D$2:$D$200,ISNUMBER(SEARCH(AD727,[1]Sheet1!$D$2:$D$200))))
)</f>
        <v>-</v>
      </c>
      <c r="X727" s="23">
        <f t="shared" si="25"/>
        <v>0</v>
      </c>
      <c r="Z727" s="19"/>
      <c r="AA727" s="19"/>
      <c r="AC727" s="17" t="str">
        <f t="shared" si="26"/>
        <v>Y</v>
      </c>
      <c r="AD727" s="17"/>
      <c r="AF727" s="27"/>
      <c r="AG727" s="27"/>
    </row>
    <row r="728" spans="3:33" ht="34.950000000000003" customHeight="1" x14ac:dyDescent="0.4">
      <c r="C728" s="17"/>
      <c r="I728" s="19"/>
      <c r="J728" s="16" t="str">
        <f>IFERROR(VLOOKUP(I728,[1]Sheet1!$A$1:$B$200,2,0),"_")</f>
        <v>_</v>
      </c>
      <c r="K728" s="19"/>
      <c r="L728" s="16" t="str">
        <f>IFERROR(VLOOKUP(K728,[1]Sheet1!$A$1:$B$200,2,0),"-")</f>
        <v>-</v>
      </c>
      <c r="M728" s="19"/>
      <c r="N728" s="16" t="str">
        <f>IFERROR(VLOOKUP(M728,[1]Sheet1!$G$2:$H$200,2,0),"-")</f>
        <v>-</v>
      </c>
      <c r="P728" s="17"/>
      <c r="Q728" s="20"/>
      <c r="R728" s="20"/>
      <c r="S728" s="21" t="str" cm="1">
        <f t="array" ref="S728">IF(
OR(AD728="",ISERROR(AD728)),
"-",
_xlfn.UNIQUE(_xlfn._xlws.FILTER([1]Sheet1!$D$2:$D$200,ISNUMBER(SEARCH(AD728,[1]Sheet1!$D$2:$D$200))))
)</f>
        <v>-</v>
      </c>
      <c r="T728" s="22"/>
      <c r="U728" s="16" t="str" cm="1">
        <f t="array" ref="U728">IF(
OR(AD728="",ISERROR(AD728)),
"-",
_xlfn.UNIQUE(_xlfn._xlws.FILTER([1]Sheet1!$D$2:$D$200,ISNUMBER(SEARCH(AD728,[1]Sheet1!$D$2:$D$200))))
)</f>
        <v>-</v>
      </c>
      <c r="X728" s="23">
        <f t="shared" si="25"/>
        <v>0</v>
      </c>
      <c r="Z728" s="19"/>
      <c r="AA728" s="19"/>
      <c r="AC728" s="17" t="str">
        <f t="shared" si="26"/>
        <v>Y</v>
      </c>
      <c r="AD728" s="17"/>
      <c r="AF728" s="27"/>
      <c r="AG728" s="27"/>
    </row>
    <row r="729" spans="3:33" ht="34.950000000000003" customHeight="1" x14ac:dyDescent="0.4">
      <c r="C729" s="17"/>
      <c r="I729" s="19"/>
      <c r="J729" s="16" t="str">
        <f>IFERROR(VLOOKUP(I729,[1]Sheet1!$A$1:$B$200,2,0),"_")</f>
        <v>_</v>
      </c>
      <c r="K729" s="19"/>
      <c r="L729" s="16" t="str">
        <f>IFERROR(VLOOKUP(K729,[1]Sheet1!$A$1:$B$200,2,0),"-")</f>
        <v>-</v>
      </c>
      <c r="M729" s="19"/>
      <c r="N729" s="16" t="str">
        <f>IFERROR(VLOOKUP(M729,[1]Sheet1!$G$2:$H$200,2,0),"-")</f>
        <v>-</v>
      </c>
      <c r="P729" s="17"/>
      <c r="Q729" s="20"/>
      <c r="R729" s="20"/>
      <c r="S729" s="21" t="str" cm="1">
        <f t="array" ref="S729">IF(
OR(AD729="",ISERROR(AD729)),
"-",
_xlfn.UNIQUE(_xlfn._xlws.FILTER([1]Sheet1!$D$2:$D$200,ISNUMBER(SEARCH(AD729,[1]Sheet1!$D$2:$D$200))))
)</f>
        <v>-</v>
      </c>
      <c r="T729" s="22"/>
      <c r="U729" s="16" t="str" cm="1">
        <f t="array" ref="U729">IF(
OR(AD729="",ISERROR(AD729)),
"-",
_xlfn.UNIQUE(_xlfn._xlws.FILTER([1]Sheet1!$D$2:$D$200,ISNUMBER(SEARCH(AD729,[1]Sheet1!$D$2:$D$200))))
)</f>
        <v>-</v>
      </c>
      <c r="X729" s="23">
        <f t="shared" si="25"/>
        <v>0</v>
      </c>
      <c r="Z729" s="19"/>
      <c r="AA729" s="19"/>
      <c r="AC729" s="17" t="str">
        <f t="shared" si="26"/>
        <v>Y</v>
      </c>
      <c r="AD729" s="17"/>
      <c r="AF729" s="27"/>
      <c r="AG729" s="27"/>
    </row>
    <row r="730" spans="3:33" ht="34.950000000000003" customHeight="1" x14ac:dyDescent="0.4">
      <c r="C730" s="17"/>
      <c r="I730" s="19"/>
      <c r="J730" s="16" t="str">
        <f>IFERROR(VLOOKUP(I730,[1]Sheet1!$A$1:$B$200,2,0),"_")</f>
        <v>_</v>
      </c>
      <c r="K730" s="19"/>
      <c r="L730" s="16" t="str">
        <f>IFERROR(VLOOKUP(K730,[1]Sheet1!$A$1:$B$200,2,0),"-")</f>
        <v>-</v>
      </c>
      <c r="M730" s="19"/>
      <c r="N730" s="16" t="str">
        <f>IFERROR(VLOOKUP(M730,[1]Sheet1!$G$2:$H$200,2,0),"-")</f>
        <v>-</v>
      </c>
      <c r="P730" s="17"/>
      <c r="Q730" s="20"/>
      <c r="R730" s="20"/>
      <c r="S730" s="21" t="str" cm="1">
        <f t="array" ref="S730">IF(
OR(AD730="",ISERROR(AD730)),
"-",
_xlfn.UNIQUE(_xlfn._xlws.FILTER([1]Sheet1!$D$2:$D$200,ISNUMBER(SEARCH(AD730,[1]Sheet1!$D$2:$D$200))))
)</f>
        <v>-</v>
      </c>
      <c r="T730" s="22"/>
      <c r="U730" s="16" t="str" cm="1">
        <f t="array" ref="U730">IF(
OR(AD730="",ISERROR(AD730)),
"-",
_xlfn.UNIQUE(_xlfn._xlws.FILTER([1]Sheet1!$D$2:$D$200,ISNUMBER(SEARCH(AD730,[1]Sheet1!$D$2:$D$200))))
)</f>
        <v>-</v>
      </c>
      <c r="X730" s="23">
        <f t="shared" si="25"/>
        <v>0</v>
      </c>
      <c r="Z730" s="19"/>
      <c r="AA730" s="19"/>
      <c r="AC730" s="17" t="str">
        <f t="shared" si="26"/>
        <v>Y</v>
      </c>
      <c r="AD730" s="17"/>
      <c r="AF730" s="27"/>
      <c r="AG730" s="27"/>
    </row>
    <row r="731" spans="3:33" ht="34.950000000000003" customHeight="1" x14ac:dyDescent="0.4">
      <c r="C731" s="17"/>
      <c r="I731" s="19"/>
      <c r="J731" s="16" t="str">
        <f>IFERROR(VLOOKUP(I731,[1]Sheet1!$A$1:$B$200,2,0),"_")</f>
        <v>_</v>
      </c>
      <c r="K731" s="19"/>
      <c r="L731" s="16" t="str">
        <f>IFERROR(VLOOKUP(K731,[1]Sheet1!$A$1:$B$200,2,0),"-")</f>
        <v>-</v>
      </c>
      <c r="M731" s="19"/>
      <c r="N731" s="16" t="str">
        <f>IFERROR(VLOOKUP(M731,[1]Sheet1!$G$2:$H$200,2,0),"-")</f>
        <v>-</v>
      </c>
      <c r="P731" s="17"/>
      <c r="Q731" s="20"/>
      <c r="R731" s="20"/>
      <c r="S731" s="21" t="str" cm="1">
        <f t="array" ref="S731">IF(
OR(AD731="",ISERROR(AD731)),
"-",
_xlfn.UNIQUE(_xlfn._xlws.FILTER([1]Sheet1!$D$2:$D$200,ISNUMBER(SEARCH(AD731,[1]Sheet1!$D$2:$D$200))))
)</f>
        <v>-</v>
      </c>
      <c r="T731" s="22"/>
      <c r="U731" s="16" t="str" cm="1">
        <f t="array" ref="U731">IF(
OR(AD731="",ISERROR(AD731)),
"-",
_xlfn.UNIQUE(_xlfn._xlws.FILTER([1]Sheet1!$D$2:$D$200,ISNUMBER(SEARCH(AD731,[1]Sheet1!$D$2:$D$200))))
)</f>
        <v>-</v>
      </c>
      <c r="X731" s="23">
        <f t="shared" si="25"/>
        <v>0</v>
      </c>
      <c r="Z731" s="19"/>
      <c r="AA731" s="19"/>
      <c r="AC731" s="17" t="str">
        <f t="shared" si="26"/>
        <v>Y</v>
      </c>
      <c r="AD731" s="17"/>
      <c r="AF731" s="27"/>
      <c r="AG731" s="27"/>
    </row>
    <row r="732" spans="3:33" ht="34.950000000000003" customHeight="1" x14ac:dyDescent="0.4">
      <c r="C732" s="17"/>
      <c r="I732" s="19"/>
      <c r="J732" s="16" t="str">
        <f>IFERROR(VLOOKUP(I732,[1]Sheet1!$A$1:$B$200,2,0),"_")</f>
        <v>_</v>
      </c>
      <c r="K732" s="19"/>
      <c r="L732" s="16" t="str">
        <f>IFERROR(VLOOKUP(K732,[1]Sheet1!$A$1:$B$200,2,0),"-")</f>
        <v>-</v>
      </c>
      <c r="M732" s="19"/>
      <c r="N732" s="16" t="str">
        <f>IFERROR(VLOOKUP(M732,[1]Sheet1!$G$2:$H$200,2,0),"-")</f>
        <v>-</v>
      </c>
      <c r="P732" s="17"/>
      <c r="Q732" s="20"/>
      <c r="R732" s="20"/>
      <c r="S732" s="21" t="str" cm="1">
        <f t="array" ref="S732">IF(
OR(AD732="",ISERROR(AD732)),
"-",
_xlfn.UNIQUE(_xlfn._xlws.FILTER([1]Sheet1!$D$2:$D$200,ISNUMBER(SEARCH(AD732,[1]Sheet1!$D$2:$D$200))))
)</f>
        <v>-</v>
      </c>
      <c r="T732" s="22"/>
      <c r="U732" s="16" t="str" cm="1">
        <f t="array" ref="U732">IF(
OR(AD732="",ISERROR(AD732)),
"-",
_xlfn.UNIQUE(_xlfn._xlws.FILTER([1]Sheet1!$D$2:$D$200,ISNUMBER(SEARCH(AD732,[1]Sheet1!$D$2:$D$200))))
)</f>
        <v>-</v>
      </c>
      <c r="X732" s="23">
        <f t="shared" si="25"/>
        <v>0</v>
      </c>
      <c r="Z732" s="19"/>
      <c r="AA732" s="19"/>
      <c r="AC732" s="17" t="str">
        <f t="shared" si="26"/>
        <v>Y</v>
      </c>
      <c r="AD732" s="17"/>
      <c r="AF732" s="27"/>
      <c r="AG732" s="27"/>
    </row>
    <row r="733" spans="3:33" ht="34.950000000000003" customHeight="1" x14ac:dyDescent="0.4">
      <c r="C733" s="17"/>
      <c r="I733" s="19"/>
      <c r="J733" s="16" t="str">
        <f>IFERROR(VLOOKUP(I733,[1]Sheet1!$A$1:$B$200,2,0),"_")</f>
        <v>_</v>
      </c>
      <c r="K733" s="19"/>
      <c r="L733" s="16" t="str">
        <f>IFERROR(VLOOKUP(K733,[1]Sheet1!$A$1:$B$200,2,0),"-")</f>
        <v>-</v>
      </c>
      <c r="M733" s="19"/>
      <c r="N733" s="16" t="str">
        <f>IFERROR(VLOOKUP(M733,[1]Sheet1!$G$2:$H$200,2,0),"-")</f>
        <v>-</v>
      </c>
      <c r="P733" s="17"/>
      <c r="Q733" s="20"/>
      <c r="R733" s="20"/>
      <c r="S733" s="21" t="str" cm="1">
        <f t="array" ref="S733">IF(
OR(AD733="",ISERROR(AD733)),
"-",
_xlfn.UNIQUE(_xlfn._xlws.FILTER([1]Sheet1!$D$2:$D$200,ISNUMBER(SEARCH(AD733,[1]Sheet1!$D$2:$D$200))))
)</f>
        <v>-</v>
      </c>
      <c r="T733" s="22"/>
      <c r="U733" s="16" t="str" cm="1">
        <f t="array" ref="U733">IF(
OR(AD733="",ISERROR(AD733)),
"-",
_xlfn.UNIQUE(_xlfn._xlws.FILTER([1]Sheet1!$D$2:$D$200,ISNUMBER(SEARCH(AD733,[1]Sheet1!$D$2:$D$200))))
)</f>
        <v>-</v>
      </c>
      <c r="X733" s="23">
        <f t="shared" si="25"/>
        <v>0</v>
      </c>
      <c r="Z733" s="19"/>
      <c r="AA733" s="19"/>
      <c r="AC733" s="17" t="str">
        <f t="shared" si="26"/>
        <v>Y</v>
      </c>
      <c r="AD733" s="17"/>
      <c r="AF733" s="27"/>
      <c r="AG733" s="27"/>
    </row>
    <row r="734" spans="3:33" ht="34.950000000000003" customHeight="1" x14ac:dyDescent="0.4">
      <c r="C734" s="17"/>
      <c r="I734" s="19"/>
      <c r="J734" s="16" t="str">
        <f>IFERROR(VLOOKUP(I734,[1]Sheet1!$A$1:$B$200,2,0),"_")</f>
        <v>_</v>
      </c>
      <c r="K734" s="19"/>
      <c r="L734" s="16" t="str">
        <f>IFERROR(VLOOKUP(K734,[1]Sheet1!$A$1:$B$200,2,0),"-")</f>
        <v>-</v>
      </c>
      <c r="M734" s="19"/>
      <c r="N734" s="16" t="str">
        <f>IFERROR(VLOOKUP(M734,[1]Sheet1!$G$2:$H$200,2,0),"-")</f>
        <v>-</v>
      </c>
      <c r="P734" s="17"/>
      <c r="Q734" s="20"/>
      <c r="R734" s="20"/>
      <c r="S734" s="21" t="str" cm="1">
        <f t="array" ref="S734">IF(
OR(AD734="",ISERROR(AD734)),
"-",
_xlfn.UNIQUE(_xlfn._xlws.FILTER([1]Sheet1!$D$2:$D$200,ISNUMBER(SEARCH(AD734,[1]Sheet1!$D$2:$D$200))))
)</f>
        <v>-</v>
      </c>
      <c r="T734" s="22"/>
      <c r="U734" s="16" t="str" cm="1">
        <f t="array" ref="U734">IF(
OR(AD734="",ISERROR(AD734)),
"-",
_xlfn.UNIQUE(_xlfn._xlws.FILTER([1]Sheet1!$D$2:$D$200,ISNUMBER(SEARCH(AD734,[1]Sheet1!$D$2:$D$200))))
)</f>
        <v>-</v>
      </c>
      <c r="X734" s="23">
        <f t="shared" si="25"/>
        <v>0</v>
      </c>
      <c r="Z734" s="19"/>
      <c r="AA734" s="19"/>
      <c r="AC734" s="17" t="str">
        <f t="shared" si="26"/>
        <v>Y</v>
      </c>
      <c r="AD734" s="17"/>
      <c r="AF734" s="27"/>
      <c r="AG734" s="27"/>
    </row>
    <row r="735" spans="3:33" ht="34.950000000000003" customHeight="1" x14ac:dyDescent="0.4">
      <c r="C735" s="17"/>
      <c r="I735" s="19"/>
      <c r="J735" s="16" t="str">
        <f>IFERROR(VLOOKUP(I735,[1]Sheet1!$A$1:$B$200,2,0),"_")</f>
        <v>_</v>
      </c>
      <c r="K735" s="19"/>
      <c r="L735" s="16" t="str">
        <f>IFERROR(VLOOKUP(K735,[1]Sheet1!$A$1:$B$200,2,0),"-")</f>
        <v>-</v>
      </c>
      <c r="M735" s="19"/>
      <c r="N735" s="16" t="str">
        <f>IFERROR(VLOOKUP(M735,[1]Sheet1!$G$2:$H$200,2,0),"-")</f>
        <v>-</v>
      </c>
      <c r="P735" s="17"/>
      <c r="Q735" s="20"/>
      <c r="R735" s="20"/>
      <c r="S735" s="21" t="str" cm="1">
        <f t="array" ref="S735">IF(
OR(AD735="",ISERROR(AD735)),
"-",
_xlfn.UNIQUE(_xlfn._xlws.FILTER([1]Sheet1!$D$2:$D$200,ISNUMBER(SEARCH(AD735,[1]Sheet1!$D$2:$D$200))))
)</f>
        <v>-</v>
      </c>
      <c r="T735" s="22"/>
      <c r="U735" s="16" t="str" cm="1">
        <f t="array" ref="U735">IF(
OR(AD735="",ISERROR(AD735)),
"-",
_xlfn.UNIQUE(_xlfn._xlws.FILTER([1]Sheet1!$D$2:$D$200,ISNUMBER(SEARCH(AD735,[1]Sheet1!$D$2:$D$200))))
)</f>
        <v>-</v>
      </c>
      <c r="X735" s="23">
        <f t="shared" si="25"/>
        <v>0</v>
      </c>
      <c r="Z735" s="19"/>
      <c r="AA735" s="19"/>
      <c r="AC735" s="17" t="str">
        <f t="shared" si="26"/>
        <v>Y</v>
      </c>
      <c r="AD735" s="17"/>
      <c r="AF735" s="27"/>
      <c r="AG735" s="27"/>
    </row>
    <row r="736" spans="3:33" ht="34.950000000000003" customHeight="1" x14ac:dyDescent="0.4">
      <c r="C736" s="17"/>
      <c r="I736" s="19"/>
      <c r="J736" s="16" t="str">
        <f>IFERROR(VLOOKUP(I736,[1]Sheet1!$A$1:$B$200,2,0),"_")</f>
        <v>_</v>
      </c>
      <c r="K736" s="19"/>
      <c r="L736" s="16" t="str">
        <f>IFERROR(VLOOKUP(K736,[1]Sheet1!$A$1:$B$200,2,0),"-")</f>
        <v>-</v>
      </c>
      <c r="M736" s="19"/>
      <c r="N736" s="16" t="str">
        <f>IFERROR(VLOOKUP(M736,[1]Sheet1!$G$2:$H$200,2,0),"-")</f>
        <v>-</v>
      </c>
      <c r="P736" s="17"/>
      <c r="Q736" s="20"/>
      <c r="R736" s="20"/>
      <c r="S736" s="21" t="str" cm="1">
        <f t="array" ref="S736">IF(
OR(AD736="",ISERROR(AD736)),
"-",
_xlfn.UNIQUE(_xlfn._xlws.FILTER([1]Sheet1!$D$2:$D$200,ISNUMBER(SEARCH(AD736,[1]Sheet1!$D$2:$D$200))))
)</f>
        <v>-</v>
      </c>
      <c r="T736" s="22"/>
      <c r="U736" s="16" t="str" cm="1">
        <f t="array" ref="U736">IF(
OR(AD736="",ISERROR(AD736)),
"-",
_xlfn.UNIQUE(_xlfn._xlws.FILTER([1]Sheet1!$D$2:$D$200,ISNUMBER(SEARCH(AD736,[1]Sheet1!$D$2:$D$200))))
)</f>
        <v>-</v>
      </c>
      <c r="X736" s="23">
        <f t="shared" si="25"/>
        <v>0</v>
      </c>
      <c r="Z736" s="19"/>
      <c r="AA736" s="19"/>
      <c r="AC736" s="17" t="str">
        <f t="shared" si="26"/>
        <v>Y</v>
      </c>
      <c r="AD736" s="17"/>
      <c r="AF736" s="27"/>
      <c r="AG736" s="27"/>
    </row>
    <row r="737" spans="3:33" ht="34.950000000000003" customHeight="1" x14ac:dyDescent="0.4">
      <c r="C737" s="17"/>
      <c r="I737" s="19"/>
      <c r="J737" s="16" t="str">
        <f>IFERROR(VLOOKUP(I737,[1]Sheet1!$A$1:$B$200,2,0),"_")</f>
        <v>_</v>
      </c>
      <c r="K737" s="19"/>
      <c r="L737" s="16" t="str">
        <f>IFERROR(VLOOKUP(K737,[1]Sheet1!$A$1:$B$200,2,0),"-")</f>
        <v>-</v>
      </c>
      <c r="M737" s="19"/>
      <c r="N737" s="16" t="str">
        <f>IFERROR(VLOOKUP(M737,[1]Sheet1!$G$2:$H$200,2,0),"-")</f>
        <v>-</v>
      </c>
      <c r="P737" s="17"/>
      <c r="Q737" s="20"/>
      <c r="R737" s="20"/>
      <c r="S737" s="21" t="str" cm="1">
        <f t="array" ref="S737">IF(
OR(AD737="",ISERROR(AD737)),
"-",
_xlfn.UNIQUE(_xlfn._xlws.FILTER([1]Sheet1!$D$2:$D$200,ISNUMBER(SEARCH(AD737,[1]Sheet1!$D$2:$D$200))))
)</f>
        <v>-</v>
      </c>
      <c r="T737" s="22"/>
      <c r="U737" s="16" t="str" cm="1">
        <f t="array" ref="U737">IF(
OR(AD737="",ISERROR(AD737)),
"-",
_xlfn.UNIQUE(_xlfn._xlws.FILTER([1]Sheet1!$D$2:$D$200,ISNUMBER(SEARCH(AD737,[1]Sheet1!$D$2:$D$200))))
)</f>
        <v>-</v>
      </c>
      <c r="X737" s="23">
        <f t="shared" si="25"/>
        <v>0</v>
      </c>
      <c r="Z737" s="19"/>
      <c r="AA737" s="19"/>
      <c r="AC737" s="17" t="str">
        <f t="shared" si="26"/>
        <v>Y</v>
      </c>
      <c r="AD737" s="17"/>
      <c r="AF737" s="27"/>
      <c r="AG737" s="27"/>
    </row>
    <row r="738" spans="3:33" ht="34.950000000000003" customHeight="1" x14ac:dyDescent="0.4">
      <c r="C738" s="17"/>
      <c r="I738" s="19"/>
      <c r="J738" s="16" t="str">
        <f>IFERROR(VLOOKUP(I738,[1]Sheet1!$A$1:$B$200,2,0),"_")</f>
        <v>_</v>
      </c>
      <c r="K738" s="19"/>
      <c r="L738" s="16" t="str">
        <f>IFERROR(VLOOKUP(K738,[1]Sheet1!$A$1:$B$200,2,0),"-")</f>
        <v>-</v>
      </c>
      <c r="M738" s="19"/>
      <c r="N738" s="16" t="str">
        <f>IFERROR(VLOOKUP(M738,[1]Sheet1!$G$2:$H$200,2,0),"-")</f>
        <v>-</v>
      </c>
      <c r="P738" s="17"/>
      <c r="Q738" s="20"/>
      <c r="R738" s="20"/>
      <c r="S738" s="21" t="str" cm="1">
        <f t="array" ref="S738">IF(
OR(AD738="",ISERROR(AD738)),
"-",
_xlfn.UNIQUE(_xlfn._xlws.FILTER([1]Sheet1!$D$2:$D$200,ISNUMBER(SEARCH(AD738,[1]Sheet1!$D$2:$D$200))))
)</f>
        <v>-</v>
      </c>
      <c r="T738" s="22"/>
      <c r="U738" s="16" t="str" cm="1">
        <f t="array" ref="U738">IF(
OR(AD738="",ISERROR(AD738)),
"-",
_xlfn.UNIQUE(_xlfn._xlws.FILTER([1]Sheet1!$D$2:$D$200,ISNUMBER(SEARCH(AD738,[1]Sheet1!$D$2:$D$200))))
)</f>
        <v>-</v>
      </c>
      <c r="X738" s="23">
        <f t="shared" si="25"/>
        <v>0</v>
      </c>
      <c r="Z738" s="19"/>
      <c r="AA738" s="19"/>
      <c r="AC738" s="17" t="str">
        <f t="shared" si="26"/>
        <v>Y</v>
      </c>
      <c r="AD738" s="17"/>
      <c r="AF738" s="27"/>
      <c r="AG738" s="27"/>
    </row>
    <row r="739" spans="3:33" ht="34.950000000000003" customHeight="1" x14ac:dyDescent="0.4">
      <c r="C739" s="17"/>
      <c r="I739" s="19"/>
      <c r="J739" s="16" t="str">
        <f>IFERROR(VLOOKUP(I739,[1]Sheet1!$A$1:$B$200,2,0),"_")</f>
        <v>_</v>
      </c>
      <c r="K739" s="19"/>
      <c r="L739" s="16" t="str">
        <f>IFERROR(VLOOKUP(K739,[1]Sheet1!$A$1:$B$200,2,0),"-")</f>
        <v>-</v>
      </c>
      <c r="M739" s="19"/>
      <c r="N739" s="16" t="str">
        <f>IFERROR(VLOOKUP(M739,[1]Sheet1!$G$2:$H$200,2,0),"-")</f>
        <v>-</v>
      </c>
      <c r="P739" s="17"/>
      <c r="Q739" s="20"/>
      <c r="R739" s="20"/>
      <c r="S739" s="21" t="str" cm="1">
        <f t="array" ref="S739">IF(
OR(AD739="",ISERROR(AD739)),
"-",
_xlfn.UNIQUE(_xlfn._xlws.FILTER([1]Sheet1!$D$2:$D$200,ISNUMBER(SEARCH(AD739,[1]Sheet1!$D$2:$D$200))))
)</f>
        <v>-</v>
      </c>
      <c r="T739" s="22"/>
      <c r="U739" s="16" t="str" cm="1">
        <f t="array" ref="U739">IF(
OR(AD739="",ISERROR(AD739)),
"-",
_xlfn.UNIQUE(_xlfn._xlws.FILTER([1]Sheet1!$D$2:$D$200,ISNUMBER(SEARCH(AD739,[1]Sheet1!$D$2:$D$200))))
)</f>
        <v>-</v>
      </c>
      <c r="X739" s="23">
        <f t="shared" si="25"/>
        <v>0</v>
      </c>
      <c r="Z739" s="19"/>
      <c r="AA739" s="19"/>
      <c r="AC739" s="17" t="str">
        <f t="shared" si="26"/>
        <v>Y</v>
      </c>
      <c r="AD739" s="17"/>
      <c r="AF739" s="27"/>
      <c r="AG739" s="27"/>
    </row>
    <row r="740" spans="3:33" ht="34.950000000000003" customHeight="1" x14ac:dyDescent="0.4">
      <c r="C740" s="17"/>
      <c r="I740" s="19"/>
      <c r="J740" s="16" t="str">
        <f>IFERROR(VLOOKUP(I740,[1]Sheet1!$A$1:$B$200,2,0),"_")</f>
        <v>_</v>
      </c>
      <c r="K740" s="19"/>
      <c r="L740" s="16" t="str">
        <f>IFERROR(VLOOKUP(K740,[1]Sheet1!$A$1:$B$200,2,0),"-")</f>
        <v>-</v>
      </c>
      <c r="M740" s="19"/>
      <c r="N740" s="16" t="str">
        <f>IFERROR(VLOOKUP(M740,[1]Sheet1!$G$2:$H$200,2,0),"-")</f>
        <v>-</v>
      </c>
      <c r="P740" s="17"/>
      <c r="Q740" s="20"/>
      <c r="R740" s="20"/>
      <c r="S740" s="21" t="str" cm="1">
        <f t="array" ref="S740">IF(
OR(AD740="",ISERROR(AD740)),
"-",
_xlfn.UNIQUE(_xlfn._xlws.FILTER([1]Sheet1!$D$2:$D$200,ISNUMBER(SEARCH(AD740,[1]Sheet1!$D$2:$D$200))))
)</f>
        <v>-</v>
      </c>
      <c r="T740" s="22"/>
      <c r="U740" s="16" t="str" cm="1">
        <f t="array" ref="U740">IF(
OR(AD740="",ISERROR(AD740)),
"-",
_xlfn.UNIQUE(_xlfn._xlws.FILTER([1]Sheet1!$D$2:$D$200,ISNUMBER(SEARCH(AD740,[1]Sheet1!$D$2:$D$200))))
)</f>
        <v>-</v>
      </c>
      <c r="X740" s="23">
        <f t="shared" si="25"/>
        <v>0</v>
      </c>
      <c r="Z740" s="19"/>
      <c r="AA740" s="19"/>
      <c r="AC740" s="17" t="str">
        <f t="shared" si="26"/>
        <v>Y</v>
      </c>
      <c r="AD740" s="17"/>
      <c r="AF740" s="27"/>
      <c r="AG740" s="27"/>
    </row>
    <row r="741" spans="3:33" ht="34.950000000000003" customHeight="1" x14ac:dyDescent="0.4">
      <c r="C741" s="17"/>
      <c r="I741" s="19"/>
      <c r="J741" s="16" t="str">
        <f>IFERROR(VLOOKUP(I741,[1]Sheet1!$A$1:$B$200,2,0),"_")</f>
        <v>_</v>
      </c>
      <c r="K741" s="19"/>
      <c r="L741" s="16" t="str">
        <f>IFERROR(VLOOKUP(K741,[1]Sheet1!$A$1:$B$200,2,0),"-")</f>
        <v>-</v>
      </c>
      <c r="M741" s="19"/>
      <c r="N741" s="16" t="str">
        <f>IFERROR(VLOOKUP(M741,[1]Sheet1!$G$2:$H$200,2,0),"-")</f>
        <v>-</v>
      </c>
      <c r="P741" s="17"/>
      <c r="Q741" s="20"/>
      <c r="R741" s="20"/>
      <c r="S741" s="21" t="str" cm="1">
        <f t="array" ref="S741">IF(
OR(AD741="",ISERROR(AD741)),
"-",
_xlfn.UNIQUE(_xlfn._xlws.FILTER([1]Sheet1!$D$2:$D$200,ISNUMBER(SEARCH(AD741,[1]Sheet1!$D$2:$D$200))))
)</f>
        <v>-</v>
      </c>
      <c r="T741" s="22"/>
      <c r="U741" s="16" t="str" cm="1">
        <f t="array" ref="U741">IF(
OR(AD741="",ISERROR(AD741)),
"-",
_xlfn.UNIQUE(_xlfn._xlws.FILTER([1]Sheet1!$D$2:$D$200,ISNUMBER(SEARCH(AD741,[1]Sheet1!$D$2:$D$200))))
)</f>
        <v>-</v>
      </c>
      <c r="X741" s="23">
        <f t="shared" si="25"/>
        <v>0</v>
      </c>
      <c r="Z741" s="19"/>
      <c r="AA741" s="19"/>
      <c r="AC741" s="17" t="str">
        <f t="shared" si="26"/>
        <v>Y</v>
      </c>
      <c r="AD741" s="17"/>
      <c r="AF741" s="27"/>
      <c r="AG741" s="27"/>
    </row>
    <row r="742" spans="3:33" ht="34.950000000000003" customHeight="1" x14ac:dyDescent="0.4">
      <c r="C742" s="17"/>
      <c r="I742" s="19"/>
      <c r="J742" s="16" t="str">
        <f>IFERROR(VLOOKUP(I742,[1]Sheet1!$A$1:$B$200,2,0),"_")</f>
        <v>_</v>
      </c>
      <c r="K742" s="19"/>
      <c r="L742" s="16" t="str">
        <f>IFERROR(VLOOKUP(K742,[1]Sheet1!$A$1:$B$200,2,0),"-")</f>
        <v>-</v>
      </c>
      <c r="M742" s="19"/>
      <c r="N742" s="16" t="str">
        <f>IFERROR(VLOOKUP(M742,[1]Sheet1!$G$2:$H$200,2,0),"-")</f>
        <v>-</v>
      </c>
      <c r="P742" s="17"/>
      <c r="Q742" s="20"/>
      <c r="R742" s="20"/>
      <c r="S742" s="21" t="str" cm="1">
        <f t="array" ref="S742">IF(
OR(AD742="",ISERROR(AD742)),
"-",
_xlfn.UNIQUE(_xlfn._xlws.FILTER([1]Sheet1!$D$2:$D$200,ISNUMBER(SEARCH(AD742,[1]Sheet1!$D$2:$D$200))))
)</f>
        <v>-</v>
      </c>
      <c r="T742" s="22"/>
      <c r="U742" s="16" t="str" cm="1">
        <f t="array" ref="U742">IF(
OR(AD742="",ISERROR(AD742)),
"-",
_xlfn.UNIQUE(_xlfn._xlws.FILTER([1]Sheet1!$D$2:$D$200,ISNUMBER(SEARCH(AD742,[1]Sheet1!$D$2:$D$200))))
)</f>
        <v>-</v>
      </c>
      <c r="X742" s="23">
        <f t="shared" si="25"/>
        <v>0</v>
      </c>
      <c r="Z742" s="19"/>
      <c r="AA742" s="19"/>
      <c r="AC742" s="17" t="str">
        <f t="shared" si="26"/>
        <v>Y</v>
      </c>
      <c r="AD742" s="17"/>
      <c r="AF742" s="27"/>
      <c r="AG742" s="27"/>
    </row>
    <row r="743" spans="3:33" ht="34.950000000000003" customHeight="1" x14ac:dyDescent="0.4">
      <c r="C743" s="17"/>
      <c r="I743" s="19"/>
      <c r="J743" s="16" t="str">
        <f>IFERROR(VLOOKUP(I743,[1]Sheet1!$A$1:$B$200,2,0),"_")</f>
        <v>_</v>
      </c>
      <c r="K743" s="19"/>
      <c r="L743" s="16" t="str">
        <f>IFERROR(VLOOKUP(K743,[1]Sheet1!$A$1:$B$200,2,0),"-")</f>
        <v>-</v>
      </c>
      <c r="M743" s="19"/>
      <c r="N743" s="16" t="str">
        <f>IFERROR(VLOOKUP(M743,[1]Sheet1!$G$2:$H$200,2,0),"-")</f>
        <v>-</v>
      </c>
      <c r="P743" s="17"/>
      <c r="Q743" s="20"/>
      <c r="R743" s="20"/>
      <c r="S743" s="21" t="str" cm="1">
        <f t="array" ref="S743">IF(
OR(AD743="",ISERROR(AD743)),
"-",
_xlfn.UNIQUE(_xlfn._xlws.FILTER([1]Sheet1!$D$2:$D$200,ISNUMBER(SEARCH(AD743,[1]Sheet1!$D$2:$D$200))))
)</f>
        <v>-</v>
      </c>
      <c r="T743" s="22"/>
      <c r="U743" s="16" t="str" cm="1">
        <f t="array" ref="U743">IF(
OR(AD743="",ISERROR(AD743)),
"-",
_xlfn.UNIQUE(_xlfn._xlws.FILTER([1]Sheet1!$D$2:$D$200,ISNUMBER(SEARCH(AD743,[1]Sheet1!$D$2:$D$200))))
)</f>
        <v>-</v>
      </c>
      <c r="X743" s="23">
        <f t="shared" si="25"/>
        <v>0</v>
      </c>
      <c r="Z743" s="19"/>
      <c r="AA743" s="19"/>
      <c r="AC743" s="17" t="str">
        <f t="shared" si="26"/>
        <v>Y</v>
      </c>
      <c r="AD743" s="17"/>
      <c r="AF743" s="27"/>
      <c r="AG743" s="27"/>
    </row>
    <row r="744" spans="3:33" ht="34.950000000000003" customHeight="1" x14ac:dyDescent="0.4">
      <c r="C744" s="17"/>
      <c r="I744" s="19"/>
      <c r="J744" s="16" t="str">
        <f>IFERROR(VLOOKUP(I744,[1]Sheet1!$A$1:$B$200,2,0),"_")</f>
        <v>_</v>
      </c>
      <c r="K744" s="19"/>
      <c r="L744" s="16" t="str">
        <f>IFERROR(VLOOKUP(K744,[1]Sheet1!$A$1:$B$200,2,0),"-")</f>
        <v>-</v>
      </c>
      <c r="M744" s="19"/>
      <c r="N744" s="16" t="str">
        <f>IFERROR(VLOOKUP(M744,[1]Sheet1!$G$2:$H$200,2,0),"-")</f>
        <v>-</v>
      </c>
      <c r="P744" s="17"/>
      <c r="Q744" s="20"/>
      <c r="R744" s="20"/>
      <c r="S744" s="21" t="str" cm="1">
        <f t="array" ref="S744">IF(
OR(AD744="",ISERROR(AD744)),
"-",
_xlfn.UNIQUE(_xlfn._xlws.FILTER([1]Sheet1!$D$2:$D$200,ISNUMBER(SEARCH(AD744,[1]Sheet1!$D$2:$D$200))))
)</f>
        <v>-</v>
      </c>
      <c r="T744" s="22"/>
      <c r="U744" s="16" t="str" cm="1">
        <f t="array" ref="U744">IF(
OR(AD744="",ISERROR(AD744)),
"-",
_xlfn.UNIQUE(_xlfn._xlws.FILTER([1]Sheet1!$D$2:$D$200,ISNUMBER(SEARCH(AD744,[1]Sheet1!$D$2:$D$200))))
)</f>
        <v>-</v>
      </c>
      <c r="X744" s="23">
        <f t="shared" si="25"/>
        <v>0</v>
      </c>
      <c r="Z744" s="19"/>
      <c r="AA744" s="19"/>
      <c r="AC744" s="17" t="str">
        <f t="shared" si="26"/>
        <v>Y</v>
      </c>
      <c r="AD744" s="17"/>
      <c r="AF744" s="27"/>
      <c r="AG744" s="27"/>
    </row>
    <row r="745" spans="3:33" ht="34.950000000000003" customHeight="1" x14ac:dyDescent="0.4">
      <c r="C745" s="17"/>
      <c r="I745" s="19"/>
      <c r="J745" s="16" t="str">
        <f>IFERROR(VLOOKUP(I745,[1]Sheet1!$A$1:$B$200,2,0),"_")</f>
        <v>_</v>
      </c>
      <c r="K745" s="19"/>
      <c r="L745" s="16" t="str">
        <f>IFERROR(VLOOKUP(K745,[1]Sheet1!$A$1:$B$200,2,0),"-")</f>
        <v>-</v>
      </c>
      <c r="M745" s="19"/>
      <c r="N745" s="16" t="str">
        <f>IFERROR(VLOOKUP(M745,[1]Sheet1!$G$2:$H$200,2,0),"-")</f>
        <v>-</v>
      </c>
      <c r="P745" s="17"/>
      <c r="Q745" s="20"/>
      <c r="R745" s="20"/>
      <c r="S745" s="21" t="str" cm="1">
        <f t="array" ref="S745">IF(
OR(AD745="",ISERROR(AD745)),
"-",
_xlfn.UNIQUE(_xlfn._xlws.FILTER([1]Sheet1!$D$2:$D$200,ISNUMBER(SEARCH(AD745,[1]Sheet1!$D$2:$D$200))))
)</f>
        <v>-</v>
      </c>
      <c r="T745" s="22"/>
      <c r="U745" s="16" t="str" cm="1">
        <f t="array" ref="U745">IF(
OR(AD745="",ISERROR(AD745)),
"-",
_xlfn.UNIQUE(_xlfn._xlws.FILTER([1]Sheet1!$D$2:$D$200,ISNUMBER(SEARCH(AD745,[1]Sheet1!$D$2:$D$200))))
)</f>
        <v>-</v>
      </c>
      <c r="X745" s="23">
        <f t="shared" si="25"/>
        <v>0</v>
      </c>
      <c r="Z745" s="19"/>
      <c r="AA745" s="19"/>
      <c r="AC745" s="17" t="str">
        <f t="shared" si="26"/>
        <v>Y</v>
      </c>
      <c r="AD745" s="17"/>
      <c r="AF745" s="27"/>
      <c r="AG745" s="27"/>
    </row>
    <row r="746" spans="3:33" ht="34.950000000000003" customHeight="1" x14ac:dyDescent="0.4">
      <c r="C746" s="17"/>
      <c r="I746" s="19"/>
      <c r="J746" s="16" t="str">
        <f>IFERROR(VLOOKUP(I746,[1]Sheet1!$A$1:$B$200,2,0),"_")</f>
        <v>_</v>
      </c>
      <c r="K746" s="19"/>
      <c r="L746" s="16" t="str">
        <f>IFERROR(VLOOKUP(K746,[1]Sheet1!$A$1:$B$200,2,0),"-")</f>
        <v>-</v>
      </c>
      <c r="M746" s="19"/>
      <c r="N746" s="16" t="str">
        <f>IFERROR(VLOOKUP(M746,[1]Sheet1!$G$2:$H$200,2,0),"-")</f>
        <v>-</v>
      </c>
      <c r="P746" s="17"/>
      <c r="Q746" s="20"/>
      <c r="R746" s="20"/>
      <c r="S746" s="21" t="str" cm="1">
        <f t="array" ref="S746">IF(
OR(AD746="",ISERROR(AD746)),
"-",
_xlfn.UNIQUE(_xlfn._xlws.FILTER([1]Sheet1!$D$2:$D$200,ISNUMBER(SEARCH(AD746,[1]Sheet1!$D$2:$D$200))))
)</f>
        <v>-</v>
      </c>
      <c r="T746" s="22"/>
      <c r="U746" s="16" t="str" cm="1">
        <f t="array" ref="U746">IF(
OR(AD746="",ISERROR(AD746)),
"-",
_xlfn.UNIQUE(_xlfn._xlws.FILTER([1]Sheet1!$D$2:$D$200,ISNUMBER(SEARCH(AD746,[1]Sheet1!$D$2:$D$200))))
)</f>
        <v>-</v>
      </c>
      <c r="X746" s="23">
        <f t="shared" si="25"/>
        <v>0</v>
      </c>
      <c r="Z746" s="19"/>
      <c r="AA746" s="19"/>
      <c r="AC746" s="17" t="str">
        <f t="shared" si="26"/>
        <v>Y</v>
      </c>
      <c r="AD746" s="17"/>
      <c r="AF746" s="27"/>
      <c r="AG746" s="27"/>
    </row>
    <row r="747" spans="3:33" ht="34.950000000000003" customHeight="1" x14ac:dyDescent="0.4">
      <c r="C747" s="17"/>
      <c r="I747" s="19"/>
      <c r="J747" s="16" t="str">
        <f>IFERROR(VLOOKUP(I747,[1]Sheet1!$A$1:$B$200,2,0),"_")</f>
        <v>_</v>
      </c>
      <c r="K747" s="19"/>
      <c r="L747" s="16" t="str">
        <f>IFERROR(VLOOKUP(K747,[1]Sheet1!$A$1:$B$200,2,0),"-")</f>
        <v>-</v>
      </c>
      <c r="M747" s="19"/>
      <c r="N747" s="16" t="str">
        <f>IFERROR(VLOOKUP(M747,[1]Sheet1!$G$2:$H$200,2,0),"-")</f>
        <v>-</v>
      </c>
      <c r="P747" s="17"/>
      <c r="Q747" s="20"/>
      <c r="R747" s="20"/>
      <c r="S747" s="21" t="str" cm="1">
        <f t="array" ref="S747">IF(
OR(AD747="",ISERROR(AD747)),
"-",
_xlfn.UNIQUE(_xlfn._xlws.FILTER([1]Sheet1!$D$2:$D$200,ISNUMBER(SEARCH(AD747,[1]Sheet1!$D$2:$D$200))))
)</f>
        <v>-</v>
      </c>
      <c r="T747" s="22"/>
      <c r="U747" s="16" t="str" cm="1">
        <f t="array" ref="U747">IF(
OR(AD747="",ISERROR(AD747)),
"-",
_xlfn.UNIQUE(_xlfn._xlws.FILTER([1]Sheet1!$D$2:$D$200,ISNUMBER(SEARCH(AD747,[1]Sheet1!$D$2:$D$200))))
)</f>
        <v>-</v>
      </c>
      <c r="X747" s="23">
        <f t="shared" si="25"/>
        <v>0</v>
      </c>
      <c r="Z747" s="19"/>
      <c r="AA747" s="19"/>
      <c r="AC747" s="17" t="str">
        <f t="shared" si="26"/>
        <v>Y</v>
      </c>
      <c r="AD747" s="17"/>
      <c r="AF747" s="27"/>
      <c r="AG747" s="27"/>
    </row>
    <row r="748" spans="3:33" ht="34.950000000000003" customHeight="1" x14ac:dyDescent="0.4">
      <c r="C748" s="17"/>
      <c r="I748" s="19"/>
      <c r="J748" s="16" t="str">
        <f>IFERROR(VLOOKUP(I748,[1]Sheet1!$A$1:$B$200,2,0),"_")</f>
        <v>_</v>
      </c>
      <c r="K748" s="19"/>
      <c r="L748" s="16" t="str">
        <f>IFERROR(VLOOKUP(K748,[1]Sheet1!$A$1:$B$200,2,0),"-")</f>
        <v>-</v>
      </c>
      <c r="M748" s="19"/>
      <c r="N748" s="16" t="str">
        <f>IFERROR(VLOOKUP(M748,[1]Sheet1!$G$2:$H$200,2,0),"-")</f>
        <v>-</v>
      </c>
      <c r="P748" s="17"/>
      <c r="Q748" s="20"/>
      <c r="R748" s="20"/>
      <c r="S748" s="21" t="str" cm="1">
        <f t="array" ref="S748">IF(
OR(AD748="",ISERROR(AD748)),
"-",
_xlfn.UNIQUE(_xlfn._xlws.FILTER([1]Sheet1!$D$2:$D$200,ISNUMBER(SEARCH(AD748,[1]Sheet1!$D$2:$D$200))))
)</f>
        <v>-</v>
      </c>
      <c r="T748" s="22"/>
      <c r="U748" s="16" t="str" cm="1">
        <f t="array" ref="U748">IF(
OR(AD748="",ISERROR(AD748)),
"-",
_xlfn.UNIQUE(_xlfn._xlws.FILTER([1]Sheet1!$D$2:$D$200,ISNUMBER(SEARCH(AD748,[1]Sheet1!$D$2:$D$200))))
)</f>
        <v>-</v>
      </c>
      <c r="X748" s="23">
        <f t="shared" si="25"/>
        <v>0</v>
      </c>
      <c r="Z748" s="19"/>
      <c r="AA748" s="19"/>
      <c r="AC748" s="17" t="str">
        <f t="shared" si="26"/>
        <v>Y</v>
      </c>
      <c r="AD748" s="17"/>
      <c r="AF748" s="27"/>
      <c r="AG748" s="27"/>
    </row>
    <row r="749" spans="3:33" ht="34.950000000000003" customHeight="1" x14ac:dyDescent="0.4">
      <c r="C749" s="17"/>
      <c r="I749" s="19"/>
      <c r="J749" s="16" t="str">
        <f>IFERROR(VLOOKUP(I749,[1]Sheet1!$A$1:$B$200,2,0),"_")</f>
        <v>_</v>
      </c>
      <c r="K749" s="19"/>
      <c r="L749" s="16" t="str">
        <f>IFERROR(VLOOKUP(K749,[1]Sheet1!$A$1:$B$200,2,0),"-")</f>
        <v>-</v>
      </c>
      <c r="M749" s="19"/>
      <c r="N749" s="16" t="str">
        <f>IFERROR(VLOOKUP(M749,[1]Sheet1!$G$2:$H$200,2,0),"-")</f>
        <v>-</v>
      </c>
      <c r="P749" s="17"/>
      <c r="Q749" s="20"/>
      <c r="R749" s="20"/>
      <c r="S749" s="21" t="str" cm="1">
        <f t="array" ref="S749">IF(
OR(AD749="",ISERROR(AD749)),
"-",
_xlfn.UNIQUE(_xlfn._xlws.FILTER([1]Sheet1!$D$2:$D$200,ISNUMBER(SEARCH(AD749,[1]Sheet1!$D$2:$D$200))))
)</f>
        <v>-</v>
      </c>
      <c r="T749" s="22"/>
      <c r="U749" s="16" t="str" cm="1">
        <f t="array" ref="U749">IF(
OR(AD749="",ISERROR(AD749)),
"-",
_xlfn.UNIQUE(_xlfn._xlws.FILTER([1]Sheet1!$D$2:$D$200,ISNUMBER(SEARCH(AD749,[1]Sheet1!$D$2:$D$200))))
)</f>
        <v>-</v>
      </c>
      <c r="X749" s="23">
        <f t="shared" si="25"/>
        <v>0</v>
      </c>
      <c r="Z749" s="19"/>
      <c r="AA749" s="19"/>
      <c r="AC749" s="17" t="str">
        <f t="shared" si="26"/>
        <v>Y</v>
      </c>
      <c r="AD749" s="17"/>
      <c r="AF749" s="27"/>
      <c r="AG749" s="27"/>
    </row>
    <row r="750" spans="3:33" ht="34.950000000000003" customHeight="1" x14ac:dyDescent="0.4">
      <c r="C750" s="17"/>
      <c r="I750" s="19"/>
      <c r="J750" s="16" t="str">
        <f>IFERROR(VLOOKUP(I750,[1]Sheet1!$A$1:$B$200,2,0),"_")</f>
        <v>_</v>
      </c>
      <c r="K750" s="19"/>
      <c r="L750" s="16" t="str">
        <f>IFERROR(VLOOKUP(K750,[1]Sheet1!$A$1:$B$200,2,0),"-")</f>
        <v>-</v>
      </c>
      <c r="M750" s="19"/>
      <c r="N750" s="16" t="str">
        <f>IFERROR(VLOOKUP(M750,[1]Sheet1!$G$2:$H$200,2,0),"-")</f>
        <v>-</v>
      </c>
      <c r="P750" s="17"/>
      <c r="Q750" s="20"/>
      <c r="R750" s="20"/>
      <c r="S750" s="21" t="str" cm="1">
        <f t="array" ref="S750">IF(
OR(AD750="",ISERROR(AD750)),
"-",
_xlfn.UNIQUE(_xlfn._xlws.FILTER([1]Sheet1!$D$2:$D$200,ISNUMBER(SEARCH(AD750,[1]Sheet1!$D$2:$D$200))))
)</f>
        <v>-</v>
      </c>
      <c r="T750" s="22"/>
      <c r="U750" s="16" t="str" cm="1">
        <f t="array" ref="U750">IF(
OR(AD750="",ISERROR(AD750)),
"-",
_xlfn.UNIQUE(_xlfn._xlws.FILTER([1]Sheet1!$D$2:$D$200,ISNUMBER(SEARCH(AD750,[1]Sheet1!$D$2:$D$200))))
)</f>
        <v>-</v>
      </c>
      <c r="X750" s="23">
        <f t="shared" si="25"/>
        <v>0</v>
      </c>
      <c r="Z750" s="19"/>
      <c r="AA750" s="19"/>
      <c r="AC750" s="17" t="str">
        <f t="shared" si="26"/>
        <v>Y</v>
      </c>
      <c r="AD750" s="17"/>
      <c r="AF750" s="27"/>
      <c r="AG750" s="27"/>
    </row>
    <row r="751" spans="3:33" ht="34.950000000000003" customHeight="1" x14ac:dyDescent="0.4">
      <c r="C751" s="17"/>
      <c r="I751" s="19"/>
      <c r="J751" s="16" t="str">
        <f>IFERROR(VLOOKUP(I751,[1]Sheet1!$A$1:$B$200,2,0),"_")</f>
        <v>_</v>
      </c>
      <c r="K751" s="19"/>
      <c r="L751" s="16" t="str">
        <f>IFERROR(VLOOKUP(K751,[1]Sheet1!$A$1:$B$200,2,0),"-")</f>
        <v>-</v>
      </c>
      <c r="M751" s="19"/>
      <c r="N751" s="16" t="str">
        <f>IFERROR(VLOOKUP(M751,[1]Sheet1!$G$2:$H$200,2,0),"-")</f>
        <v>-</v>
      </c>
      <c r="P751" s="17"/>
      <c r="Q751" s="20"/>
      <c r="R751" s="20"/>
      <c r="S751" s="21" t="str" cm="1">
        <f t="array" ref="S751">IF(
OR(AD751="",ISERROR(AD751)),
"-",
_xlfn.UNIQUE(_xlfn._xlws.FILTER([1]Sheet1!$D$2:$D$200,ISNUMBER(SEARCH(AD751,[1]Sheet1!$D$2:$D$200))))
)</f>
        <v>-</v>
      </c>
      <c r="T751" s="22"/>
      <c r="U751" s="16" t="str" cm="1">
        <f t="array" ref="U751">IF(
OR(AD751="",ISERROR(AD751)),
"-",
_xlfn.UNIQUE(_xlfn._xlws.FILTER([1]Sheet1!$D$2:$D$200,ISNUMBER(SEARCH(AD751,[1]Sheet1!$D$2:$D$200))))
)</f>
        <v>-</v>
      </c>
      <c r="X751" s="23">
        <f t="shared" si="25"/>
        <v>0</v>
      </c>
      <c r="Z751" s="19"/>
      <c r="AA751" s="19"/>
      <c r="AC751" s="17" t="str">
        <f t="shared" si="26"/>
        <v>Y</v>
      </c>
      <c r="AD751" s="17"/>
      <c r="AF751" s="27"/>
      <c r="AG751" s="27"/>
    </row>
    <row r="752" spans="3:33" ht="34.950000000000003" customHeight="1" x14ac:dyDescent="0.4">
      <c r="C752" s="17"/>
      <c r="I752" s="19"/>
      <c r="J752" s="16" t="str">
        <f>IFERROR(VLOOKUP(I752,[1]Sheet1!$A$1:$B$200,2,0),"_")</f>
        <v>_</v>
      </c>
      <c r="K752" s="19"/>
      <c r="L752" s="16" t="str">
        <f>IFERROR(VLOOKUP(K752,[1]Sheet1!$A$1:$B$200,2,0),"-")</f>
        <v>-</v>
      </c>
      <c r="M752" s="19"/>
      <c r="N752" s="16" t="str">
        <f>IFERROR(VLOOKUP(M752,[1]Sheet1!$G$2:$H$200,2,0),"-")</f>
        <v>-</v>
      </c>
      <c r="P752" s="17"/>
      <c r="Q752" s="20"/>
      <c r="R752" s="20"/>
      <c r="S752" s="21" t="str" cm="1">
        <f t="array" ref="S752">IF(
OR(AD752="",ISERROR(AD752)),
"-",
_xlfn.UNIQUE(_xlfn._xlws.FILTER([1]Sheet1!$D$2:$D$200,ISNUMBER(SEARCH(AD752,[1]Sheet1!$D$2:$D$200))))
)</f>
        <v>-</v>
      </c>
      <c r="T752" s="22"/>
      <c r="U752" s="16" t="str" cm="1">
        <f t="array" ref="U752">IF(
OR(AD752="",ISERROR(AD752)),
"-",
_xlfn.UNIQUE(_xlfn._xlws.FILTER([1]Sheet1!$D$2:$D$200,ISNUMBER(SEARCH(AD752,[1]Sheet1!$D$2:$D$200))))
)</f>
        <v>-</v>
      </c>
      <c r="X752" s="23">
        <f t="shared" si="25"/>
        <v>0</v>
      </c>
      <c r="Z752" s="19"/>
      <c r="AA752" s="19"/>
      <c r="AC752" s="17" t="str">
        <f t="shared" si="26"/>
        <v>Y</v>
      </c>
      <c r="AD752" s="17"/>
      <c r="AF752" s="27"/>
      <c r="AG752" s="27"/>
    </row>
    <row r="753" spans="3:33" ht="34.950000000000003" customHeight="1" x14ac:dyDescent="0.4">
      <c r="C753" s="17"/>
      <c r="I753" s="19"/>
      <c r="J753" s="16" t="str">
        <f>IFERROR(VLOOKUP(I753,[1]Sheet1!$A$1:$B$200,2,0),"_")</f>
        <v>_</v>
      </c>
      <c r="K753" s="19"/>
      <c r="L753" s="16" t="str">
        <f>IFERROR(VLOOKUP(K753,[1]Sheet1!$A$1:$B$200,2,0),"-")</f>
        <v>-</v>
      </c>
      <c r="M753" s="19"/>
      <c r="N753" s="16" t="str">
        <f>IFERROR(VLOOKUP(M753,[1]Sheet1!$G$2:$H$200,2,0),"-")</f>
        <v>-</v>
      </c>
      <c r="P753" s="17"/>
      <c r="Q753" s="20"/>
      <c r="R753" s="20"/>
      <c r="S753" s="21" t="str" cm="1">
        <f t="array" ref="S753">IF(
OR(AD753="",ISERROR(AD753)),
"-",
_xlfn.UNIQUE(_xlfn._xlws.FILTER([1]Sheet1!$D$2:$D$200,ISNUMBER(SEARCH(AD753,[1]Sheet1!$D$2:$D$200))))
)</f>
        <v>-</v>
      </c>
      <c r="T753" s="22"/>
      <c r="U753" s="16" t="str" cm="1">
        <f t="array" ref="U753">IF(
OR(AD753="",ISERROR(AD753)),
"-",
_xlfn.UNIQUE(_xlfn._xlws.FILTER([1]Sheet1!$D$2:$D$200,ISNUMBER(SEARCH(AD753,[1]Sheet1!$D$2:$D$200))))
)</f>
        <v>-</v>
      </c>
      <c r="X753" s="23">
        <f t="shared" si="25"/>
        <v>0</v>
      </c>
      <c r="Z753" s="19"/>
      <c r="AA753" s="19"/>
      <c r="AC753" s="17" t="str">
        <f t="shared" si="26"/>
        <v>Y</v>
      </c>
      <c r="AD753" s="17"/>
      <c r="AF753" s="27"/>
      <c r="AG753" s="27"/>
    </row>
    <row r="754" spans="3:33" ht="34.950000000000003" customHeight="1" x14ac:dyDescent="0.4">
      <c r="C754" s="17"/>
      <c r="I754" s="19"/>
      <c r="J754" s="16" t="str">
        <f>IFERROR(VLOOKUP(I754,[1]Sheet1!$A$1:$B$200,2,0),"_")</f>
        <v>_</v>
      </c>
      <c r="K754" s="19"/>
      <c r="L754" s="16" t="str">
        <f>IFERROR(VLOOKUP(K754,[1]Sheet1!$A$1:$B$200,2,0),"-")</f>
        <v>-</v>
      </c>
      <c r="M754" s="19"/>
      <c r="N754" s="16" t="str">
        <f>IFERROR(VLOOKUP(M754,[1]Sheet1!$G$2:$H$200,2,0),"-")</f>
        <v>-</v>
      </c>
      <c r="P754" s="17"/>
      <c r="Q754" s="20"/>
      <c r="R754" s="20"/>
      <c r="S754" s="21" t="str" cm="1">
        <f t="array" ref="S754">IF(
OR(AD754="",ISERROR(AD754)),
"-",
_xlfn.UNIQUE(_xlfn._xlws.FILTER([1]Sheet1!$D$2:$D$200,ISNUMBER(SEARCH(AD754,[1]Sheet1!$D$2:$D$200))))
)</f>
        <v>-</v>
      </c>
      <c r="T754" s="22"/>
      <c r="U754" s="16" t="str" cm="1">
        <f t="array" ref="U754">IF(
OR(AD754="",ISERROR(AD754)),
"-",
_xlfn.UNIQUE(_xlfn._xlws.FILTER([1]Sheet1!$D$2:$D$200,ISNUMBER(SEARCH(AD754,[1]Sheet1!$D$2:$D$200))))
)</f>
        <v>-</v>
      </c>
      <c r="X754" s="23">
        <f t="shared" si="25"/>
        <v>0</v>
      </c>
      <c r="Z754" s="19"/>
      <c r="AA754" s="19"/>
      <c r="AC754" s="17" t="str">
        <f t="shared" si="26"/>
        <v>Y</v>
      </c>
      <c r="AD754" s="17"/>
      <c r="AF754" s="27"/>
      <c r="AG754" s="27"/>
    </row>
    <row r="755" spans="3:33" ht="34.950000000000003" customHeight="1" x14ac:dyDescent="0.4">
      <c r="C755" s="17"/>
      <c r="I755" s="19"/>
      <c r="J755" s="16" t="str">
        <f>IFERROR(VLOOKUP(I755,[1]Sheet1!$A$1:$B$200,2,0),"_")</f>
        <v>_</v>
      </c>
      <c r="K755" s="19"/>
      <c r="L755" s="16" t="str">
        <f>IFERROR(VLOOKUP(K755,[1]Sheet1!$A$1:$B$200,2,0),"-")</f>
        <v>-</v>
      </c>
      <c r="M755" s="19"/>
      <c r="N755" s="16" t="str">
        <f>IFERROR(VLOOKUP(M755,[1]Sheet1!$G$2:$H$200,2,0),"-")</f>
        <v>-</v>
      </c>
      <c r="P755" s="17"/>
      <c r="Q755" s="20"/>
      <c r="R755" s="20"/>
      <c r="S755" s="21" t="str" cm="1">
        <f t="array" ref="S755">IF(
OR(AD755="",ISERROR(AD755)),
"-",
_xlfn.UNIQUE(_xlfn._xlws.FILTER([1]Sheet1!$D$2:$D$200,ISNUMBER(SEARCH(AD755,[1]Sheet1!$D$2:$D$200))))
)</f>
        <v>-</v>
      </c>
      <c r="T755" s="22"/>
      <c r="U755" s="16" t="str" cm="1">
        <f t="array" ref="U755">IF(
OR(AD755="",ISERROR(AD755)),
"-",
_xlfn.UNIQUE(_xlfn._xlws.FILTER([1]Sheet1!$D$2:$D$200,ISNUMBER(SEARCH(AD755,[1]Sheet1!$D$2:$D$200))))
)</f>
        <v>-</v>
      </c>
      <c r="X755" s="23">
        <f t="shared" si="25"/>
        <v>0</v>
      </c>
      <c r="Z755" s="19"/>
      <c r="AA755" s="19"/>
      <c r="AC755" s="17" t="str">
        <f t="shared" si="26"/>
        <v>Y</v>
      </c>
      <c r="AD755" s="17"/>
      <c r="AF755" s="27"/>
      <c r="AG755" s="27"/>
    </row>
    <row r="756" spans="3:33" ht="34.950000000000003" customHeight="1" x14ac:dyDescent="0.4">
      <c r="C756" s="17"/>
      <c r="I756" s="19"/>
      <c r="J756" s="16" t="str">
        <f>IFERROR(VLOOKUP(I756,[1]Sheet1!$A$1:$B$200,2,0),"_")</f>
        <v>_</v>
      </c>
      <c r="K756" s="19"/>
      <c r="L756" s="16" t="str">
        <f>IFERROR(VLOOKUP(K756,[1]Sheet1!$A$1:$B$200,2,0),"-")</f>
        <v>-</v>
      </c>
      <c r="M756" s="19"/>
      <c r="N756" s="16" t="str">
        <f>IFERROR(VLOOKUP(M756,[1]Sheet1!$G$2:$H$200,2,0),"-")</f>
        <v>-</v>
      </c>
      <c r="P756" s="17"/>
      <c r="Q756" s="20"/>
      <c r="R756" s="20"/>
      <c r="S756" s="21" t="str" cm="1">
        <f t="array" ref="S756">IF(
OR(AD756="",ISERROR(AD756)),
"-",
_xlfn.UNIQUE(_xlfn._xlws.FILTER([1]Sheet1!$D$2:$D$200,ISNUMBER(SEARCH(AD756,[1]Sheet1!$D$2:$D$200))))
)</f>
        <v>-</v>
      </c>
      <c r="T756" s="22"/>
      <c r="U756" s="16" t="str" cm="1">
        <f t="array" ref="U756">IF(
OR(AD756="",ISERROR(AD756)),
"-",
_xlfn.UNIQUE(_xlfn._xlws.FILTER([1]Sheet1!$D$2:$D$200,ISNUMBER(SEARCH(AD756,[1]Sheet1!$D$2:$D$200))))
)</f>
        <v>-</v>
      </c>
      <c r="X756" s="23">
        <f t="shared" si="25"/>
        <v>0</v>
      </c>
      <c r="Z756" s="19"/>
      <c r="AA756" s="19"/>
      <c r="AC756" s="17" t="str">
        <f t="shared" si="26"/>
        <v>Y</v>
      </c>
      <c r="AD756" s="17"/>
      <c r="AF756" s="27"/>
      <c r="AG756" s="27"/>
    </row>
    <row r="757" spans="3:33" ht="34.950000000000003" customHeight="1" x14ac:dyDescent="0.4">
      <c r="C757" s="17"/>
      <c r="I757" s="19"/>
      <c r="J757" s="16" t="str">
        <f>IFERROR(VLOOKUP(I757,[1]Sheet1!$A$1:$B$200,2,0),"_")</f>
        <v>_</v>
      </c>
      <c r="K757" s="19"/>
      <c r="L757" s="16" t="str">
        <f>IFERROR(VLOOKUP(K757,[1]Sheet1!$A$1:$B$200,2,0),"-")</f>
        <v>-</v>
      </c>
      <c r="M757" s="19"/>
      <c r="N757" s="16" t="str">
        <f>IFERROR(VLOOKUP(M757,[1]Sheet1!$G$2:$H$200,2,0),"-")</f>
        <v>-</v>
      </c>
      <c r="P757" s="17"/>
      <c r="Q757" s="20"/>
      <c r="R757" s="20"/>
      <c r="S757" s="21" t="str" cm="1">
        <f t="array" ref="S757">IF(
OR(AD757="",ISERROR(AD757)),
"-",
_xlfn.UNIQUE(_xlfn._xlws.FILTER([1]Sheet1!$D$2:$D$200,ISNUMBER(SEARCH(AD757,[1]Sheet1!$D$2:$D$200))))
)</f>
        <v>-</v>
      </c>
      <c r="T757" s="22"/>
      <c r="U757" s="16" t="str" cm="1">
        <f t="array" ref="U757">IF(
OR(AD757="",ISERROR(AD757)),
"-",
_xlfn.UNIQUE(_xlfn._xlws.FILTER([1]Sheet1!$D$2:$D$200,ISNUMBER(SEARCH(AD757,[1]Sheet1!$D$2:$D$200))))
)</f>
        <v>-</v>
      </c>
      <c r="X757" s="23">
        <f t="shared" si="25"/>
        <v>0</v>
      </c>
      <c r="Z757" s="19"/>
      <c r="AA757" s="19"/>
      <c r="AC757" s="17" t="str">
        <f t="shared" si="26"/>
        <v>Y</v>
      </c>
      <c r="AD757" s="17"/>
      <c r="AF757" s="27"/>
      <c r="AG757" s="27"/>
    </row>
    <row r="758" spans="3:33" ht="34.950000000000003" customHeight="1" x14ac:dyDescent="0.4">
      <c r="C758" s="17"/>
      <c r="I758" s="19"/>
      <c r="J758" s="16" t="str">
        <f>IFERROR(VLOOKUP(I758,[1]Sheet1!$A$1:$B$200,2,0),"_")</f>
        <v>_</v>
      </c>
      <c r="K758" s="19"/>
      <c r="L758" s="16" t="str">
        <f>IFERROR(VLOOKUP(K758,[1]Sheet1!$A$1:$B$200,2,0),"-")</f>
        <v>-</v>
      </c>
      <c r="M758" s="19"/>
      <c r="N758" s="16" t="str">
        <f>IFERROR(VLOOKUP(M758,[1]Sheet1!$G$2:$H$200,2,0),"-")</f>
        <v>-</v>
      </c>
      <c r="P758" s="17"/>
      <c r="Q758" s="20"/>
      <c r="R758" s="20"/>
      <c r="S758" s="21" t="str" cm="1">
        <f t="array" ref="S758">IF(
OR(AD758="",ISERROR(AD758)),
"-",
_xlfn.UNIQUE(_xlfn._xlws.FILTER([1]Sheet1!$D$2:$D$200,ISNUMBER(SEARCH(AD758,[1]Sheet1!$D$2:$D$200))))
)</f>
        <v>-</v>
      </c>
      <c r="T758" s="22"/>
      <c r="U758" s="16" t="str" cm="1">
        <f t="array" ref="U758">IF(
OR(AD758="",ISERROR(AD758)),
"-",
_xlfn.UNIQUE(_xlfn._xlws.FILTER([1]Sheet1!$D$2:$D$200,ISNUMBER(SEARCH(AD758,[1]Sheet1!$D$2:$D$200))))
)</f>
        <v>-</v>
      </c>
      <c r="X758" s="23">
        <f t="shared" si="25"/>
        <v>0</v>
      </c>
      <c r="Z758" s="19"/>
      <c r="AA758" s="19"/>
      <c r="AC758" s="17" t="str">
        <f t="shared" si="26"/>
        <v>Y</v>
      </c>
      <c r="AD758" s="17"/>
      <c r="AF758" s="27"/>
      <c r="AG758" s="27"/>
    </row>
    <row r="759" spans="3:33" ht="34.950000000000003" customHeight="1" x14ac:dyDescent="0.4">
      <c r="C759" s="17"/>
      <c r="I759" s="19"/>
      <c r="J759" s="16" t="str">
        <f>IFERROR(VLOOKUP(I759,[1]Sheet1!$A$1:$B$200,2,0),"_")</f>
        <v>_</v>
      </c>
      <c r="K759" s="19"/>
      <c r="L759" s="16" t="str">
        <f>IFERROR(VLOOKUP(K759,[1]Sheet1!$A$1:$B$200,2,0),"-")</f>
        <v>-</v>
      </c>
      <c r="M759" s="19"/>
      <c r="N759" s="16" t="str">
        <f>IFERROR(VLOOKUP(M759,[1]Sheet1!$G$2:$H$200,2,0),"-")</f>
        <v>-</v>
      </c>
      <c r="P759" s="17"/>
      <c r="Q759" s="20"/>
      <c r="R759" s="20"/>
      <c r="S759" s="21" t="str" cm="1">
        <f t="array" ref="S759">IF(
OR(AD759="",ISERROR(AD759)),
"-",
_xlfn.UNIQUE(_xlfn._xlws.FILTER([1]Sheet1!$D$2:$D$200,ISNUMBER(SEARCH(AD759,[1]Sheet1!$D$2:$D$200))))
)</f>
        <v>-</v>
      </c>
      <c r="T759" s="22"/>
      <c r="U759" s="16" t="str" cm="1">
        <f t="array" ref="U759">IF(
OR(AD759="",ISERROR(AD759)),
"-",
_xlfn.UNIQUE(_xlfn._xlws.FILTER([1]Sheet1!$D$2:$D$200,ISNUMBER(SEARCH(AD759,[1]Sheet1!$D$2:$D$200))))
)</f>
        <v>-</v>
      </c>
      <c r="X759" s="23">
        <f t="shared" si="25"/>
        <v>0</v>
      </c>
      <c r="Z759" s="19"/>
      <c r="AA759" s="19"/>
      <c r="AC759" s="17" t="str">
        <f t="shared" si="26"/>
        <v>Y</v>
      </c>
      <c r="AD759" s="17"/>
      <c r="AF759" s="27"/>
      <c r="AG759" s="27"/>
    </row>
    <row r="760" spans="3:33" ht="34.950000000000003" customHeight="1" x14ac:dyDescent="0.4">
      <c r="C760" s="17"/>
      <c r="I760" s="19"/>
      <c r="J760" s="16" t="str">
        <f>IFERROR(VLOOKUP(I760,[1]Sheet1!$A$1:$B$200,2,0),"_")</f>
        <v>_</v>
      </c>
      <c r="K760" s="19"/>
      <c r="L760" s="16" t="str">
        <f>IFERROR(VLOOKUP(K760,[1]Sheet1!$A$1:$B$200,2,0),"-")</f>
        <v>-</v>
      </c>
      <c r="M760" s="19"/>
      <c r="N760" s="16" t="str">
        <f>IFERROR(VLOOKUP(M760,[1]Sheet1!$G$2:$H$200,2,0),"-")</f>
        <v>-</v>
      </c>
      <c r="P760" s="17"/>
      <c r="Q760" s="20"/>
      <c r="R760" s="20"/>
      <c r="S760" s="21" t="str" cm="1">
        <f t="array" ref="S760">IF(
OR(AD760="",ISERROR(AD760)),
"-",
_xlfn.UNIQUE(_xlfn._xlws.FILTER([1]Sheet1!$D$2:$D$200,ISNUMBER(SEARCH(AD760,[1]Sheet1!$D$2:$D$200))))
)</f>
        <v>-</v>
      </c>
      <c r="T760" s="22"/>
      <c r="U760" s="16" t="str" cm="1">
        <f t="array" ref="U760">IF(
OR(AD760="",ISERROR(AD760)),
"-",
_xlfn.UNIQUE(_xlfn._xlws.FILTER([1]Sheet1!$D$2:$D$200,ISNUMBER(SEARCH(AD760,[1]Sheet1!$D$2:$D$200))))
)</f>
        <v>-</v>
      </c>
      <c r="X760" s="23">
        <f t="shared" ref="X760:X823" si="27">V760-W760</f>
        <v>0</v>
      </c>
      <c r="Z760" s="19"/>
      <c r="AA760" s="19"/>
      <c r="AC760" s="17" t="str">
        <f t="shared" si="26"/>
        <v>Y</v>
      </c>
      <c r="AD760" s="17"/>
      <c r="AF760" s="27"/>
      <c r="AG760" s="27"/>
    </row>
    <row r="761" spans="3:33" ht="34.950000000000003" customHeight="1" x14ac:dyDescent="0.4">
      <c r="C761" s="17"/>
      <c r="I761" s="19"/>
      <c r="J761" s="16" t="str">
        <f>IFERROR(VLOOKUP(I761,[1]Sheet1!$A$1:$B$200,2,0),"_")</f>
        <v>_</v>
      </c>
      <c r="K761" s="19"/>
      <c r="L761" s="16" t="str">
        <f>IFERROR(VLOOKUP(K761,[1]Sheet1!$A$1:$B$200,2,0),"-")</f>
        <v>-</v>
      </c>
      <c r="M761" s="19"/>
      <c r="N761" s="16" t="str">
        <f>IFERROR(VLOOKUP(M761,[1]Sheet1!$G$2:$H$200,2,0),"-")</f>
        <v>-</v>
      </c>
      <c r="P761" s="17"/>
      <c r="Q761" s="20"/>
      <c r="R761" s="20"/>
      <c r="S761" s="21" t="str" cm="1">
        <f t="array" ref="S761">IF(
OR(AD761="",ISERROR(AD761)),
"-",
_xlfn.UNIQUE(_xlfn._xlws.FILTER([1]Sheet1!$D$2:$D$200,ISNUMBER(SEARCH(AD761,[1]Sheet1!$D$2:$D$200))))
)</f>
        <v>-</v>
      </c>
      <c r="T761" s="22"/>
      <c r="U761" s="16" t="str" cm="1">
        <f t="array" ref="U761">IF(
OR(AD761="",ISERROR(AD761)),
"-",
_xlfn.UNIQUE(_xlfn._xlws.FILTER([1]Sheet1!$D$2:$D$200,ISNUMBER(SEARCH(AD761,[1]Sheet1!$D$2:$D$200))))
)</f>
        <v>-</v>
      </c>
      <c r="X761" s="23">
        <f t="shared" si="27"/>
        <v>0</v>
      </c>
      <c r="Z761" s="19"/>
      <c r="AA761" s="19"/>
      <c r="AC761" s="17" t="str">
        <f t="shared" ref="AC761:AC824" si="28">IF(AI761="ㅇ", "Y", IF(Z761="강다영", "", "Y"))</f>
        <v>Y</v>
      </c>
      <c r="AD761" s="17"/>
      <c r="AF761" s="27"/>
      <c r="AG761" s="27"/>
    </row>
    <row r="762" spans="3:33" ht="34.950000000000003" customHeight="1" x14ac:dyDescent="0.4">
      <c r="C762" s="17"/>
      <c r="I762" s="19"/>
      <c r="J762" s="16" t="str">
        <f>IFERROR(VLOOKUP(I762,[1]Sheet1!$A$1:$B$200,2,0),"_")</f>
        <v>_</v>
      </c>
      <c r="K762" s="19"/>
      <c r="L762" s="16" t="str">
        <f>IFERROR(VLOOKUP(K762,[1]Sheet1!$A$1:$B$200,2,0),"-")</f>
        <v>-</v>
      </c>
      <c r="M762" s="19"/>
      <c r="N762" s="16" t="str">
        <f>IFERROR(VLOOKUP(M762,[1]Sheet1!$G$2:$H$200,2,0),"-")</f>
        <v>-</v>
      </c>
      <c r="P762" s="17"/>
      <c r="Q762" s="20"/>
      <c r="R762" s="20"/>
      <c r="S762" s="21" t="str" cm="1">
        <f t="array" ref="S762">IF(
OR(AD762="",ISERROR(AD762)),
"-",
_xlfn.UNIQUE(_xlfn._xlws.FILTER([1]Sheet1!$D$2:$D$200,ISNUMBER(SEARCH(AD762,[1]Sheet1!$D$2:$D$200))))
)</f>
        <v>-</v>
      </c>
      <c r="T762" s="22"/>
      <c r="U762" s="16" t="str" cm="1">
        <f t="array" ref="U762">IF(
OR(AD762="",ISERROR(AD762)),
"-",
_xlfn.UNIQUE(_xlfn._xlws.FILTER([1]Sheet1!$D$2:$D$200,ISNUMBER(SEARCH(AD762,[1]Sheet1!$D$2:$D$200))))
)</f>
        <v>-</v>
      </c>
      <c r="X762" s="23">
        <f t="shared" si="27"/>
        <v>0</v>
      </c>
      <c r="Z762" s="19"/>
      <c r="AA762" s="19"/>
      <c r="AC762" s="17" t="str">
        <f t="shared" si="28"/>
        <v>Y</v>
      </c>
      <c r="AD762" s="17"/>
      <c r="AF762" s="27"/>
      <c r="AG762" s="27"/>
    </row>
    <row r="763" spans="3:33" ht="34.950000000000003" customHeight="1" x14ac:dyDescent="0.4">
      <c r="C763" s="17"/>
      <c r="I763" s="19"/>
      <c r="J763" s="16" t="str">
        <f>IFERROR(VLOOKUP(I763,[1]Sheet1!$A$1:$B$200,2,0),"_")</f>
        <v>_</v>
      </c>
      <c r="K763" s="19"/>
      <c r="L763" s="16" t="str">
        <f>IFERROR(VLOOKUP(K763,[1]Sheet1!$A$1:$B$200,2,0),"-")</f>
        <v>-</v>
      </c>
      <c r="M763" s="19"/>
      <c r="N763" s="16" t="str">
        <f>IFERROR(VLOOKUP(M763,[1]Sheet1!$G$2:$H$200,2,0),"-")</f>
        <v>-</v>
      </c>
      <c r="P763" s="17"/>
      <c r="Q763" s="20"/>
      <c r="R763" s="20"/>
      <c r="S763" s="21" t="str" cm="1">
        <f t="array" ref="S763">IF(
OR(AD763="",ISERROR(AD763)),
"-",
_xlfn.UNIQUE(_xlfn._xlws.FILTER([1]Sheet1!$D$2:$D$200,ISNUMBER(SEARCH(AD763,[1]Sheet1!$D$2:$D$200))))
)</f>
        <v>-</v>
      </c>
      <c r="T763" s="22"/>
      <c r="U763" s="16" t="str" cm="1">
        <f t="array" ref="U763">IF(
OR(AD763="",ISERROR(AD763)),
"-",
_xlfn.UNIQUE(_xlfn._xlws.FILTER([1]Sheet1!$D$2:$D$200,ISNUMBER(SEARCH(AD763,[1]Sheet1!$D$2:$D$200))))
)</f>
        <v>-</v>
      </c>
      <c r="X763" s="23">
        <f t="shared" si="27"/>
        <v>0</v>
      </c>
      <c r="Z763" s="19"/>
      <c r="AA763" s="19"/>
      <c r="AC763" s="17" t="str">
        <f t="shared" si="28"/>
        <v>Y</v>
      </c>
      <c r="AD763" s="17"/>
      <c r="AF763" s="27"/>
      <c r="AG763" s="27"/>
    </row>
    <row r="764" spans="3:33" ht="34.950000000000003" customHeight="1" x14ac:dyDescent="0.4">
      <c r="C764" s="17"/>
      <c r="I764" s="19"/>
      <c r="J764" s="16" t="str">
        <f>IFERROR(VLOOKUP(I764,[1]Sheet1!$A$1:$B$200,2,0),"_")</f>
        <v>_</v>
      </c>
      <c r="K764" s="19"/>
      <c r="L764" s="16" t="str">
        <f>IFERROR(VLOOKUP(K764,[1]Sheet1!$A$1:$B$200,2,0),"-")</f>
        <v>-</v>
      </c>
      <c r="M764" s="19"/>
      <c r="N764" s="16" t="str">
        <f>IFERROR(VLOOKUP(M764,[1]Sheet1!$G$2:$H$200,2,0),"-")</f>
        <v>-</v>
      </c>
      <c r="P764" s="17"/>
      <c r="Q764" s="20"/>
      <c r="R764" s="20"/>
      <c r="S764" s="21" t="str" cm="1">
        <f t="array" ref="S764">IF(
OR(AD764="",ISERROR(AD764)),
"-",
_xlfn.UNIQUE(_xlfn._xlws.FILTER([1]Sheet1!$D$2:$D$200,ISNUMBER(SEARCH(AD764,[1]Sheet1!$D$2:$D$200))))
)</f>
        <v>-</v>
      </c>
      <c r="T764" s="22"/>
      <c r="U764" s="16" t="str" cm="1">
        <f t="array" ref="U764">IF(
OR(AD764="",ISERROR(AD764)),
"-",
_xlfn.UNIQUE(_xlfn._xlws.FILTER([1]Sheet1!$D$2:$D$200,ISNUMBER(SEARCH(AD764,[1]Sheet1!$D$2:$D$200))))
)</f>
        <v>-</v>
      </c>
      <c r="X764" s="23">
        <f t="shared" si="27"/>
        <v>0</v>
      </c>
      <c r="Z764" s="19"/>
      <c r="AA764" s="19"/>
      <c r="AC764" s="17" t="str">
        <f t="shared" si="28"/>
        <v>Y</v>
      </c>
      <c r="AD764" s="17"/>
      <c r="AF764" s="27"/>
      <c r="AG764" s="27"/>
    </row>
    <row r="765" spans="3:33" ht="34.950000000000003" customHeight="1" x14ac:dyDescent="0.4">
      <c r="C765" s="17"/>
      <c r="I765" s="19"/>
      <c r="J765" s="16" t="str">
        <f>IFERROR(VLOOKUP(I765,[1]Sheet1!$A$1:$B$200,2,0),"_")</f>
        <v>_</v>
      </c>
      <c r="K765" s="19"/>
      <c r="L765" s="16" t="str">
        <f>IFERROR(VLOOKUP(K765,[1]Sheet1!$A$1:$B$200,2,0),"-")</f>
        <v>-</v>
      </c>
      <c r="M765" s="19"/>
      <c r="N765" s="16" t="str">
        <f>IFERROR(VLOOKUP(M765,[1]Sheet1!$G$2:$H$200,2,0),"-")</f>
        <v>-</v>
      </c>
      <c r="P765" s="17"/>
      <c r="Q765" s="20"/>
      <c r="R765" s="20"/>
      <c r="S765" s="21" t="str" cm="1">
        <f t="array" ref="S765">IF(
OR(AD765="",ISERROR(AD765)),
"-",
_xlfn.UNIQUE(_xlfn._xlws.FILTER([1]Sheet1!$D$2:$D$200,ISNUMBER(SEARCH(AD765,[1]Sheet1!$D$2:$D$200))))
)</f>
        <v>-</v>
      </c>
      <c r="T765" s="22"/>
      <c r="U765" s="16" t="str" cm="1">
        <f t="array" ref="U765">IF(
OR(AD765="",ISERROR(AD765)),
"-",
_xlfn.UNIQUE(_xlfn._xlws.FILTER([1]Sheet1!$D$2:$D$200,ISNUMBER(SEARCH(AD765,[1]Sheet1!$D$2:$D$200))))
)</f>
        <v>-</v>
      </c>
      <c r="X765" s="23">
        <f t="shared" si="27"/>
        <v>0</v>
      </c>
      <c r="Z765" s="19"/>
      <c r="AA765" s="19"/>
      <c r="AC765" s="17" t="str">
        <f t="shared" si="28"/>
        <v>Y</v>
      </c>
      <c r="AD765" s="17"/>
      <c r="AF765" s="27"/>
      <c r="AG765" s="27"/>
    </row>
    <row r="766" spans="3:33" ht="34.950000000000003" customHeight="1" x14ac:dyDescent="0.4">
      <c r="C766" s="17"/>
      <c r="I766" s="19"/>
      <c r="J766" s="16" t="str">
        <f>IFERROR(VLOOKUP(I766,[1]Sheet1!$A$1:$B$200,2,0),"_")</f>
        <v>_</v>
      </c>
      <c r="K766" s="19"/>
      <c r="L766" s="16" t="str">
        <f>IFERROR(VLOOKUP(K766,[1]Sheet1!$A$1:$B$200,2,0),"-")</f>
        <v>-</v>
      </c>
      <c r="M766" s="19"/>
      <c r="N766" s="16" t="str">
        <f>IFERROR(VLOOKUP(M766,[1]Sheet1!$G$2:$H$200,2,0),"-")</f>
        <v>-</v>
      </c>
      <c r="P766" s="17"/>
      <c r="Q766" s="20"/>
      <c r="R766" s="20"/>
      <c r="S766" s="21" t="str" cm="1">
        <f t="array" ref="S766">IF(
OR(AD766="",ISERROR(AD766)),
"-",
_xlfn.UNIQUE(_xlfn._xlws.FILTER([1]Sheet1!$D$2:$D$200,ISNUMBER(SEARCH(AD766,[1]Sheet1!$D$2:$D$200))))
)</f>
        <v>-</v>
      </c>
      <c r="T766" s="22"/>
      <c r="U766" s="16" t="str" cm="1">
        <f t="array" ref="U766">IF(
OR(AD766="",ISERROR(AD766)),
"-",
_xlfn.UNIQUE(_xlfn._xlws.FILTER([1]Sheet1!$D$2:$D$200,ISNUMBER(SEARCH(AD766,[1]Sheet1!$D$2:$D$200))))
)</f>
        <v>-</v>
      </c>
      <c r="X766" s="23">
        <f t="shared" si="27"/>
        <v>0</v>
      </c>
      <c r="Z766" s="19"/>
      <c r="AA766" s="19"/>
      <c r="AC766" s="17" t="str">
        <f t="shared" si="28"/>
        <v>Y</v>
      </c>
      <c r="AD766" s="17"/>
      <c r="AF766" s="27"/>
      <c r="AG766" s="27"/>
    </row>
    <row r="767" spans="3:33" ht="34.950000000000003" customHeight="1" x14ac:dyDescent="0.4">
      <c r="C767" s="17"/>
      <c r="I767" s="19"/>
      <c r="J767" s="16" t="str">
        <f>IFERROR(VLOOKUP(I767,[1]Sheet1!$A$1:$B$200,2,0),"_")</f>
        <v>_</v>
      </c>
      <c r="K767" s="19"/>
      <c r="L767" s="16" t="str">
        <f>IFERROR(VLOOKUP(K767,[1]Sheet1!$A$1:$B$200,2,0),"-")</f>
        <v>-</v>
      </c>
      <c r="M767" s="19"/>
      <c r="N767" s="16" t="str">
        <f>IFERROR(VLOOKUP(M767,[1]Sheet1!$G$2:$H$200,2,0),"-")</f>
        <v>-</v>
      </c>
      <c r="P767" s="17"/>
      <c r="Q767" s="20"/>
      <c r="R767" s="20"/>
      <c r="S767" s="21" t="str" cm="1">
        <f t="array" ref="S767">IF(
OR(AD767="",ISERROR(AD767)),
"-",
_xlfn.UNIQUE(_xlfn._xlws.FILTER([1]Sheet1!$D$2:$D$200,ISNUMBER(SEARCH(AD767,[1]Sheet1!$D$2:$D$200))))
)</f>
        <v>-</v>
      </c>
      <c r="T767" s="22"/>
      <c r="U767" s="16" t="str" cm="1">
        <f t="array" ref="U767">IF(
OR(AD767="",ISERROR(AD767)),
"-",
_xlfn.UNIQUE(_xlfn._xlws.FILTER([1]Sheet1!$D$2:$D$200,ISNUMBER(SEARCH(AD767,[1]Sheet1!$D$2:$D$200))))
)</f>
        <v>-</v>
      </c>
      <c r="X767" s="23">
        <f t="shared" si="27"/>
        <v>0</v>
      </c>
      <c r="Z767" s="19"/>
      <c r="AA767" s="19"/>
      <c r="AC767" s="17" t="str">
        <f t="shared" si="28"/>
        <v>Y</v>
      </c>
      <c r="AD767" s="17"/>
      <c r="AF767" s="27"/>
      <c r="AG767" s="27"/>
    </row>
    <row r="768" spans="3:33" ht="34.950000000000003" customHeight="1" x14ac:dyDescent="0.4">
      <c r="C768" s="17"/>
      <c r="I768" s="19"/>
      <c r="J768" s="16" t="str">
        <f>IFERROR(VLOOKUP(I768,[1]Sheet1!$A$1:$B$200,2,0),"_")</f>
        <v>_</v>
      </c>
      <c r="K768" s="19"/>
      <c r="L768" s="16" t="str">
        <f>IFERROR(VLOOKUP(K768,[1]Sheet1!$A$1:$B$200,2,0),"-")</f>
        <v>-</v>
      </c>
      <c r="M768" s="19"/>
      <c r="N768" s="16" t="str">
        <f>IFERROR(VLOOKUP(M768,[1]Sheet1!$G$2:$H$200,2,0),"-")</f>
        <v>-</v>
      </c>
      <c r="P768" s="17"/>
      <c r="Q768" s="20"/>
      <c r="R768" s="20"/>
      <c r="S768" s="21" t="str" cm="1">
        <f t="array" ref="S768">IF(
OR(AD768="",ISERROR(AD768)),
"-",
_xlfn.UNIQUE(_xlfn._xlws.FILTER([1]Sheet1!$D$2:$D$200,ISNUMBER(SEARCH(AD768,[1]Sheet1!$D$2:$D$200))))
)</f>
        <v>-</v>
      </c>
      <c r="T768" s="22"/>
      <c r="U768" s="16" t="str" cm="1">
        <f t="array" ref="U768">IF(
OR(AD768="",ISERROR(AD768)),
"-",
_xlfn.UNIQUE(_xlfn._xlws.FILTER([1]Sheet1!$D$2:$D$200,ISNUMBER(SEARCH(AD768,[1]Sheet1!$D$2:$D$200))))
)</f>
        <v>-</v>
      </c>
      <c r="X768" s="23">
        <f t="shared" si="27"/>
        <v>0</v>
      </c>
      <c r="Z768" s="19"/>
      <c r="AA768" s="19"/>
      <c r="AC768" s="17" t="str">
        <f t="shared" si="28"/>
        <v>Y</v>
      </c>
      <c r="AD768" s="17"/>
      <c r="AF768" s="27"/>
      <c r="AG768" s="27"/>
    </row>
    <row r="769" spans="3:33" ht="34.950000000000003" customHeight="1" x14ac:dyDescent="0.4">
      <c r="C769" s="17"/>
      <c r="I769" s="19"/>
      <c r="J769" s="16" t="str">
        <f>IFERROR(VLOOKUP(I769,[1]Sheet1!$A$1:$B$200,2,0),"_")</f>
        <v>_</v>
      </c>
      <c r="K769" s="19"/>
      <c r="L769" s="16" t="str">
        <f>IFERROR(VLOOKUP(K769,[1]Sheet1!$A$1:$B$200,2,0),"-")</f>
        <v>-</v>
      </c>
      <c r="M769" s="19"/>
      <c r="N769" s="16" t="str">
        <f>IFERROR(VLOOKUP(M769,[1]Sheet1!$G$2:$H$200,2,0),"-")</f>
        <v>-</v>
      </c>
      <c r="P769" s="17"/>
      <c r="Q769" s="20"/>
      <c r="R769" s="20"/>
      <c r="S769" s="21" t="str" cm="1">
        <f t="array" ref="S769">IF(
OR(AD769="",ISERROR(AD769)),
"-",
_xlfn.UNIQUE(_xlfn._xlws.FILTER([1]Sheet1!$D$2:$D$200,ISNUMBER(SEARCH(AD769,[1]Sheet1!$D$2:$D$200))))
)</f>
        <v>-</v>
      </c>
      <c r="T769" s="22"/>
      <c r="U769" s="16" t="str" cm="1">
        <f t="array" ref="U769">IF(
OR(AD769="",ISERROR(AD769)),
"-",
_xlfn.UNIQUE(_xlfn._xlws.FILTER([1]Sheet1!$D$2:$D$200,ISNUMBER(SEARCH(AD769,[1]Sheet1!$D$2:$D$200))))
)</f>
        <v>-</v>
      </c>
      <c r="X769" s="23">
        <f t="shared" si="27"/>
        <v>0</v>
      </c>
      <c r="Z769" s="19"/>
      <c r="AA769" s="19"/>
      <c r="AC769" s="17" t="str">
        <f t="shared" si="28"/>
        <v>Y</v>
      </c>
      <c r="AD769" s="17"/>
      <c r="AF769" s="27"/>
      <c r="AG769" s="27"/>
    </row>
    <row r="770" spans="3:33" ht="34.950000000000003" customHeight="1" x14ac:dyDescent="0.4">
      <c r="C770" s="17"/>
      <c r="I770" s="19"/>
      <c r="J770" s="16" t="str">
        <f>IFERROR(VLOOKUP(I770,[1]Sheet1!$A$1:$B$200,2,0),"_")</f>
        <v>_</v>
      </c>
      <c r="K770" s="19"/>
      <c r="L770" s="16" t="str">
        <f>IFERROR(VLOOKUP(K770,[1]Sheet1!$A$1:$B$200,2,0),"-")</f>
        <v>-</v>
      </c>
      <c r="M770" s="19"/>
      <c r="N770" s="16" t="str">
        <f>IFERROR(VLOOKUP(M770,[1]Sheet1!$G$2:$H$200,2,0),"-")</f>
        <v>-</v>
      </c>
      <c r="P770" s="17"/>
      <c r="Q770" s="20"/>
      <c r="R770" s="20"/>
      <c r="S770" s="21" t="str" cm="1">
        <f t="array" ref="S770">IF(
OR(AD770="",ISERROR(AD770)),
"-",
_xlfn.UNIQUE(_xlfn._xlws.FILTER([1]Sheet1!$D$2:$D$200,ISNUMBER(SEARCH(AD770,[1]Sheet1!$D$2:$D$200))))
)</f>
        <v>-</v>
      </c>
      <c r="T770" s="22"/>
      <c r="U770" s="16" t="str" cm="1">
        <f t="array" ref="U770">IF(
OR(AD770="",ISERROR(AD770)),
"-",
_xlfn.UNIQUE(_xlfn._xlws.FILTER([1]Sheet1!$D$2:$D$200,ISNUMBER(SEARCH(AD770,[1]Sheet1!$D$2:$D$200))))
)</f>
        <v>-</v>
      </c>
      <c r="X770" s="23">
        <f t="shared" si="27"/>
        <v>0</v>
      </c>
      <c r="Z770" s="19"/>
      <c r="AA770" s="19"/>
      <c r="AC770" s="17" t="str">
        <f t="shared" si="28"/>
        <v>Y</v>
      </c>
      <c r="AD770" s="17"/>
      <c r="AF770" s="27"/>
      <c r="AG770" s="27"/>
    </row>
    <row r="771" spans="3:33" ht="34.950000000000003" customHeight="1" x14ac:dyDescent="0.4">
      <c r="C771" s="17"/>
      <c r="I771" s="19"/>
      <c r="J771" s="16" t="str">
        <f>IFERROR(VLOOKUP(I771,[1]Sheet1!$A$1:$B$200,2,0),"_")</f>
        <v>_</v>
      </c>
      <c r="K771" s="19"/>
      <c r="L771" s="16" t="str">
        <f>IFERROR(VLOOKUP(K771,[1]Sheet1!$A$1:$B$200,2,0),"-")</f>
        <v>-</v>
      </c>
      <c r="M771" s="19"/>
      <c r="N771" s="16" t="str">
        <f>IFERROR(VLOOKUP(M771,[1]Sheet1!$G$2:$H$200,2,0),"-")</f>
        <v>-</v>
      </c>
      <c r="P771" s="17"/>
      <c r="Q771" s="20"/>
      <c r="R771" s="20"/>
      <c r="S771" s="21" t="str" cm="1">
        <f t="array" ref="S771">IF(
OR(AD771="",ISERROR(AD771)),
"-",
_xlfn.UNIQUE(_xlfn._xlws.FILTER([1]Sheet1!$D$2:$D$200,ISNUMBER(SEARCH(AD771,[1]Sheet1!$D$2:$D$200))))
)</f>
        <v>-</v>
      </c>
      <c r="T771" s="22"/>
      <c r="U771" s="16" t="str" cm="1">
        <f t="array" ref="U771">IF(
OR(AD771="",ISERROR(AD771)),
"-",
_xlfn.UNIQUE(_xlfn._xlws.FILTER([1]Sheet1!$D$2:$D$200,ISNUMBER(SEARCH(AD771,[1]Sheet1!$D$2:$D$200))))
)</f>
        <v>-</v>
      </c>
      <c r="X771" s="23">
        <f t="shared" si="27"/>
        <v>0</v>
      </c>
      <c r="Z771" s="19"/>
      <c r="AA771" s="19"/>
      <c r="AC771" s="17" t="str">
        <f t="shared" si="28"/>
        <v>Y</v>
      </c>
      <c r="AD771" s="17"/>
      <c r="AF771" s="27"/>
      <c r="AG771" s="27"/>
    </row>
    <row r="772" spans="3:33" ht="34.950000000000003" customHeight="1" x14ac:dyDescent="0.4">
      <c r="C772" s="17"/>
      <c r="I772" s="19"/>
      <c r="J772" s="16" t="str">
        <f>IFERROR(VLOOKUP(I772,[1]Sheet1!$A$1:$B$200,2,0),"_")</f>
        <v>_</v>
      </c>
      <c r="K772" s="19"/>
      <c r="L772" s="16" t="str">
        <f>IFERROR(VLOOKUP(K772,[1]Sheet1!$A$1:$B$200,2,0),"-")</f>
        <v>-</v>
      </c>
      <c r="M772" s="19"/>
      <c r="N772" s="16" t="str">
        <f>IFERROR(VLOOKUP(M772,[1]Sheet1!$G$2:$H$200,2,0),"-")</f>
        <v>-</v>
      </c>
      <c r="P772" s="17"/>
      <c r="Q772" s="20"/>
      <c r="R772" s="20"/>
      <c r="S772" s="21" t="str" cm="1">
        <f t="array" ref="S772">IF(
OR(AD772="",ISERROR(AD772)),
"-",
_xlfn.UNIQUE(_xlfn._xlws.FILTER([1]Sheet1!$D$2:$D$200,ISNUMBER(SEARCH(AD772,[1]Sheet1!$D$2:$D$200))))
)</f>
        <v>-</v>
      </c>
      <c r="T772" s="22"/>
      <c r="U772" s="16" t="str" cm="1">
        <f t="array" ref="U772">IF(
OR(AD772="",ISERROR(AD772)),
"-",
_xlfn.UNIQUE(_xlfn._xlws.FILTER([1]Sheet1!$D$2:$D$200,ISNUMBER(SEARCH(AD772,[1]Sheet1!$D$2:$D$200))))
)</f>
        <v>-</v>
      </c>
      <c r="X772" s="23">
        <f t="shared" si="27"/>
        <v>0</v>
      </c>
      <c r="Z772" s="19"/>
      <c r="AA772" s="19"/>
      <c r="AC772" s="17" t="str">
        <f t="shared" si="28"/>
        <v>Y</v>
      </c>
      <c r="AD772" s="17"/>
      <c r="AF772" s="27"/>
      <c r="AG772" s="27"/>
    </row>
    <row r="773" spans="3:33" ht="34.950000000000003" customHeight="1" x14ac:dyDescent="0.4">
      <c r="C773" s="17"/>
      <c r="I773" s="19"/>
      <c r="J773" s="16" t="str">
        <f>IFERROR(VLOOKUP(I773,[1]Sheet1!$A$1:$B$200,2,0),"_")</f>
        <v>_</v>
      </c>
      <c r="K773" s="19"/>
      <c r="L773" s="16" t="str">
        <f>IFERROR(VLOOKUP(K773,[1]Sheet1!$A$1:$B$200,2,0),"-")</f>
        <v>-</v>
      </c>
      <c r="M773" s="19"/>
      <c r="N773" s="16" t="str">
        <f>IFERROR(VLOOKUP(M773,[1]Sheet1!$G$2:$H$200,2,0),"-")</f>
        <v>-</v>
      </c>
      <c r="P773" s="17"/>
      <c r="Q773" s="20"/>
      <c r="R773" s="20"/>
      <c r="S773" s="21" t="str" cm="1">
        <f t="array" ref="S773">IF(
OR(AD773="",ISERROR(AD773)),
"-",
_xlfn.UNIQUE(_xlfn._xlws.FILTER([1]Sheet1!$D$2:$D$200,ISNUMBER(SEARCH(AD773,[1]Sheet1!$D$2:$D$200))))
)</f>
        <v>-</v>
      </c>
      <c r="T773" s="22"/>
      <c r="U773" s="16" t="str" cm="1">
        <f t="array" ref="U773">IF(
OR(AD773="",ISERROR(AD773)),
"-",
_xlfn.UNIQUE(_xlfn._xlws.FILTER([1]Sheet1!$D$2:$D$200,ISNUMBER(SEARCH(AD773,[1]Sheet1!$D$2:$D$200))))
)</f>
        <v>-</v>
      </c>
      <c r="X773" s="23">
        <f t="shared" si="27"/>
        <v>0</v>
      </c>
      <c r="Z773" s="19"/>
      <c r="AA773" s="19"/>
      <c r="AC773" s="17" t="str">
        <f t="shared" si="28"/>
        <v>Y</v>
      </c>
      <c r="AD773" s="17"/>
      <c r="AF773" s="27"/>
      <c r="AG773" s="27"/>
    </row>
    <row r="774" spans="3:33" ht="34.950000000000003" customHeight="1" x14ac:dyDescent="0.4">
      <c r="C774" s="17"/>
      <c r="I774" s="19"/>
      <c r="J774" s="16" t="str">
        <f>IFERROR(VLOOKUP(I774,[1]Sheet1!$A$1:$B$200,2,0),"_")</f>
        <v>_</v>
      </c>
      <c r="K774" s="19"/>
      <c r="L774" s="16" t="str">
        <f>IFERROR(VLOOKUP(K774,[1]Sheet1!$A$1:$B$200,2,0),"-")</f>
        <v>-</v>
      </c>
      <c r="M774" s="19"/>
      <c r="N774" s="16" t="str">
        <f>IFERROR(VLOOKUP(M774,[1]Sheet1!$G$2:$H$200,2,0),"-")</f>
        <v>-</v>
      </c>
      <c r="P774" s="17"/>
      <c r="Q774" s="20"/>
      <c r="R774" s="20"/>
      <c r="S774" s="21" t="str" cm="1">
        <f t="array" ref="S774">IF(
OR(AD774="",ISERROR(AD774)),
"-",
_xlfn.UNIQUE(_xlfn._xlws.FILTER([1]Sheet1!$D$2:$D$200,ISNUMBER(SEARCH(AD774,[1]Sheet1!$D$2:$D$200))))
)</f>
        <v>-</v>
      </c>
      <c r="T774" s="22"/>
      <c r="U774" s="16" t="str" cm="1">
        <f t="array" ref="U774">IF(
OR(AD774="",ISERROR(AD774)),
"-",
_xlfn.UNIQUE(_xlfn._xlws.FILTER([1]Sheet1!$D$2:$D$200,ISNUMBER(SEARCH(AD774,[1]Sheet1!$D$2:$D$200))))
)</f>
        <v>-</v>
      </c>
      <c r="X774" s="23">
        <f t="shared" si="27"/>
        <v>0</v>
      </c>
      <c r="Z774" s="19"/>
      <c r="AA774" s="19"/>
      <c r="AC774" s="17" t="str">
        <f t="shared" si="28"/>
        <v>Y</v>
      </c>
      <c r="AD774" s="17"/>
      <c r="AF774" s="27"/>
      <c r="AG774" s="27"/>
    </row>
    <row r="775" spans="3:33" ht="34.950000000000003" customHeight="1" x14ac:dyDescent="0.4">
      <c r="C775" s="17"/>
      <c r="I775" s="19"/>
      <c r="J775" s="16" t="str">
        <f>IFERROR(VLOOKUP(I775,[1]Sheet1!$A$1:$B$200,2,0),"_")</f>
        <v>_</v>
      </c>
      <c r="K775" s="19"/>
      <c r="L775" s="16" t="str">
        <f>IFERROR(VLOOKUP(K775,[1]Sheet1!$A$1:$B$200,2,0),"-")</f>
        <v>-</v>
      </c>
      <c r="M775" s="19"/>
      <c r="N775" s="16" t="str">
        <f>IFERROR(VLOOKUP(M775,[1]Sheet1!$G$2:$H$200,2,0),"-")</f>
        <v>-</v>
      </c>
      <c r="P775" s="17"/>
      <c r="Q775" s="20"/>
      <c r="R775" s="20"/>
      <c r="S775" s="21" t="str" cm="1">
        <f t="array" ref="S775">IF(
OR(AD775="",ISERROR(AD775)),
"-",
_xlfn.UNIQUE(_xlfn._xlws.FILTER([1]Sheet1!$D$2:$D$200,ISNUMBER(SEARCH(AD775,[1]Sheet1!$D$2:$D$200))))
)</f>
        <v>-</v>
      </c>
      <c r="T775" s="22"/>
      <c r="U775" s="16" t="str" cm="1">
        <f t="array" ref="U775">IF(
OR(AD775="",ISERROR(AD775)),
"-",
_xlfn.UNIQUE(_xlfn._xlws.FILTER([1]Sheet1!$D$2:$D$200,ISNUMBER(SEARCH(AD775,[1]Sheet1!$D$2:$D$200))))
)</f>
        <v>-</v>
      </c>
      <c r="X775" s="23">
        <f t="shared" si="27"/>
        <v>0</v>
      </c>
      <c r="Z775" s="19"/>
      <c r="AA775" s="19"/>
      <c r="AC775" s="17" t="str">
        <f t="shared" si="28"/>
        <v>Y</v>
      </c>
      <c r="AD775" s="17"/>
      <c r="AF775" s="27"/>
      <c r="AG775" s="27"/>
    </row>
    <row r="776" spans="3:33" ht="34.950000000000003" customHeight="1" x14ac:dyDescent="0.4">
      <c r="C776" s="17"/>
      <c r="I776" s="19"/>
      <c r="J776" s="16" t="str">
        <f>IFERROR(VLOOKUP(I776,[1]Sheet1!$A$1:$B$200,2,0),"_")</f>
        <v>_</v>
      </c>
      <c r="K776" s="19"/>
      <c r="L776" s="16" t="str">
        <f>IFERROR(VLOOKUP(K776,[1]Sheet1!$A$1:$B$200,2,0),"-")</f>
        <v>-</v>
      </c>
      <c r="M776" s="19"/>
      <c r="N776" s="16" t="str">
        <f>IFERROR(VLOOKUP(M776,[1]Sheet1!$G$2:$H$200,2,0),"-")</f>
        <v>-</v>
      </c>
      <c r="P776" s="17"/>
      <c r="Q776" s="20"/>
      <c r="R776" s="20"/>
      <c r="S776" s="21" t="str" cm="1">
        <f t="array" ref="S776">IF(
OR(AD776="",ISERROR(AD776)),
"-",
_xlfn.UNIQUE(_xlfn._xlws.FILTER([1]Sheet1!$D$2:$D$200,ISNUMBER(SEARCH(AD776,[1]Sheet1!$D$2:$D$200))))
)</f>
        <v>-</v>
      </c>
      <c r="T776" s="22"/>
      <c r="U776" s="16" t="str" cm="1">
        <f t="array" ref="U776">IF(
OR(AD776="",ISERROR(AD776)),
"-",
_xlfn.UNIQUE(_xlfn._xlws.FILTER([1]Sheet1!$D$2:$D$200,ISNUMBER(SEARCH(AD776,[1]Sheet1!$D$2:$D$200))))
)</f>
        <v>-</v>
      </c>
      <c r="X776" s="23">
        <f t="shared" si="27"/>
        <v>0</v>
      </c>
      <c r="Z776" s="19"/>
      <c r="AA776" s="19"/>
      <c r="AC776" s="17" t="str">
        <f t="shared" si="28"/>
        <v>Y</v>
      </c>
      <c r="AD776" s="17"/>
      <c r="AF776" s="27"/>
      <c r="AG776" s="27"/>
    </row>
    <row r="777" spans="3:33" ht="34.950000000000003" customHeight="1" x14ac:dyDescent="0.4">
      <c r="C777" s="17"/>
      <c r="I777" s="19"/>
      <c r="J777" s="16" t="str">
        <f>IFERROR(VLOOKUP(I777,[1]Sheet1!$A$1:$B$200,2,0),"_")</f>
        <v>_</v>
      </c>
      <c r="K777" s="19"/>
      <c r="L777" s="16" t="str">
        <f>IFERROR(VLOOKUP(K777,[1]Sheet1!$A$1:$B$200,2,0),"-")</f>
        <v>-</v>
      </c>
      <c r="M777" s="19"/>
      <c r="N777" s="16" t="str">
        <f>IFERROR(VLOOKUP(M777,[1]Sheet1!$G$2:$H$200,2,0),"-")</f>
        <v>-</v>
      </c>
      <c r="P777" s="17"/>
      <c r="Q777" s="20"/>
      <c r="R777" s="20"/>
      <c r="S777" s="21" t="str" cm="1">
        <f t="array" ref="S777">IF(
OR(AD777="",ISERROR(AD777)),
"-",
_xlfn.UNIQUE(_xlfn._xlws.FILTER([1]Sheet1!$D$2:$D$200,ISNUMBER(SEARCH(AD777,[1]Sheet1!$D$2:$D$200))))
)</f>
        <v>-</v>
      </c>
      <c r="T777" s="22"/>
      <c r="U777" s="16" t="str" cm="1">
        <f t="array" ref="U777">IF(
OR(AD777="",ISERROR(AD777)),
"-",
_xlfn.UNIQUE(_xlfn._xlws.FILTER([1]Sheet1!$D$2:$D$200,ISNUMBER(SEARCH(AD777,[1]Sheet1!$D$2:$D$200))))
)</f>
        <v>-</v>
      </c>
      <c r="X777" s="23">
        <f t="shared" si="27"/>
        <v>0</v>
      </c>
      <c r="Z777" s="19"/>
      <c r="AA777" s="19"/>
      <c r="AC777" s="17" t="str">
        <f t="shared" si="28"/>
        <v>Y</v>
      </c>
      <c r="AD777" s="17"/>
      <c r="AF777" s="27"/>
      <c r="AG777" s="27"/>
    </row>
    <row r="778" spans="3:33" ht="34.950000000000003" customHeight="1" x14ac:dyDescent="0.4">
      <c r="C778" s="17"/>
      <c r="I778" s="19"/>
      <c r="J778" s="16" t="str">
        <f>IFERROR(VLOOKUP(I778,[1]Sheet1!$A$1:$B$200,2,0),"_")</f>
        <v>_</v>
      </c>
      <c r="K778" s="19"/>
      <c r="L778" s="16" t="str">
        <f>IFERROR(VLOOKUP(K778,[1]Sheet1!$A$1:$B$200,2,0),"-")</f>
        <v>-</v>
      </c>
      <c r="M778" s="19"/>
      <c r="N778" s="16" t="str">
        <f>IFERROR(VLOOKUP(M778,[1]Sheet1!$G$2:$H$200,2,0),"-")</f>
        <v>-</v>
      </c>
      <c r="P778" s="17"/>
      <c r="Q778" s="20"/>
      <c r="R778" s="20"/>
      <c r="S778" s="21" t="str" cm="1">
        <f t="array" ref="S778">IF(
OR(AD778="",ISERROR(AD778)),
"-",
_xlfn.UNIQUE(_xlfn._xlws.FILTER([1]Sheet1!$D$2:$D$200,ISNUMBER(SEARCH(AD778,[1]Sheet1!$D$2:$D$200))))
)</f>
        <v>-</v>
      </c>
      <c r="T778" s="22"/>
      <c r="U778" s="16" t="str" cm="1">
        <f t="array" ref="U778">IF(
OR(AD778="",ISERROR(AD778)),
"-",
_xlfn.UNIQUE(_xlfn._xlws.FILTER([1]Sheet1!$D$2:$D$200,ISNUMBER(SEARCH(AD778,[1]Sheet1!$D$2:$D$200))))
)</f>
        <v>-</v>
      </c>
      <c r="X778" s="23">
        <f t="shared" si="27"/>
        <v>0</v>
      </c>
      <c r="Z778" s="19"/>
      <c r="AA778" s="19"/>
      <c r="AC778" s="17" t="str">
        <f t="shared" si="28"/>
        <v>Y</v>
      </c>
      <c r="AD778" s="17"/>
      <c r="AF778" s="27"/>
      <c r="AG778" s="27"/>
    </row>
    <row r="779" spans="3:33" ht="34.950000000000003" customHeight="1" x14ac:dyDescent="0.4">
      <c r="C779" s="17"/>
      <c r="I779" s="19"/>
      <c r="J779" s="16" t="str">
        <f>IFERROR(VLOOKUP(I779,[1]Sheet1!$A$1:$B$200,2,0),"_")</f>
        <v>_</v>
      </c>
      <c r="K779" s="19"/>
      <c r="L779" s="16" t="str">
        <f>IFERROR(VLOOKUP(K779,[1]Sheet1!$A$1:$B$200,2,0),"-")</f>
        <v>-</v>
      </c>
      <c r="M779" s="19"/>
      <c r="N779" s="16" t="str">
        <f>IFERROR(VLOOKUP(M779,[1]Sheet1!$G$2:$H$200,2,0),"-")</f>
        <v>-</v>
      </c>
      <c r="P779" s="17"/>
      <c r="Q779" s="20"/>
      <c r="R779" s="20"/>
      <c r="S779" s="21" t="str" cm="1">
        <f t="array" ref="S779">IF(
OR(AD779="",ISERROR(AD779)),
"-",
_xlfn.UNIQUE(_xlfn._xlws.FILTER([1]Sheet1!$D$2:$D$200,ISNUMBER(SEARCH(AD779,[1]Sheet1!$D$2:$D$200))))
)</f>
        <v>-</v>
      </c>
      <c r="T779" s="22"/>
      <c r="U779" s="16" t="str" cm="1">
        <f t="array" ref="U779">IF(
OR(AD779="",ISERROR(AD779)),
"-",
_xlfn.UNIQUE(_xlfn._xlws.FILTER([1]Sheet1!$D$2:$D$200,ISNUMBER(SEARCH(AD779,[1]Sheet1!$D$2:$D$200))))
)</f>
        <v>-</v>
      </c>
      <c r="X779" s="23">
        <f t="shared" si="27"/>
        <v>0</v>
      </c>
      <c r="Z779" s="19"/>
      <c r="AA779" s="19"/>
      <c r="AC779" s="17" t="str">
        <f t="shared" si="28"/>
        <v>Y</v>
      </c>
      <c r="AD779" s="17"/>
      <c r="AF779" s="27"/>
      <c r="AG779" s="27"/>
    </row>
    <row r="780" spans="3:33" ht="34.950000000000003" customHeight="1" x14ac:dyDescent="0.4">
      <c r="C780" s="17"/>
      <c r="I780" s="19"/>
      <c r="J780" s="16" t="str">
        <f>IFERROR(VLOOKUP(I780,[1]Sheet1!$A$1:$B$200,2,0),"_")</f>
        <v>_</v>
      </c>
      <c r="K780" s="19"/>
      <c r="L780" s="16" t="str">
        <f>IFERROR(VLOOKUP(K780,[1]Sheet1!$A$1:$B$200,2,0),"-")</f>
        <v>-</v>
      </c>
      <c r="M780" s="19"/>
      <c r="N780" s="16" t="str">
        <f>IFERROR(VLOOKUP(M780,[1]Sheet1!$G$2:$H$200,2,0),"-")</f>
        <v>-</v>
      </c>
      <c r="P780" s="17"/>
      <c r="Q780" s="20"/>
      <c r="R780" s="20"/>
      <c r="S780" s="21" t="str" cm="1">
        <f t="array" ref="S780">IF(
OR(AD780="",ISERROR(AD780)),
"-",
_xlfn.UNIQUE(_xlfn._xlws.FILTER([1]Sheet1!$D$2:$D$200,ISNUMBER(SEARCH(AD780,[1]Sheet1!$D$2:$D$200))))
)</f>
        <v>-</v>
      </c>
      <c r="T780" s="22"/>
      <c r="U780" s="16" t="str" cm="1">
        <f t="array" ref="U780">IF(
OR(AD780="",ISERROR(AD780)),
"-",
_xlfn.UNIQUE(_xlfn._xlws.FILTER([1]Sheet1!$D$2:$D$200,ISNUMBER(SEARCH(AD780,[1]Sheet1!$D$2:$D$200))))
)</f>
        <v>-</v>
      </c>
      <c r="X780" s="23">
        <f t="shared" si="27"/>
        <v>0</v>
      </c>
      <c r="Z780" s="19"/>
      <c r="AA780" s="19"/>
      <c r="AC780" s="17" t="str">
        <f t="shared" si="28"/>
        <v>Y</v>
      </c>
      <c r="AD780" s="17"/>
      <c r="AF780" s="27"/>
      <c r="AG780" s="27"/>
    </row>
    <row r="781" spans="3:33" ht="34.950000000000003" customHeight="1" x14ac:dyDescent="0.4">
      <c r="C781" s="17"/>
      <c r="I781" s="19"/>
      <c r="J781" s="16" t="str">
        <f>IFERROR(VLOOKUP(I781,[1]Sheet1!$A$1:$B$200,2,0),"_")</f>
        <v>_</v>
      </c>
      <c r="K781" s="19"/>
      <c r="L781" s="16" t="str">
        <f>IFERROR(VLOOKUP(K781,[1]Sheet1!$A$1:$B$200,2,0),"-")</f>
        <v>-</v>
      </c>
      <c r="M781" s="19"/>
      <c r="N781" s="16" t="str">
        <f>IFERROR(VLOOKUP(M781,[1]Sheet1!$G$2:$H$200,2,0),"-")</f>
        <v>-</v>
      </c>
      <c r="P781" s="17"/>
      <c r="Q781" s="20"/>
      <c r="R781" s="20"/>
      <c r="S781" s="21" t="str" cm="1">
        <f t="array" ref="S781">IF(
OR(AD781="",ISERROR(AD781)),
"-",
_xlfn.UNIQUE(_xlfn._xlws.FILTER([1]Sheet1!$D$2:$D$200,ISNUMBER(SEARCH(AD781,[1]Sheet1!$D$2:$D$200))))
)</f>
        <v>-</v>
      </c>
      <c r="T781" s="22"/>
      <c r="U781" s="16" t="str" cm="1">
        <f t="array" ref="U781">IF(
OR(AD781="",ISERROR(AD781)),
"-",
_xlfn.UNIQUE(_xlfn._xlws.FILTER([1]Sheet1!$D$2:$D$200,ISNUMBER(SEARCH(AD781,[1]Sheet1!$D$2:$D$200))))
)</f>
        <v>-</v>
      </c>
      <c r="X781" s="23">
        <f t="shared" si="27"/>
        <v>0</v>
      </c>
      <c r="Z781" s="19"/>
      <c r="AA781" s="19"/>
      <c r="AC781" s="17" t="str">
        <f t="shared" si="28"/>
        <v>Y</v>
      </c>
      <c r="AD781" s="17"/>
      <c r="AF781" s="27"/>
      <c r="AG781" s="27"/>
    </row>
    <row r="782" spans="3:33" ht="34.950000000000003" customHeight="1" x14ac:dyDescent="0.4">
      <c r="C782" s="17"/>
      <c r="I782" s="19"/>
      <c r="J782" s="16" t="str">
        <f>IFERROR(VLOOKUP(I782,[1]Sheet1!$A$1:$B$200,2,0),"_")</f>
        <v>_</v>
      </c>
      <c r="K782" s="19"/>
      <c r="L782" s="16" t="str">
        <f>IFERROR(VLOOKUP(K782,[1]Sheet1!$A$1:$B$200,2,0),"-")</f>
        <v>-</v>
      </c>
      <c r="M782" s="19"/>
      <c r="N782" s="16" t="str">
        <f>IFERROR(VLOOKUP(M782,[1]Sheet1!$G$2:$H$200,2,0),"-")</f>
        <v>-</v>
      </c>
      <c r="P782" s="17"/>
      <c r="Q782" s="20"/>
      <c r="R782" s="20"/>
      <c r="S782" s="21" t="str" cm="1">
        <f t="array" ref="S782">IF(
OR(AD782="",ISERROR(AD782)),
"-",
_xlfn.UNIQUE(_xlfn._xlws.FILTER([1]Sheet1!$D$2:$D$200,ISNUMBER(SEARCH(AD782,[1]Sheet1!$D$2:$D$200))))
)</f>
        <v>-</v>
      </c>
      <c r="T782" s="22"/>
      <c r="U782" s="16" t="str" cm="1">
        <f t="array" ref="U782">IF(
OR(AD782="",ISERROR(AD782)),
"-",
_xlfn.UNIQUE(_xlfn._xlws.FILTER([1]Sheet1!$D$2:$D$200,ISNUMBER(SEARCH(AD782,[1]Sheet1!$D$2:$D$200))))
)</f>
        <v>-</v>
      </c>
      <c r="X782" s="23">
        <f t="shared" si="27"/>
        <v>0</v>
      </c>
      <c r="Z782" s="19"/>
      <c r="AA782" s="19"/>
      <c r="AC782" s="17" t="str">
        <f t="shared" si="28"/>
        <v>Y</v>
      </c>
      <c r="AD782" s="17"/>
      <c r="AF782" s="27"/>
      <c r="AG782" s="27"/>
    </row>
    <row r="783" spans="3:33" ht="34.950000000000003" customHeight="1" x14ac:dyDescent="0.4">
      <c r="C783" s="17"/>
      <c r="I783" s="19"/>
      <c r="J783" s="16" t="str">
        <f>IFERROR(VLOOKUP(I783,[1]Sheet1!$A$1:$B$200,2,0),"_")</f>
        <v>_</v>
      </c>
      <c r="K783" s="19"/>
      <c r="L783" s="16" t="str">
        <f>IFERROR(VLOOKUP(K783,[1]Sheet1!$A$1:$B$200,2,0),"-")</f>
        <v>-</v>
      </c>
      <c r="M783" s="19"/>
      <c r="N783" s="16" t="str">
        <f>IFERROR(VLOOKUP(M783,[1]Sheet1!$G$2:$H$200,2,0),"-")</f>
        <v>-</v>
      </c>
      <c r="P783" s="17"/>
      <c r="Q783" s="20"/>
      <c r="R783" s="20"/>
      <c r="S783" s="21" t="str" cm="1">
        <f t="array" ref="S783">IF(
OR(AD783="",ISERROR(AD783)),
"-",
_xlfn.UNIQUE(_xlfn._xlws.FILTER([1]Sheet1!$D$2:$D$200,ISNUMBER(SEARCH(AD783,[1]Sheet1!$D$2:$D$200))))
)</f>
        <v>-</v>
      </c>
      <c r="T783" s="22"/>
      <c r="U783" s="16" t="str" cm="1">
        <f t="array" ref="U783">IF(
OR(AD783="",ISERROR(AD783)),
"-",
_xlfn.UNIQUE(_xlfn._xlws.FILTER([1]Sheet1!$D$2:$D$200,ISNUMBER(SEARCH(AD783,[1]Sheet1!$D$2:$D$200))))
)</f>
        <v>-</v>
      </c>
      <c r="X783" s="23">
        <f t="shared" si="27"/>
        <v>0</v>
      </c>
      <c r="Z783" s="19"/>
      <c r="AA783" s="19"/>
      <c r="AC783" s="17" t="str">
        <f t="shared" si="28"/>
        <v>Y</v>
      </c>
      <c r="AD783" s="17"/>
      <c r="AF783" s="27"/>
      <c r="AG783" s="27"/>
    </row>
    <row r="784" spans="3:33" ht="34.950000000000003" customHeight="1" x14ac:dyDescent="0.4">
      <c r="C784" s="17"/>
      <c r="I784" s="19"/>
      <c r="J784" s="16" t="str">
        <f>IFERROR(VLOOKUP(I784,[1]Sheet1!$A$1:$B$200,2,0),"_")</f>
        <v>_</v>
      </c>
      <c r="K784" s="19"/>
      <c r="L784" s="16" t="str">
        <f>IFERROR(VLOOKUP(K784,[1]Sheet1!$A$1:$B$200,2,0),"-")</f>
        <v>-</v>
      </c>
      <c r="M784" s="19"/>
      <c r="N784" s="16" t="str">
        <f>IFERROR(VLOOKUP(M784,[1]Sheet1!$G$2:$H$200,2,0),"-")</f>
        <v>-</v>
      </c>
      <c r="P784" s="17"/>
      <c r="Q784" s="20"/>
      <c r="R784" s="20"/>
      <c r="S784" s="21" t="str" cm="1">
        <f t="array" ref="S784">IF(
OR(AD784="",ISERROR(AD784)),
"-",
_xlfn.UNIQUE(_xlfn._xlws.FILTER([1]Sheet1!$D$2:$D$200,ISNUMBER(SEARCH(AD784,[1]Sheet1!$D$2:$D$200))))
)</f>
        <v>-</v>
      </c>
      <c r="T784" s="22"/>
      <c r="U784" s="16" t="str" cm="1">
        <f t="array" ref="U784">IF(
OR(AD784="",ISERROR(AD784)),
"-",
_xlfn.UNIQUE(_xlfn._xlws.FILTER([1]Sheet1!$D$2:$D$200,ISNUMBER(SEARCH(AD784,[1]Sheet1!$D$2:$D$200))))
)</f>
        <v>-</v>
      </c>
      <c r="X784" s="23">
        <f t="shared" si="27"/>
        <v>0</v>
      </c>
      <c r="Z784" s="19"/>
      <c r="AA784" s="19"/>
      <c r="AC784" s="17" t="str">
        <f t="shared" si="28"/>
        <v>Y</v>
      </c>
      <c r="AD784" s="17"/>
      <c r="AF784" s="27"/>
      <c r="AG784" s="27"/>
    </row>
    <row r="785" spans="3:33" ht="34.950000000000003" customHeight="1" x14ac:dyDescent="0.4">
      <c r="C785" s="17"/>
      <c r="I785" s="19"/>
      <c r="J785" s="16" t="str">
        <f>IFERROR(VLOOKUP(I785,[1]Sheet1!$A$1:$B$200,2,0),"_")</f>
        <v>_</v>
      </c>
      <c r="K785" s="19"/>
      <c r="L785" s="16" t="str">
        <f>IFERROR(VLOOKUP(K785,[1]Sheet1!$A$1:$B$200,2,0),"-")</f>
        <v>-</v>
      </c>
      <c r="M785" s="19"/>
      <c r="N785" s="16" t="str">
        <f>IFERROR(VLOOKUP(M785,[1]Sheet1!$G$2:$H$200,2,0),"-")</f>
        <v>-</v>
      </c>
      <c r="P785" s="17"/>
      <c r="Q785" s="20"/>
      <c r="R785" s="20"/>
      <c r="S785" s="21" t="str" cm="1">
        <f t="array" ref="S785">IF(
OR(AD785="",ISERROR(AD785)),
"-",
_xlfn.UNIQUE(_xlfn._xlws.FILTER([1]Sheet1!$D$2:$D$200,ISNUMBER(SEARCH(AD785,[1]Sheet1!$D$2:$D$200))))
)</f>
        <v>-</v>
      </c>
      <c r="T785" s="22"/>
      <c r="U785" s="16" t="str" cm="1">
        <f t="array" ref="U785">IF(
OR(AD785="",ISERROR(AD785)),
"-",
_xlfn.UNIQUE(_xlfn._xlws.FILTER([1]Sheet1!$D$2:$D$200,ISNUMBER(SEARCH(AD785,[1]Sheet1!$D$2:$D$200))))
)</f>
        <v>-</v>
      </c>
      <c r="X785" s="23">
        <f t="shared" si="27"/>
        <v>0</v>
      </c>
      <c r="Z785" s="19"/>
      <c r="AA785" s="19"/>
      <c r="AC785" s="17" t="str">
        <f t="shared" si="28"/>
        <v>Y</v>
      </c>
      <c r="AD785" s="17"/>
      <c r="AF785" s="27"/>
      <c r="AG785" s="27"/>
    </row>
    <row r="786" spans="3:33" ht="34.950000000000003" customHeight="1" x14ac:dyDescent="0.4">
      <c r="C786" s="17"/>
      <c r="I786" s="19"/>
      <c r="J786" s="16" t="str">
        <f>IFERROR(VLOOKUP(I786,[1]Sheet1!$A$1:$B$200,2,0),"_")</f>
        <v>_</v>
      </c>
      <c r="K786" s="19"/>
      <c r="L786" s="16" t="str">
        <f>IFERROR(VLOOKUP(K786,[1]Sheet1!$A$1:$B$200,2,0),"-")</f>
        <v>-</v>
      </c>
      <c r="M786" s="19"/>
      <c r="N786" s="16" t="str">
        <f>IFERROR(VLOOKUP(M786,[1]Sheet1!$G$2:$H$200,2,0),"-")</f>
        <v>-</v>
      </c>
      <c r="P786" s="17"/>
      <c r="Q786" s="20"/>
      <c r="R786" s="20"/>
      <c r="S786" s="21" t="str" cm="1">
        <f t="array" ref="S786">IF(
OR(AD786="",ISERROR(AD786)),
"-",
_xlfn.UNIQUE(_xlfn._xlws.FILTER([1]Sheet1!$D$2:$D$200,ISNUMBER(SEARCH(AD786,[1]Sheet1!$D$2:$D$200))))
)</f>
        <v>-</v>
      </c>
      <c r="T786" s="22"/>
      <c r="U786" s="16" t="str" cm="1">
        <f t="array" ref="U786">IF(
OR(AD786="",ISERROR(AD786)),
"-",
_xlfn.UNIQUE(_xlfn._xlws.FILTER([1]Sheet1!$D$2:$D$200,ISNUMBER(SEARCH(AD786,[1]Sheet1!$D$2:$D$200))))
)</f>
        <v>-</v>
      </c>
      <c r="X786" s="23">
        <f t="shared" si="27"/>
        <v>0</v>
      </c>
      <c r="Z786" s="19"/>
      <c r="AA786" s="19"/>
      <c r="AC786" s="17" t="str">
        <f t="shared" si="28"/>
        <v>Y</v>
      </c>
      <c r="AD786" s="17"/>
      <c r="AF786" s="27"/>
      <c r="AG786" s="27"/>
    </row>
    <row r="787" spans="3:33" ht="34.950000000000003" customHeight="1" x14ac:dyDescent="0.4">
      <c r="C787" s="17"/>
      <c r="I787" s="19"/>
      <c r="J787" s="16" t="str">
        <f>IFERROR(VLOOKUP(I787,[1]Sheet1!$A$1:$B$200,2,0),"_")</f>
        <v>_</v>
      </c>
      <c r="K787" s="19"/>
      <c r="L787" s="16" t="str">
        <f>IFERROR(VLOOKUP(K787,[1]Sheet1!$A$1:$B$200,2,0),"-")</f>
        <v>-</v>
      </c>
      <c r="M787" s="19"/>
      <c r="N787" s="16" t="str">
        <f>IFERROR(VLOOKUP(M787,[1]Sheet1!$G$2:$H$200,2,0),"-")</f>
        <v>-</v>
      </c>
      <c r="P787" s="17"/>
      <c r="Q787" s="20"/>
      <c r="R787" s="20"/>
      <c r="S787" s="21" t="str" cm="1">
        <f t="array" ref="S787">IF(
OR(AD787="",ISERROR(AD787)),
"-",
_xlfn.UNIQUE(_xlfn._xlws.FILTER([1]Sheet1!$D$2:$D$200,ISNUMBER(SEARCH(AD787,[1]Sheet1!$D$2:$D$200))))
)</f>
        <v>-</v>
      </c>
      <c r="T787" s="22"/>
      <c r="U787" s="16" t="str" cm="1">
        <f t="array" ref="U787">IF(
OR(AD787="",ISERROR(AD787)),
"-",
_xlfn.UNIQUE(_xlfn._xlws.FILTER([1]Sheet1!$D$2:$D$200,ISNUMBER(SEARCH(AD787,[1]Sheet1!$D$2:$D$200))))
)</f>
        <v>-</v>
      </c>
      <c r="X787" s="23">
        <f t="shared" si="27"/>
        <v>0</v>
      </c>
      <c r="Z787" s="19"/>
      <c r="AA787" s="19"/>
      <c r="AC787" s="17" t="str">
        <f t="shared" si="28"/>
        <v>Y</v>
      </c>
      <c r="AD787" s="17"/>
      <c r="AF787" s="27"/>
      <c r="AG787" s="27"/>
    </row>
    <row r="788" spans="3:33" ht="34.950000000000003" customHeight="1" x14ac:dyDescent="0.4">
      <c r="C788" s="17"/>
      <c r="I788" s="19"/>
      <c r="J788" s="16" t="str">
        <f>IFERROR(VLOOKUP(I788,[1]Sheet1!$A$1:$B$200,2,0),"_")</f>
        <v>_</v>
      </c>
      <c r="K788" s="19"/>
      <c r="L788" s="16" t="str">
        <f>IFERROR(VLOOKUP(K788,[1]Sheet1!$A$1:$B$200,2,0),"-")</f>
        <v>-</v>
      </c>
      <c r="M788" s="19"/>
      <c r="N788" s="16" t="str">
        <f>IFERROR(VLOOKUP(M788,[1]Sheet1!$G$2:$H$200,2,0),"-")</f>
        <v>-</v>
      </c>
      <c r="P788" s="17"/>
      <c r="Q788" s="20"/>
      <c r="R788" s="20"/>
      <c r="S788" s="21" t="str" cm="1">
        <f t="array" ref="S788">IF(
OR(AD788="",ISERROR(AD788)),
"-",
_xlfn.UNIQUE(_xlfn._xlws.FILTER([1]Sheet1!$D$2:$D$200,ISNUMBER(SEARCH(AD788,[1]Sheet1!$D$2:$D$200))))
)</f>
        <v>-</v>
      </c>
      <c r="T788" s="22"/>
      <c r="U788" s="16" t="str" cm="1">
        <f t="array" ref="U788">IF(
OR(AD788="",ISERROR(AD788)),
"-",
_xlfn.UNIQUE(_xlfn._xlws.FILTER([1]Sheet1!$D$2:$D$200,ISNUMBER(SEARCH(AD788,[1]Sheet1!$D$2:$D$200))))
)</f>
        <v>-</v>
      </c>
      <c r="X788" s="23">
        <f t="shared" si="27"/>
        <v>0</v>
      </c>
      <c r="Z788" s="19"/>
      <c r="AA788" s="19"/>
      <c r="AC788" s="17" t="str">
        <f t="shared" si="28"/>
        <v>Y</v>
      </c>
      <c r="AD788" s="17"/>
      <c r="AF788" s="27"/>
      <c r="AG788" s="27"/>
    </row>
    <row r="789" spans="3:33" ht="34.950000000000003" customHeight="1" x14ac:dyDescent="0.4">
      <c r="C789" s="17"/>
      <c r="I789" s="19"/>
      <c r="J789" s="16" t="str">
        <f>IFERROR(VLOOKUP(I789,[1]Sheet1!$A$1:$B$200,2,0),"_")</f>
        <v>_</v>
      </c>
      <c r="K789" s="19"/>
      <c r="L789" s="16" t="str">
        <f>IFERROR(VLOOKUP(K789,[1]Sheet1!$A$1:$B$200,2,0),"-")</f>
        <v>-</v>
      </c>
      <c r="M789" s="19"/>
      <c r="N789" s="16" t="str">
        <f>IFERROR(VLOOKUP(M789,[1]Sheet1!$G$2:$H$200,2,0),"-")</f>
        <v>-</v>
      </c>
      <c r="P789" s="17"/>
      <c r="Q789" s="20"/>
      <c r="R789" s="20"/>
      <c r="S789" s="21" t="str" cm="1">
        <f t="array" ref="S789">IF(
OR(AD789="",ISERROR(AD789)),
"-",
_xlfn.UNIQUE(_xlfn._xlws.FILTER([1]Sheet1!$D$2:$D$200,ISNUMBER(SEARCH(AD789,[1]Sheet1!$D$2:$D$200))))
)</f>
        <v>-</v>
      </c>
      <c r="T789" s="22"/>
      <c r="U789" s="16" t="str" cm="1">
        <f t="array" ref="U789">IF(
OR(AD789="",ISERROR(AD789)),
"-",
_xlfn.UNIQUE(_xlfn._xlws.FILTER([1]Sheet1!$D$2:$D$200,ISNUMBER(SEARCH(AD789,[1]Sheet1!$D$2:$D$200))))
)</f>
        <v>-</v>
      </c>
      <c r="X789" s="23">
        <f t="shared" si="27"/>
        <v>0</v>
      </c>
      <c r="Z789" s="19"/>
      <c r="AA789" s="19"/>
      <c r="AC789" s="17" t="str">
        <f t="shared" si="28"/>
        <v>Y</v>
      </c>
      <c r="AD789" s="17"/>
      <c r="AF789" s="27"/>
      <c r="AG789" s="27"/>
    </row>
    <row r="790" spans="3:33" ht="34.950000000000003" customHeight="1" x14ac:dyDescent="0.4">
      <c r="C790" s="17"/>
      <c r="I790" s="19"/>
      <c r="J790" s="16" t="str">
        <f>IFERROR(VLOOKUP(I790,[1]Sheet1!$A$1:$B$200,2,0),"_")</f>
        <v>_</v>
      </c>
      <c r="K790" s="19"/>
      <c r="L790" s="16" t="str">
        <f>IFERROR(VLOOKUP(K790,[1]Sheet1!$A$1:$B$200,2,0),"-")</f>
        <v>-</v>
      </c>
      <c r="M790" s="19"/>
      <c r="N790" s="16" t="str">
        <f>IFERROR(VLOOKUP(M790,[1]Sheet1!$G$2:$H$200,2,0),"-")</f>
        <v>-</v>
      </c>
      <c r="P790" s="17"/>
      <c r="Q790" s="20"/>
      <c r="R790" s="20"/>
      <c r="S790" s="21" t="str" cm="1">
        <f t="array" ref="S790">IF(
OR(AD790="",ISERROR(AD790)),
"-",
_xlfn.UNIQUE(_xlfn._xlws.FILTER([1]Sheet1!$D$2:$D$200,ISNUMBER(SEARCH(AD790,[1]Sheet1!$D$2:$D$200))))
)</f>
        <v>-</v>
      </c>
      <c r="T790" s="22"/>
      <c r="U790" s="16" t="str" cm="1">
        <f t="array" ref="U790">IF(
OR(AD790="",ISERROR(AD790)),
"-",
_xlfn.UNIQUE(_xlfn._xlws.FILTER([1]Sheet1!$D$2:$D$200,ISNUMBER(SEARCH(AD790,[1]Sheet1!$D$2:$D$200))))
)</f>
        <v>-</v>
      </c>
      <c r="X790" s="23">
        <f t="shared" si="27"/>
        <v>0</v>
      </c>
      <c r="Z790" s="19"/>
      <c r="AA790" s="19"/>
      <c r="AC790" s="17" t="str">
        <f t="shared" si="28"/>
        <v>Y</v>
      </c>
      <c r="AD790" s="17"/>
      <c r="AF790" s="27"/>
      <c r="AG790" s="27"/>
    </row>
    <row r="791" spans="3:33" ht="34.950000000000003" customHeight="1" x14ac:dyDescent="0.4">
      <c r="C791" s="17"/>
      <c r="I791" s="19"/>
      <c r="J791" s="16" t="str">
        <f>IFERROR(VLOOKUP(I791,[1]Sheet1!$A$1:$B$200,2,0),"_")</f>
        <v>_</v>
      </c>
      <c r="K791" s="19"/>
      <c r="L791" s="16" t="str">
        <f>IFERROR(VLOOKUP(K791,[1]Sheet1!$A$1:$B$200,2,0),"-")</f>
        <v>-</v>
      </c>
      <c r="M791" s="19"/>
      <c r="N791" s="16" t="str">
        <f>IFERROR(VLOOKUP(M791,[1]Sheet1!$G$2:$H$200,2,0),"-")</f>
        <v>-</v>
      </c>
      <c r="P791" s="17"/>
      <c r="Q791" s="20"/>
      <c r="R791" s="20"/>
      <c r="S791" s="21" t="str" cm="1">
        <f t="array" ref="S791">IF(
OR(AD791="",ISERROR(AD791)),
"-",
_xlfn.UNIQUE(_xlfn._xlws.FILTER([1]Sheet1!$D$2:$D$200,ISNUMBER(SEARCH(AD791,[1]Sheet1!$D$2:$D$200))))
)</f>
        <v>-</v>
      </c>
      <c r="T791" s="22"/>
      <c r="U791" s="16" t="str" cm="1">
        <f t="array" ref="U791">IF(
OR(AD791="",ISERROR(AD791)),
"-",
_xlfn.UNIQUE(_xlfn._xlws.FILTER([1]Sheet1!$D$2:$D$200,ISNUMBER(SEARCH(AD791,[1]Sheet1!$D$2:$D$200))))
)</f>
        <v>-</v>
      </c>
      <c r="X791" s="23">
        <f t="shared" si="27"/>
        <v>0</v>
      </c>
      <c r="Z791" s="19"/>
      <c r="AA791" s="19"/>
      <c r="AC791" s="17" t="str">
        <f t="shared" si="28"/>
        <v>Y</v>
      </c>
      <c r="AD791" s="17"/>
      <c r="AF791" s="27"/>
      <c r="AG791" s="27"/>
    </row>
    <row r="792" spans="3:33" ht="34.950000000000003" customHeight="1" x14ac:dyDescent="0.4">
      <c r="C792" s="17"/>
      <c r="I792" s="19"/>
      <c r="J792" s="16" t="str">
        <f>IFERROR(VLOOKUP(I792,[1]Sheet1!$A$1:$B$200,2,0),"_")</f>
        <v>_</v>
      </c>
      <c r="K792" s="19"/>
      <c r="L792" s="16" t="str">
        <f>IFERROR(VLOOKUP(K792,[1]Sheet1!$A$1:$B$200,2,0),"-")</f>
        <v>-</v>
      </c>
      <c r="M792" s="19"/>
      <c r="N792" s="16" t="str">
        <f>IFERROR(VLOOKUP(M792,[1]Sheet1!$G$2:$H$200,2,0),"-")</f>
        <v>-</v>
      </c>
      <c r="P792" s="17"/>
      <c r="Q792" s="20"/>
      <c r="R792" s="20"/>
      <c r="S792" s="21" t="str" cm="1">
        <f t="array" ref="S792">IF(
OR(AD792="",ISERROR(AD792)),
"-",
_xlfn.UNIQUE(_xlfn._xlws.FILTER([1]Sheet1!$D$2:$D$200,ISNUMBER(SEARCH(AD792,[1]Sheet1!$D$2:$D$200))))
)</f>
        <v>-</v>
      </c>
      <c r="T792" s="22"/>
      <c r="U792" s="16" t="str" cm="1">
        <f t="array" ref="U792">IF(
OR(AD792="",ISERROR(AD792)),
"-",
_xlfn.UNIQUE(_xlfn._xlws.FILTER([1]Sheet1!$D$2:$D$200,ISNUMBER(SEARCH(AD792,[1]Sheet1!$D$2:$D$200))))
)</f>
        <v>-</v>
      </c>
      <c r="X792" s="23">
        <f t="shared" si="27"/>
        <v>0</v>
      </c>
      <c r="Z792" s="19"/>
      <c r="AA792" s="19"/>
      <c r="AC792" s="17" t="str">
        <f t="shared" si="28"/>
        <v>Y</v>
      </c>
      <c r="AD792" s="17"/>
      <c r="AF792" s="27"/>
      <c r="AG792" s="27"/>
    </row>
    <row r="793" spans="3:33" ht="34.950000000000003" customHeight="1" x14ac:dyDescent="0.4">
      <c r="C793" s="17"/>
      <c r="I793" s="19"/>
      <c r="J793" s="16" t="str">
        <f>IFERROR(VLOOKUP(I793,[1]Sheet1!$A$1:$B$200,2,0),"_")</f>
        <v>_</v>
      </c>
      <c r="K793" s="19"/>
      <c r="L793" s="16" t="str">
        <f>IFERROR(VLOOKUP(K793,[1]Sheet1!$A$1:$B$200,2,0),"-")</f>
        <v>-</v>
      </c>
      <c r="M793" s="19"/>
      <c r="N793" s="16" t="str">
        <f>IFERROR(VLOOKUP(M793,[1]Sheet1!$G$2:$H$200,2,0),"-")</f>
        <v>-</v>
      </c>
      <c r="P793" s="17"/>
      <c r="Q793" s="20"/>
      <c r="R793" s="20"/>
      <c r="S793" s="21" t="str" cm="1">
        <f t="array" ref="S793">IF(
OR(AD793="",ISERROR(AD793)),
"-",
_xlfn.UNIQUE(_xlfn._xlws.FILTER([1]Sheet1!$D$2:$D$200,ISNUMBER(SEARCH(AD793,[1]Sheet1!$D$2:$D$200))))
)</f>
        <v>-</v>
      </c>
      <c r="T793" s="22"/>
      <c r="U793" s="16" t="str" cm="1">
        <f t="array" ref="U793">IF(
OR(AD793="",ISERROR(AD793)),
"-",
_xlfn.UNIQUE(_xlfn._xlws.FILTER([1]Sheet1!$D$2:$D$200,ISNUMBER(SEARCH(AD793,[1]Sheet1!$D$2:$D$200))))
)</f>
        <v>-</v>
      </c>
      <c r="X793" s="23">
        <f t="shared" si="27"/>
        <v>0</v>
      </c>
      <c r="Z793" s="19"/>
      <c r="AA793" s="19"/>
      <c r="AC793" s="17" t="str">
        <f t="shared" si="28"/>
        <v>Y</v>
      </c>
      <c r="AD793" s="17"/>
      <c r="AF793" s="27"/>
      <c r="AG793" s="27"/>
    </row>
    <row r="794" spans="3:33" ht="34.950000000000003" customHeight="1" x14ac:dyDescent="0.4">
      <c r="C794" s="17"/>
      <c r="I794" s="19"/>
      <c r="J794" s="16" t="str">
        <f>IFERROR(VLOOKUP(I794,[1]Sheet1!$A$1:$B$200,2,0),"_")</f>
        <v>_</v>
      </c>
      <c r="K794" s="19"/>
      <c r="L794" s="16" t="str">
        <f>IFERROR(VLOOKUP(K794,[1]Sheet1!$A$1:$B$200,2,0),"-")</f>
        <v>-</v>
      </c>
      <c r="M794" s="19"/>
      <c r="N794" s="16" t="str">
        <f>IFERROR(VLOOKUP(M794,[1]Sheet1!$G$2:$H$200,2,0),"-")</f>
        <v>-</v>
      </c>
      <c r="P794" s="17"/>
      <c r="Q794" s="20"/>
      <c r="R794" s="20"/>
      <c r="S794" s="21" t="str" cm="1">
        <f t="array" ref="S794">IF(
OR(AD794="",ISERROR(AD794)),
"-",
_xlfn.UNIQUE(_xlfn._xlws.FILTER([1]Sheet1!$D$2:$D$200,ISNUMBER(SEARCH(AD794,[1]Sheet1!$D$2:$D$200))))
)</f>
        <v>-</v>
      </c>
      <c r="T794" s="22"/>
      <c r="U794" s="16" t="str" cm="1">
        <f t="array" ref="U794">IF(
OR(AD794="",ISERROR(AD794)),
"-",
_xlfn.UNIQUE(_xlfn._xlws.FILTER([1]Sheet1!$D$2:$D$200,ISNUMBER(SEARCH(AD794,[1]Sheet1!$D$2:$D$200))))
)</f>
        <v>-</v>
      </c>
      <c r="X794" s="23">
        <f t="shared" si="27"/>
        <v>0</v>
      </c>
      <c r="Z794" s="19"/>
      <c r="AA794" s="19"/>
      <c r="AC794" s="17" t="str">
        <f t="shared" si="28"/>
        <v>Y</v>
      </c>
      <c r="AD794" s="17"/>
      <c r="AF794" s="27"/>
      <c r="AG794" s="27"/>
    </row>
    <row r="795" spans="3:33" ht="34.950000000000003" customHeight="1" x14ac:dyDescent="0.4">
      <c r="C795" s="17"/>
      <c r="I795" s="19"/>
      <c r="J795" s="16" t="str">
        <f>IFERROR(VLOOKUP(I795,[1]Sheet1!$A$1:$B$200,2,0),"_")</f>
        <v>_</v>
      </c>
      <c r="K795" s="19"/>
      <c r="L795" s="16" t="str">
        <f>IFERROR(VLOOKUP(K795,[1]Sheet1!$A$1:$B$200,2,0),"-")</f>
        <v>-</v>
      </c>
      <c r="M795" s="19"/>
      <c r="N795" s="16" t="str">
        <f>IFERROR(VLOOKUP(M795,[1]Sheet1!$G$2:$H$200,2,0),"-")</f>
        <v>-</v>
      </c>
      <c r="P795" s="17"/>
      <c r="Q795" s="20"/>
      <c r="R795" s="20"/>
      <c r="S795" s="21" t="str" cm="1">
        <f t="array" ref="S795">IF(
OR(AD795="",ISERROR(AD795)),
"-",
_xlfn.UNIQUE(_xlfn._xlws.FILTER([1]Sheet1!$D$2:$D$200,ISNUMBER(SEARCH(AD795,[1]Sheet1!$D$2:$D$200))))
)</f>
        <v>-</v>
      </c>
      <c r="T795" s="22"/>
      <c r="U795" s="16" t="str" cm="1">
        <f t="array" ref="U795">IF(
OR(AD795="",ISERROR(AD795)),
"-",
_xlfn.UNIQUE(_xlfn._xlws.FILTER([1]Sheet1!$D$2:$D$200,ISNUMBER(SEARCH(AD795,[1]Sheet1!$D$2:$D$200))))
)</f>
        <v>-</v>
      </c>
      <c r="X795" s="23">
        <f t="shared" si="27"/>
        <v>0</v>
      </c>
      <c r="Z795" s="19"/>
      <c r="AA795" s="19"/>
      <c r="AC795" s="17" t="str">
        <f t="shared" si="28"/>
        <v>Y</v>
      </c>
      <c r="AD795" s="17"/>
      <c r="AF795" s="27"/>
      <c r="AG795" s="27"/>
    </row>
    <row r="796" spans="3:33" ht="34.950000000000003" customHeight="1" x14ac:dyDescent="0.4">
      <c r="C796" s="17"/>
      <c r="I796" s="19"/>
      <c r="J796" s="16" t="str">
        <f>IFERROR(VLOOKUP(I796,[1]Sheet1!$A$1:$B$200,2,0),"_")</f>
        <v>_</v>
      </c>
      <c r="K796" s="19"/>
      <c r="L796" s="16" t="str">
        <f>IFERROR(VLOOKUP(K796,[1]Sheet1!$A$1:$B$200,2,0),"-")</f>
        <v>-</v>
      </c>
      <c r="M796" s="19"/>
      <c r="N796" s="16" t="str">
        <f>IFERROR(VLOOKUP(M796,[1]Sheet1!$G$2:$H$200,2,0),"-")</f>
        <v>-</v>
      </c>
      <c r="P796" s="17"/>
      <c r="Q796" s="20"/>
      <c r="R796" s="20"/>
      <c r="S796" s="21" t="str" cm="1">
        <f t="array" ref="S796">IF(
OR(AD796="",ISERROR(AD796)),
"-",
_xlfn.UNIQUE(_xlfn._xlws.FILTER([1]Sheet1!$D$2:$D$200,ISNUMBER(SEARCH(AD796,[1]Sheet1!$D$2:$D$200))))
)</f>
        <v>-</v>
      </c>
      <c r="T796" s="22"/>
      <c r="U796" s="16" t="str" cm="1">
        <f t="array" ref="U796">IF(
OR(AD796="",ISERROR(AD796)),
"-",
_xlfn.UNIQUE(_xlfn._xlws.FILTER([1]Sheet1!$D$2:$D$200,ISNUMBER(SEARCH(AD796,[1]Sheet1!$D$2:$D$200))))
)</f>
        <v>-</v>
      </c>
      <c r="X796" s="23">
        <f t="shared" si="27"/>
        <v>0</v>
      </c>
      <c r="Z796" s="19"/>
      <c r="AA796" s="19"/>
      <c r="AC796" s="17" t="str">
        <f t="shared" si="28"/>
        <v>Y</v>
      </c>
      <c r="AD796" s="17"/>
      <c r="AF796" s="27"/>
      <c r="AG796" s="27"/>
    </row>
    <row r="797" spans="3:33" ht="34.950000000000003" customHeight="1" x14ac:dyDescent="0.4">
      <c r="C797" s="17"/>
      <c r="I797" s="19"/>
      <c r="J797" s="16" t="str">
        <f>IFERROR(VLOOKUP(I797,[1]Sheet1!$A$1:$B$200,2,0),"_")</f>
        <v>_</v>
      </c>
      <c r="K797" s="19"/>
      <c r="L797" s="16" t="str">
        <f>IFERROR(VLOOKUP(K797,[1]Sheet1!$A$1:$B$200,2,0),"-")</f>
        <v>-</v>
      </c>
      <c r="M797" s="19"/>
      <c r="N797" s="16" t="str">
        <f>IFERROR(VLOOKUP(M797,[1]Sheet1!$G$2:$H$200,2,0),"-")</f>
        <v>-</v>
      </c>
      <c r="P797" s="17"/>
      <c r="Q797" s="20"/>
      <c r="R797" s="20"/>
      <c r="S797" s="21" t="str" cm="1">
        <f t="array" ref="S797">IF(
OR(AD797="",ISERROR(AD797)),
"-",
_xlfn.UNIQUE(_xlfn._xlws.FILTER([1]Sheet1!$D$2:$D$200,ISNUMBER(SEARCH(AD797,[1]Sheet1!$D$2:$D$200))))
)</f>
        <v>-</v>
      </c>
      <c r="T797" s="22"/>
      <c r="U797" s="16" t="str" cm="1">
        <f t="array" ref="U797">IF(
OR(AD797="",ISERROR(AD797)),
"-",
_xlfn.UNIQUE(_xlfn._xlws.FILTER([1]Sheet1!$D$2:$D$200,ISNUMBER(SEARCH(AD797,[1]Sheet1!$D$2:$D$200))))
)</f>
        <v>-</v>
      </c>
      <c r="X797" s="23">
        <f t="shared" si="27"/>
        <v>0</v>
      </c>
      <c r="Z797" s="19"/>
      <c r="AA797" s="19"/>
      <c r="AC797" s="17" t="str">
        <f t="shared" si="28"/>
        <v>Y</v>
      </c>
      <c r="AD797" s="17"/>
      <c r="AF797" s="27"/>
      <c r="AG797" s="27"/>
    </row>
    <row r="798" spans="3:33" ht="34.950000000000003" customHeight="1" x14ac:dyDescent="0.4">
      <c r="C798" s="17"/>
      <c r="I798" s="19"/>
      <c r="J798" s="16" t="str">
        <f>IFERROR(VLOOKUP(I798,[1]Sheet1!$A$1:$B$200,2,0),"_")</f>
        <v>_</v>
      </c>
      <c r="K798" s="19"/>
      <c r="L798" s="16" t="str">
        <f>IFERROR(VLOOKUP(K798,[1]Sheet1!$A$1:$B$200,2,0),"-")</f>
        <v>-</v>
      </c>
      <c r="M798" s="19"/>
      <c r="N798" s="16" t="str">
        <f>IFERROR(VLOOKUP(M798,[1]Sheet1!$G$2:$H$200,2,0),"-")</f>
        <v>-</v>
      </c>
      <c r="P798" s="17"/>
      <c r="Q798" s="20"/>
      <c r="R798" s="20"/>
      <c r="S798" s="21" t="str" cm="1">
        <f t="array" ref="S798">IF(
OR(AD798="",ISERROR(AD798)),
"-",
_xlfn.UNIQUE(_xlfn._xlws.FILTER([1]Sheet1!$D$2:$D$200,ISNUMBER(SEARCH(AD798,[1]Sheet1!$D$2:$D$200))))
)</f>
        <v>-</v>
      </c>
      <c r="T798" s="22"/>
      <c r="U798" s="16" t="str" cm="1">
        <f t="array" ref="U798">IF(
OR(AD798="",ISERROR(AD798)),
"-",
_xlfn.UNIQUE(_xlfn._xlws.FILTER([1]Sheet1!$D$2:$D$200,ISNUMBER(SEARCH(AD798,[1]Sheet1!$D$2:$D$200))))
)</f>
        <v>-</v>
      </c>
      <c r="X798" s="23">
        <f t="shared" si="27"/>
        <v>0</v>
      </c>
      <c r="Z798" s="19"/>
      <c r="AA798" s="19"/>
      <c r="AC798" s="17" t="str">
        <f t="shared" si="28"/>
        <v>Y</v>
      </c>
      <c r="AD798" s="17"/>
      <c r="AF798" s="27"/>
      <c r="AG798" s="27"/>
    </row>
    <row r="799" spans="3:33" ht="34.950000000000003" customHeight="1" x14ac:dyDescent="0.4">
      <c r="C799" s="17"/>
      <c r="I799" s="19"/>
      <c r="J799" s="16" t="str">
        <f>IFERROR(VLOOKUP(I799,[1]Sheet1!$A$1:$B$200,2,0),"_")</f>
        <v>_</v>
      </c>
      <c r="K799" s="19"/>
      <c r="L799" s="16" t="str">
        <f>IFERROR(VLOOKUP(K799,[1]Sheet1!$A$1:$B$200,2,0),"-")</f>
        <v>-</v>
      </c>
      <c r="M799" s="19"/>
      <c r="N799" s="16" t="str">
        <f>IFERROR(VLOOKUP(M799,[1]Sheet1!$G$2:$H$200,2,0),"-")</f>
        <v>-</v>
      </c>
      <c r="P799" s="17"/>
      <c r="Q799" s="20"/>
      <c r="R799" s="20"/>
      <c r="S799" s="21" t="str" cm="1">
        <f t="array" ref="S799">IF(
OR(AD799="",ISERROR(AD799)),
"-",
_xlfn.UNIQUE(_xlfn._xlws.FILTER([1]Sheet1!$D$2:$D$200,ISNUMBER(SEARCH(AD799,[1]Sheet1!$D$2:$D$200))))
)</f>
        <v>-</v>
      </c>
      <c r="T799" s="22"/>
      <c r="U799" s="16" t="str" cm="1">
        <f t="array" ref="U799">IF(
OR(AD799="",ISERROR(AD799)),
"-",
_xlfn.UNIQUE(_xlfn._xlws.FILTER([1]Sheet1!$D$2:$D$200,ISNUMBER(SEARCH(AD799,[1]Sheet1!$D$2:$D$200))))
)</f>
        <v>-</v>
      </c>
      <c r="X799" s="23">
        <f t="shared" si="27"/>
        <v>0</v>
      </c>
      <c r="Z799" s="19"/>
      <c r="AA799" s="19"/>
      <c r="AC799" s="17" t="str">
        <f t="shared" si="28"/>
        <v>Y</v>
      </c>
      <c r="AD799" s="17"/>
      <c r="AF799" s="27"/>
      <c r="AG799" s="27"/>
    </row>
    <row r="800" spans="3:33" ht="34.950000000000003" customHeight="1" x14ac:dyDescent="0.4">
      <c r="C800" s="17"/>
      <c r="I800" s="19"/>
      <c r="J800" s="16" t="str">
        <f>IFERROR(VLOOKUP(I800,[1]Sheet1!$A$1:$B$200,2,0),"_")</f>
        <v>_</v>
      </c>
      <c r="K800" s="19"/>
      <c r="L800" s="16" t="str">
        <f>IFERROR(VLOOKUP(K800,[1]Sheet1!$A$1:$B$200,2,0),"-")</f>
        <v>-</v>
      </c>
      <c r="M800" s="19"/>
      <c r="N800" s="16" t="str">
        <f>IFERROR(VLOOKUP(M800,[1]Sheet1!$G$2:$H$200,2,0),"-")</f>
        <v>-</v>
      </c>
      <c r="P800" s="17"/>
      <c r="Q800" s="20"/>
      <c r="R800" s="20"/>
      <c r="S800" s="21" t="str" cm="1">
        <f t="array" ref="S800">IF(
OR(AD800="",ISERROR(AD800)),
"-",
_xlfn.UNIQUE(_xlfn._xlws.FILTER([1]Sheet1!$D$2:$D$200,ISNUMBER(SEARCH(AD800,[1]Sheet1!$D$2:$D$200))))
)</f>
        <v>-</v>
      </c>
      <c r="T800" s="22"/>
      <c r="U800" s="16" t="str" cm="1">
        <f t="array" ref="U800">IF(
OR(AD800="",ISERROR(AD800)),
"-",
_xlfn.UNIQUE(_xlfn._xlws.FILTER([1]Sheet1!$D$2:$D$200,ISNUMBER(SEARCH(AD800,[1]Sheet1!$D$2:$D$200))))
)</f>
        <v>-</v>
      </c>
      <c r="X800" s="23">
        <f t="shared" si="27"/>
        <v>0</v>
      </c>
      <c r="Z800" s="19"/>
      <c r="AA800" s="19"/>
      <c r="AC800" s="17" t="str">
        <f t="shared" si="28"/>
        <v>Y</v>
      </c>
      <c r="AD800" s="17"/>
      <c r="AF800" s="27"/>
      <c r="AG800" s="27"/>
    </row>
    <row r="801" spans="3:33" ht="34.950000000000003" customHeight="1" x14ac:dyDescent="0.4">
      <c r="C801" s="17"/>
      <c r="I801" s="19"/>
      <c r="J801" s="16" t="str">
        <f>IFERROR(VLOOKUP(I801,[1]Sheet1!$A$1:$B$200,2,0),"_")</f>
        <v>_</v>
      </c>
      <c r="K801" s="19"/>
      <c r="L801" s="16" t="str">
        <f>IFERROR(VLOOKUP(K801,[1]Sheet1!$A$1:$B$200,2,0),"-")</f>
        <v>-</v>
      </c>
      <c r="M801" s="19"/>
      <c r="N801" s="16" t="str">
        <f>IFERROR(VLOOKUP(M801,[1]Sheet1!$G$2:$H$200,2,0),"-")</f>
        <v>-</v>
      </c>
      <c r="P801" s="17"/>
      <c r="Q801" s="20"/>
      <c r="R801" s="20"/>
      <c r="S801" s="21" t="str" cm="1">
        <f t="array" ref="S801">IF(
OR(AD801="",ISERROR(AD801)),
"-",
_xlfn.UNIQUE(_xlfn._xlws.FILTER([1]Sheet1!$D$2:$D$200,ISNUMBER(SEARCH(AD801,[1]Sheet1!$D$2:$D$200))))
)</f>
        <v>-</v>
      </c>
      <c r="T801" s="22"/>
      <c r="U801" s="16" t="str" cm="1">
        <f t="array" ref="U801">IF(
OR(AD801="",ISERROR(AD801)),
"-",
_xlfn.UNIQUE(_xlfn._xlws.FILTER([1]Sheet1!$D$2:$D$200,ISNUMBER(SEARCH(AD801,[1]Sheet1!$D$2:$D$200))))
)</f>
        <v>-</v>
      </c>
      <c r="X801" s="23">
        <f t="shared" si="27"/>
        <v>0</v>
      </c>
      <c r="Z801" s="19"/>
      <c r="AA801" s="19"/>
      <c r="AC801" s="17" t="str">
        <f t="shared" si="28"/>
        <v>Y</v>
      </c>
      <c r="AD801" s="17"/>
      <c r="AF801" s="27"/>
      <c r="AG801" s="27"/>
    </row>
    <row r="802" spans="3:33" ht="34.950000000000003" customHeight="1" x14ac:dyDescent="0.4">
      <c r="C802" s="17"/>
      <c r="I802" s="19"/>
      <c r="J802" s="16" t="str">
        <f>IFERROR(VLOOKUP(I802,[1]Sheet1!$A$1:$B$200,2,0),"_")</f>
        <v>_</v>
      </c>
      <c r="K802" s="19"/>
      <c r="L802" s="16" t="str">
        <f>IFERROR(VLOOKUP(K802,[1]Sheet1!$A$1:$B$200,2,0),"-")</f>
        <v>-</v>
      </c>
      <c r="M802" s="19"/>
      <c r="N802" s="16" t="str">
        <f>IFERROR(VLOOKUP(M802,[1]Sheet1!$G$2:$H$200,2,0),"-")</f>
        <v>-</v>
      </c>
      <c r="P802" s="17"/>
      <c r="Q802" s="20"/>
      <c r="R802" s="20"/>
      <c r="S802" s="21" t="str" cm="1">
        <f t="array" ref="S802">IF(
OR(AD802="",ISERROR(AD802)),
"-",
_xlfn.UNIQUE(_xlfn._xlws.FILTER([1]Sheet1!$D$2:$D$200,ISNUMBER(SEARCH(AD802,[1]Sheet1!$D$2:$D$200))))
)</f>
        <v>-</v>
      </c>
      <c r="T802" s="22"/>
      <c r="U802" s="16" t="str" cm="1">
        <f t="array" ref="U802">IF(
OR(AD802="",ISERROR(AD802)),
"-",
_xlfn.UNIQUE(_xlfn._xlws.FILTER([1]Sheet1!$D$2:$D$200,ISNUMBER(SEARCH(AD802,[1]Sheet1!$D$2:$D$200))))
)</f>
        <v>-</v>
      </c>
      <c r="X802" s="23">
        <f t="shared" si="27"/>
        <v>0</v>
      </c>
      <c r="Z802" s="19"/>
      <c r="AA802" s="19"/>
      <c r="AC802" s="17" t="str">
        <f t="shared" si="28"/>
        <v>Y</v>
      </c>
      <c r="AD802" s="17"/>
      <c r="AF802" s="27"/>
      <c r="AG802" s="27"/>
    </row>
    <row r="803" spans="3:33" ht="34.950000000000003" customHeight="1" x14ac:dyDescent="0.4">
      <c r="C803" s="17"/>
      <c r="I803" s="19"/>
      <c r="J803" s="16" t="str">
        <f>IFERROR(VLOOKUP(I803,[1]Sheet1!$A$1:$B$200,2,0),"_")</f>
        <v>_</v>
      </c>
      <c r="K803" s="19"/>
      <c r="L803" s="16" t="str">
        <f>IFERROR(VLOOKUP(K803,[1]Sheet1!$A$1:$B$200,2,0),"-")</f>
        <v>-</v>
      </c>
      <c r="M803" s="19"/>
      <c r="N803" s="16" t="str">
        <f>IFERROR(VLOOKUP(M803,[1]Sheet1!$G$2:$H$200,2,0),"-")</f>
        <v>-</v>
      </c>
      <c r="P803" s="17"/>
      <c r="Q803" s="20"/>
      <c r="R803" s="20"/>
      <c r="S803" s="21" t="str" cm="1">
        <f t="array" ref="S803">IF(
OR(AD803="",ISERROR(AD803)),
"-",
_xlfn.UNIQUE(_xlfn._xlws.FILTER([1]Sheet1!$D$2:$D$200,ISNUMBER(SEARCH(AD803,[1]Sheet1!$D$2:$D$200))))
)</f>
        <v>-</v>
      </c>
      <c r="T803" s="22"/>
      <c r="U803" s="16" t="str" cm="1">
        <f t="array" ref="U803">IF(
OR(AD803="",ISERROR(AD803)),
"-",
_xlfn.UNIQUE(_xlfn._xlws.FILTER([1]Sheet1!$D$2:$D$200,ISNUMBER(SEARCH(AD803,[1]Sheet1!$D$2:$D$200))))
)</f>
        <v>-</v>
      </c>
      <c r="X803" s="23">
        <f t="shared" si="27"/>
        <v>0</v>
      </c>
      <c r="Z803" s="19"/>
      <c r="AA803" s="19"/>
      <c r="AC803" s="17" t="str">
        <f t="shared" si="28"/>
        <v>Y</v>
      </c>
      <c r="AD803" s="17"/>
      <c r="AF803" s="27"/>
      <c r="AG803" s="27"/>
    </row>
    <row r="804" spans="3:33" ht="34.950000000000003" customHeight="1" x14ac:dyDescent="0.4">
      <c r="C804" s="17"/>
      <c r="I804" s="19"/>
      <c r="J804" s="16" t="str">
        <f>IFERROR(VLOOKUP(I804,[1]Sheet1!$A$1:$B$200,2,0),"_")</f>
        <v>_</v>
      </c>
      <c r="K804" s="19"/>
      <c r="L804" s="16" t="str">
        <f>IFERROR(VLOOKUP(K804,[1]Sheet1!$A$1:$B$200,2,0),"-")</f>
        <v>-</v>
      </c>
      <c r="M804" s="19"/>
      <c r="N804" s="16" t="str">
        <f>IFERROR(VLOOKUP(M804,[1]Sheet1!$G$2:$H$200,2,0),"-")</f>
        <v>-</v>
      </c>
      <c r="P804" s="17"/>
      <c r="Q804" s="20"/>
      <c r="R804" s="20"/>
      <c r="S804" s="21" t="str" cm="1">
        <f t="array" ref="S804">IF(
OR(AD804="",ISERROR(AD804)),
"-",
_xlfn.UNIQUE(_xlfn._xlws.FILTER([1]Sheet1!$D$2:$D$200,ISNUMBER(SEARCH(AD804,[1]Sheet1!$D$2:$D$200))))
)</f>
        <v>-</v>
      </c>
      <c r="T804" s="22"/>
      <c r="U804" s="16" t="str" cm="1">
        <f t="array" ref="U804">IF(
OR(AD804="",ISERROR(AD804)),
"-",
_xlfn.UNIQUE(_xlfn._xlws.FILTER([1]Sheet1!$D$2:$D$200,ISNUMBER(SEARCH(AD804,[1]Sheet1!$D$2:$D$200))))
)</f>
        <v>-</v>
      </c>
      <c r="X804" s="23">
        <f t="shared" si="27"/>
        <v>0</v>
      </c>
      <c r="Z804" s="19"/>
      <c r="AA804" s="19"/>
      <c r="AC804" s="17" t="str">
        <f t="shared" si="28"/>
        <v>Y</v>
      </c>
      <c r="AD804" s="17"/>
      <c r="AF804" s="27"/>
      <c r="AG804" s="27"/>
    </row>
    <row r="805" spans="3:33" ht="34.950000000000003" customHeight="1" x14ac:dyDescent="0.4">
      <c r="C805" s="17"/>
      <c r="I805" s="19"/>
      <c r="J805" s="16" t="str">
        <f>IFERROR(VLOOKUP(I805,[1]Sheet1!$A$1:$B$200,2,0),"_")</f>
        <v>_</v>
      </c>
      <c r="K805" s="19"/>
      <c r="L805" s="16" t="str">
        <f>IFERROR(VLOOKUP(K805,[1]Sheet1!$A$1:$B$200,2,0),"-")</f>
        <v>-</v>
      </c>
      <c r="M805" s="19"/>
      <c r="N805" s="16" t="str">
        <f>IFERROR(VLOOKUP(M805,[1]Sheet1!$G$2:$H$200,2,0),"-")</f>
        <v>-</v>
      </c>
      <c r="P805" s="17"/>
      <c r="Q805" s="20"/>
      <c r="R805" s="20"/>
      <c r="S805" s="21" t="str" cm="1">
        <f t="array" ref="S805">IF(
OR(AD805="",ISERROR(AD805)),
"-",
_xlfn.UNIQUE(_xlfn._xlws.FILTER([1]Sheet1!$D$2:$D$200,ISNUMBER(SEARCH(AD805,[1]Sheet1!$D$2:$D$200))))
)</f>
        <v>-</v>
      </c>
      <c r="T805" s="22"/>
      <c r="U805" s="16" t="str" cm="1">
        <f t="array" ref="U805">IF(
OR(AD805="",ISERROR(AD805)),
"-",
_xlfn.UNIQUE(_xlfn._xlws.FILTER([1]Sheet1!$D$2:$D$200,ISNUMBER(SEARCH(AD805,[1]Sheet1!$D$2:$D$200))))
)</f>
        <v>-</v>
      </c>
      <c r="X805" s="23">
        <f t="shared" si="27"/>
        <v>0</v>
      </c>
      <c r="Z805" s="19"/>
      <c r="AA805" s="19"/>
      <c r="AC805" s="17" t="str">
        <f t="shared" si="28"/>
        <v>Y</v>
      </c>
      <c r="AD805" s="17"/>
      <c r="AF805" s="27"/>
      <c r="AG805" s="27"/>
    </row>
    <row r="806" spans="3:33" ht="34.950000000000003" customHeight="1" x14ac:dyDescent="0.4">
      <c r="C806" s="17"/>
      <c r="I806" s="19"/>
      <c r="J806" s="16" t="str">
        <f>IFERROR(VLOOKUP(I806,[1]Sheet1!$A$1:$B$200,2,0),"_")</f>
        <v>_</v>
      </c>
      <c r="K806" s="19"/>
      <c r="L806" s="16" t="str">
        <f>IFERROR(VLOOKUP(K806,[1]Sheet1!$A$1:$B$200,2,0),"-")</f>
        <v>-</v>
      </c>
      <c r="M806" s="19"/>
      <c r="N806" s="16" t="str">
        <f>IFERROR(VLOOKUP(M806,[1]Sheet1!$G$2:$H$200,2,0),"-")</f>
        <v>-</v>
      </c>
      <c r="P806" s="17"/>
      <c r="Q806" s="20"/>
      <c r="R806" s="20"/>
      <c r="S806" s="21" t="str" cm="1">
        <f t="array" ref="S806">IF(
OR(AD806="",ISERROR(AD806)),
"-",
_xlfn.UNIQUE(_xlfn._xlws.FILTER([1]Sheet1!$D$2:$D$200,ISNUMBER(SEARCH(AD806,[1]Sheet1!$D$2:$D$200))))
)</f>
        <v>-</v>
      </c>
      <c r="T806" s="22"/>
      <c r="U806" s="16" t="str" cm="1">
        <f t="array" ref="U806">IF(
OR(AD806="",ISERROR(AD806)),
"-",
_xlfn.UNIQUE(_xlfn._xlws.FILTER([1]Sheet1!$D$2:$D$200,ISNUMBER(SEARCH(AD806,[1]Sheet1!$D$2:$D$200))))
)</f>
        <v>-</v>
      </c>
      <c r="X806" s="23">
        <f t="shared" si="27"/>
        <v>0</v>
      </c>
      <c r="Z806" s="19"/>
      <c r="AA806" s="19"/>
      <c r="AC806" s="17" t="str">
        <f t="shared" si="28"/>
        <v>Y</v>
      </c>
      <c r="AD806" s="17"/>
      <c r="AF806" s="27"/>
      <c r="AG806" s="27"/>
    </row>
    <row r="807" spans="3:33" ht="34.950000000000003" customHeight="1" x14ac:dyDescent="0.4">
      <c r="C807" s="17"/>
      <c r="I807" s="19"/>
      <c r="J807" s="16" t="str">
        <f>IFERROR(VLOOKUP(I807,[1]Sheet1!$A$1:$B$200,2,0),"_")</f>
        <v>_</v>
      </c>
      <c r="K807" s="19"/>
      <c r="L807" s="16" t="str">
        <f>IFERROR(VLOOKUP(K807,[1]Sheet1!$A$1:$B$200,2,0),"-")</f>
        <v>-</v>
      </c>
      <c r="M807" s="19"/>
      <c r="N807" s="16" t="str">
        <f>IFERROR(VLOOKUP(M807,[1]Sheet1!$G$2:$H$200,2,0),"-")</f>
        <v>-</v>
      </c>
      <c r="P807" s="17"/>
      <c r="Q807" s="20"/>
      <c r="R807" s="20"/>
      <c r="S807" s="21" t="str" cm="1">
        <f t="array" ref="S807">IF(
OR(AD807="",ISERROR(AD807)),
"-",
_xlfn.UNIQUE(_xlfn._xlws.FILTER([1]Sheet1!$D$2:$D$200,ISNUMBER(SEARCH(AD807,[1]Sheet1!$D$2:$D$200))))
)</f>
        <v>-</v>
      </c>
      <c r="T807" s="22"/>
      <c r="U807" s="16" t="str" cm="1">
        <f t="array" ref="U807">IF(
OR(AD807="",ISERROR(AD807)),
"-",
_xlfn.UNIQUE(_xlfn._xlws.FILTER([1]Sheet1!$D$2:$D$200,ISNUMBER(SEARCH(AD807,[1]Sheet1!$D$2:$D$200))))
)</f>
        <v>-</v>
      </c>
      <c r="X807" s="23">
        <f t="shared" si="27"/>
        <v>0</v>
      </c>
      <c r="Z807" s="19"/>
      <c r="AA807" s="19"/>
      <c r="AC807" s="17" t="str">
        <f t="shared" si="28"/>
        <v>Y</v>
      </c>
      <c r="AD807" s="17"/>
      <c r="AF807" s="27"/>
      <c r="AG807" s="27"/>
    </row>
    <row r="808" spans="3:33" ht="34.950000000000003" customHeight="1" x14ac:dyDescent="0.4">
      <c r="C808" s="17"/>
      <c r="I808" s="19"/>
      <c r="J808" s="16" t="str">
        <f>IFERROR(VLOOKUP(I808,[1]Sheet1!$A$1:$B$200,2,0),"_")</f>
        <v>_</v>
      </c>
      <c r="K808" s="19"/>
      <c r="L808" s="16" t="str">
        <f>IFERROR(VLOOKUP(K808,[1]Sheet1!$A$1:$B$200,2,0),"-")</f>
        <v>-</v>
      </c>
      <c r="M808" s="19"/>
      <c r="N808" s="16" t="str">
        <f>IFERROR(VLOOKUP(M808,[1]Sheet1!$G$2:$H$200,2,0),"-")</f>
        <v>-</v>
      </c>
      <c r="P808" s="17"/>
      <c r="Q808" s="20"/>
      <c r="R808" s="20"/>
      <c r="S808" s="21" t="str" cm="1">
        <f t="array" ref="S808">IF(
OR(AD808="",ISERROR(AD808)),
"-",
_xlfn.UNIQUE(_xlfn._xlws.FILTER([1]Sheet1!$D$2:$D$200,ISNUMBER(SEARCH(AD808,[1]Sheet1!$D$2:$D$200))))
)</f>
        <v>-</v>
      </c>
      <c r="T808" s="22"/>
      <c r="U808" s="16" t="str" cm="1">
        <f t="array" ref="U808">IF(
OR(AD808="",ISERROR(AD808)),
"-",
_xlfn.UNIQUE(_xlfn._xlws.FILTER([1]Sheet1!$D$2:$D$200,ISNUMBER(SEARCH(AD808,[1]Sheet1!$D$2:$D$200))))
)</f>
        <v>-</v>
      </c>
      <c r="X808" s="23">
        <f t="shared" si="27"/>
        <v>0</v>
      </c>
      <c r="Z808" s="19"/>
      <c r="AA808" s="19"/>
      <c r="AC808" s="17" t="str">
        <f t="shared" si="28"/>
        <v>Y</v>
      </c>
      <c r="AD808" s="17"/>
      <c r="AF808" s="27"/>
      <c r="AG808" s="27"/>
    </row>
    <row r="809" spans="3:33" ht="34.950000000000003" customHeight="1" x14ac:dyDescent="0.4">
      <c r="C809" s="17"/>
      <c r="I809" s="19"/>
      <c r="J809" s="16" t="str">
        <f>IFERROR(VLOOKUP(I809,[1]Sheet1!$A$1:$B$200,2,0),"_")</f>
        <v>_</v>
      </c>
      <c r="K809" s="19"/>
      <c r="L809" s="16" t="str">
        <f>IFERROR(VLOOKUP(K809,[1]Sheet1!$A$1:$B$200,2,0),"-")</f>
        <v>-</v>
      </c>
      <c r="M809" s="19"/>
      <c r="N809" s="16" t="str">
        <f>IFERROR(VLOOKUP(M809,[1]Sheet1!$G$2:$H$200,2,0),"-")</f>
        <v>-</v>
      </c>
      <c r="P809" s="17"/>
      <c r="Q809" s="20"/>
      <c r="R809" s="20"/>
      <c r="S809" s="21" t="str" cm="1">
        <f t="array" ref="S809">IF(
OR(AD809="",ISERROR(AD809)),
"-",
_xlfn.UNIQUE(_xlfn._xlws.FILTER([1]Sheet1!$D$2:$D$200,ISNUMBER(SEARCH(AD809,[1]Sheet1!$D$2:$D$200))))
)</f>
        <v>-</v>
      </c>
      <c r="T809" s="22"/>
      <c r="U809" s="16" t="str" cm="1">
        <f t="array" ref="U809">IF(
OR(AD809="",ISERROR(AD809)),
"-",
_xlfn.UNIQUE(_xlfn._xlws.FILTER([1]Sheet1!$D$2:$D$200,ISNUMBER(SEARCH(AD809,[1]Sheet1!$D$2:$D$200))))
)</f>
        <v>-</v>
      </c>
      <c r="X809" s="23">
        <f t="shared" si="27"/>
        <v>0</v>
      </c>
      <c r="Z809" s="19"/>
      <c r="AA809" s="19"/>
      <c r="AC809" s="17" t="str">
        <f t="shared" si="28"/>
        <v>Y</v>
      </c>
      <c r="AD809" s="17"/>
      <c r="AF809" s="27"/>
      <c r="AG809" s="27"/>
    </row>
    <row r="810" spans="3:33" ht="34.950000000000003" customHeight="1" x14ac:dyDescent="0.4">
      <c r="C810" s="17"/>
      <c r="I810" s="19"/>
      <c r="J810" s="16" t="str">
        <f>IFERROR(VLOOKUP(I810,[1]Sheet1!$A$1:$B$200,2,0),"_")</f>
        <v>_</v>
      </c>
      <c r="K810" s="19"/>
      <c r="L810" s="16" t="str">
        <f>IFERROR(VLOOKUP(K810,[1]Sheet1!$A$1:$B$200,2,0),"-")</f>
        <v>-</v>
      </c>
      <c r="M810" s="19"/>
      <c r="N810" s="16" t="str">
        <f>IFERROR(VLOOKUP(M810,[1]Sheet1!$G$2:$H$200,2,0),"-")</f>
        <v>-</v>
      </c>
      <c r="P810" s="17"/>
      <c r="Q810" s="20"/>
      <c r="R810" s="20"/>
      <c r="S810" s="21" t="str" cm="1">
        <f t="array" ref="S810">IF(
OR(AD810="",ISERROR(AD810)),
"-",
_xlfn.UNIQUE(_xlfn._xlws.FILTER([1]Sheet1!$D$2:$D$200,ISNUMBER(SEARCH(AD810,[1]Sheet1!$D$2:$D$200))))
)</f>
        <v>-</v>
      </c>
      <c r="T810" s="22"/>
      <c r="U810" s="16" t="str" cm="1">
        <f t="array" ref="U810">IF(
OR(AD810="",ISERROR(AD810)),
"-",
_xlfn.UNIQUE(_xlfn._xlws.FILTER([1]Sheet1!$D$2:$D$200,ISNUMBER(SEARCH(AD810,[1]Sheet1!$D$2:$D$200))))
)</f>
        <v>-</v>
      </c>
      <c r="X810" s="23">
        <f t="shared" si="27"/>
        <v>0</v>
      </c>
      <c r="Z810" s="19"/>
      <c r="AA810" s="19"/>
      <c r="AC810" s="17" t="str">
        <f t="shared" si="28"/>
        <v>Y</v>
      </c>
      <c r="AD810" s="17"/>
      <c r="AF810" s="27"/>
      <c r="AG810" s="27"/>
    </row>
    <row r="811" spans="3:33" ht="34.950000000000003" customHeight="1" x14ac:dyDescent="0.4">
      <c r="C811" s="17"/>
      <c r="I811" s="19"/>
      <c r="J811" s="16" t="str">
        <f>IFERROR(VLOOKUP(I811,[1]Sheet1!$A$1:$B$200,2,0),"_")</f>
        <v>_</v>
      </c>
      <c r="K811" s="19"/>
      <c r="L811" s="16" t="str">
        <f>IFERROR(VLOOKUP(K811,[1]Sheet1!$A$1:$B$200,2,0),"-")</f>
        <v>-</v>
      </c>
      <c r="M811" s="19"/>
      <c r="N811" s="16" t="str">
        <f>IFERROR(VLOOKUP(M811,[1]Sheet1!$G$2:$H$200,2,0),"-")</f>
        <v>-</v>
      </c>
      <c r="P811" s="17"/>
      <c r="Q811" s="20"/>
      <c r="R811" s="20"/>
      <c r="S811" s="21" t="str" cm="1">
        <f t="array" ref="S811">IF(
OR(AD811="",ISERROR(AD811)),
"-",
_xlfn.UNIQUE(_xlfn._xlws.FILTER([1]Sheet1!$D$2:$D$200,ISNUMBER(SEARCH(AD811,[1]Sheet1!$D$2:$D$200))))
)</f>
        <v>-</v>
      </c>
      <c r="T811" s="22"/>
      <c r="U811" s="16" t="str" cm="1">
        <f t="array" ref="U811">IF(
OR(AD811="",ISERROR(AD811)),
"-",
_xlfn.UNIQUE(_xlfn._xlws.FILTER([1]Sheet1!$D$2:$D$200,ISNUMBER(SEARCH(AD811,[1]Sheet1!$D$2:$D$200))))
)</f>
        <v>-</v>
      </c>
      <c r="X811" s="23">
        <f t="shared" si="27"/>
        <v>0</v>
      </c>
      <c r="Z811" s="19"/>
      <c r="AA811" s="19"/>
      <c r="AC811" s="17" t="str">
        <f t="shared" si="28"/>
        <v>Y</v>
      </c>
      <c r="AD811" s="17"/>
      <c r="AF811" s="27"/>
      <c r="AG811" s="27"/>
    </row>
    <row r="812" spans="3:33" ht="34.950000000000003" customHeight="1" x14ac:dyDescent="0.4">
      <c r="C812" s="17"/>
      <c r="I812" s="19"/>
      <c r="J812" s="16" t="str">
        <f>IFERROR(VLOOKUP(I812,[1]Sheet1!$A$1:$B$200,2,0),"_")</f>
        <v>_</v>
      </c>
      <c r="K812" s="19"/>
      <c r="L812" s="16" t="str">
        <f>IFERROR(VLOOKUP(K812,[1]Sheet1!$A$1:$B$200,2,0),"-")</f>
        <v>-</v>
      </c>
      <c r="M812" s="19"/>
      <c r="N812" s="16" t="str">
        <f>IFERROR(VLOOKUP(M812,[1]Sheet1!$G$2:$H$200,2,0),"-")</f>
        <v>-</v>
      </c>
      <c r="P812" s="17"/>
      <c r="Q812" s="20"/>
      <c r="R812" s="20"/>
      <c r="S812" s="21" t="str" cm="1">
        <f t="array" ref="S812">IF(
OR(AD812="",ISERROR(AD812)),
"-",
_xlfn.UNIQUE(_xlfn._xlws.FILTER([1]Sheet1!$D$2:$D$200,ISNUMBER(SEARCH(AD812,[1]Sheet1!$D$2:$D$200))))
)</f>
        <v>-</v>
      </c>
      <c r="T812" s="22"/>
      <c r="U812" s="16" t="str" cm="1">
        <f t="array" ref="U812">IF(
OR(AD812="",ISERROR(AD812)),
"-",
_xlfn.UNIQUE(_xlfn._xlws.FILTER([1]Sheet1!$D$2:$D$200,ISNUMBER(SEARCH(AD812,[1]Sheet1!$D$2:$D$200))))
)</f>
        <v>-</v>
      </c>
      <c r="X812" s="23">
        <f t="shared" si="27"/>
        <v>0</v>
      </c>
      <c r="Z812" s="19"/>
      <c r="AA812" s="19"/>
      <c r="AC812" s="17" t="str">
        <f t="shared" si="28"/>
        <v>Y</v>
      </c>
      <c r="AD812" s="17"/>
      <c r="AF812" s="27"/>
      <c r="AG812" s="27"/>
    </row>
    <row r="813" spans="3:33" ht="34.950000000000003" customHeight="1" x14ac:dyDescent="0.4">
      <c r="C813" s="17"/>
      <c r="I813" s="19"/>
      <c r="J813" s="16" t="str">
        <f>IFERROR(VLOOKUP(I813,[1]Sheet1!$A$1:$B$200,2,0),"_")</f>
        <v>_</v>
      </c>
      <c r="K813" s="19"/>
      <c r="L813" s="16" t="str">
        <f>IFERROR(VLOOKUP(K813,[1]Sheet1!$A$1:$B$200,2,0),"-")</f>
        <v>-</v>
      </c>
      <c r="M813" s="19"/>
      <c r="N813" s="16" t="str">
        <f>IFERROR(VLOOKUP(M813,[1]Sheet1!$G$2:$H$200,2,0),"-")</f>
        <v>-</v>
      </c>
      <c r="P813" s="17"/>
      <c r="Q813" s="20"/>
      <c r="R813" s="20"/>
      <c r="S813" s="21" t="str" cm="1">
        <f t="array" ref="S813">IF(
OR(AD813="",ISERROR(AD813)),
"-",
_xlfn.UNIQUE(_xlfn._xlws.FILTER([1]Sheet1!$D$2:$D$200,ISNUMBER(SEARCH(AD813,[1]Sheet1!$D$2:$D$200))))
)</f>
        <v>-</v>
      </c>
      <c r="T813" s="22"/>
      <c r="U813" s="16" t="str" cm="1">
        <f t="array" ref="U813">IF(
OR(AD813="",ISERROR(AD813)),
"-",
_xlfn.UNIQUE(_xlfn._xlws.FILTER([1]Sheet1!$D$2:$D$200,ISNUMBER(SEARCH(AD813,[1]Sheet1!$D$2:$D$200))))
)</f>
        <v>-</v>
      </c>
      <c r="X813" s="23">
        <f t="shared" si="27"/>
        <v>0</v>
      </c>
      <c r="Z813" s="19"/>
      <c r="AA813" s="19"/>
      <c r="AC813" s="17" t="str">
        <f t="shared" si="28"/>
        <v>Y</v>
      </c>
      <c r="AD813" s="17"/>
      <c r="AF813" s="27"/>
      <c r="AG813" s="27"/>
    </row>
    <row r="814" spans="3:33" ht="34.950000000000003" customHeight="1" x14ac:dyDescent="0.4">
      <c r="C814" s="17"/>
      <c r="I814" s="19"/>
      <c r="J814" s="16" t="str">
        <f>IFERROR(VLOOKUP(I814,[1]Sheet1!$A$1:$B$200,2,0),"_")</f>
        <v>_</v>
      </c>
      <c r="K814" s="19"/>
      <c r="L814" s="16" t="str">
        <f>IFERROR(VLOOKUP(K814,[1]Sheet1!$A$1:$B$200,2,0),"-")</f>
        <v>-</v>
      </c>
      <c r="M814" s="19"/>
      <c r="N814" s="16" t="str">
        <f>IFERROR(VLOOKUP(M814,[1]Sheet1!$G$2:$H$200,2,0),"-")</f>
        <v>-</v>
      </c>
      <c r="P814" s="17"/>
      <c r="Q814" s="20"/>
      <c r="R814" s="20"/>
      <c r="S814" s="21" t="str" cm="1">
        <f t="array" ref="S814">IF(
OR(AD814="",ISERROR(AD814)),
"-",
_xlfn.UNIQUE(_xlfn._xlws.FILTER([1]Sheet1!$D$2:$D$200,ISNUMBER(SEARCH(AD814,[1]Sheet1!$D$2:$D$200))))
)</f>
        <v>-</v>
      </c>
      <c r="T814" s="22"/>
      <c r="U814" s="16" t="str" cm="1">
        <f t="array" ref="U814">IF(
OR(AD814="",ISERROR(AD814)),
"-",
_xlfn.UNIQUE(_xlfn._xlws.FILTER([1]Sheet1!$D$2:$D$200,ISNUMBER(SEARCH(AD814,[1]Sheet1!$D$2:$D$200))))
)</f>
        <v>-</v>
      </c>
      <c r="X814" s="23">
        <f t="shared" si="27"/>
        <v>0</v>
      </c>
      <c r="Z814" s="19"/>
      <c r="AA814" s="19"/>
      <c r="AC814" s="17" t="str">
        <f t="shared" si="28"/>
        <v>Y</v>
      </c>
      <c r="AD814" s="17"/>
      <c r="AF814" s="27"/>
      <c r="AG814" s="27"/>
    </row>
    <row r="815" spans="3:33" ht="34.950000000000003" customHeight="1" x14ac:dyDescent="0.4">
      <c r="C815" s="17"/>
      <c r="I815" s="19"/>
      <c r="J815" s="16" t="str">
        <f>IFERROR(VLOOKUP(I815,[1]Sheet1!$A$1:$B$200,2,0),"_")</f>
        <v>_</v>
      </c>
      <c r="K815" s="19"/>
      <c r="L815" s="16" t="str">
        <f>IFERROR(VLOOKUP(K815,[1]Sheet1!$A$1:$B$200,2,0),"-")</f>
        <v>-</v>
      </c>
      <c r="M815" s="19"/>
      <c r="N815" s="16" t="str">
        <f>IFERROR(VLOOKUP(M815,[1]Sheet1!$G$2:$H$200,2,0),"-")</f>
        <v>-</v>
      </c>
      <c r="P815" s="17"/>
      <c r="Q815" s="20"/>
      <c r="R815" s="20"/>
      <c r="S815" s="21" t="str" cm="1">
        <f t="array" ref="S815">IF(
OR(AD815="",ISERROR(AD815)),
"-",
_xlfn.UNIQUE(_xlfn._xlws.FILTER([1]Sheet1!$D$2:$D$200,ISNUMBER(SEARCH(AD815,[1]Sheet1!$D$2:$D$200))))
)</f>
        <v>-</v>
      </c>
      <c r="T815" s="22"/>
      <c r="U815" s="16" t="str" cm="1">
        <f t="array" ref="U815">IF(
OR(AD815="",ISERROR(AD815)),
"-",
_xlfn.UNIQUE(_xlfn._xlws.FILTER([1]Sheet1!$D$2:$D$200,ISNUMBER(SEARCH(AD815,[1]Sheet1!$D$2:$D$200))))
)</f>
        <v>-</v>
      </c>
      <c r="X815" s="23">
        <f t="shared" si="27"/>
        <v>0</v>
      </c>
      <c r="Z815" s="19"/>
      <c r="AA815" s="19"/>
      <c r="AC815" s="17" t="str">
        <f t="shared" si="28"/>
        <v>Y</v>
      </c>
      <c r="AD815" s="17"/>
      <c r="AF815" s="27"/>
      <c r="AG815" s="27"/>
    </row>
    <row r="816" spans="3:33" ht="34.950000000000003" customHeight="1" x14ac:dyDescent="0.4">
      <c r="C816" s="17"/>
      <c r="I816" s="19"/>
      <c r="J816" s="16" t="str">
        <f>IFERROR(VLOOKUP(I816,[1]Sheet1!$A$1:$B$200,2,0),"_")</f>
        <v>_</v>
      </c>
      <c r="K816" s="19"/>
      <c r="L816" s="16" t="str">
        <f>IFERROR(VLOOKUP(K816,[1]Sheet1!$A$1:$B$200,2,0),"-")</f>
        <v>-</v>
      </c>
      <c r="M816" s="19"/>
      <c r="N816" s="16" t="str">
        <f>IFERROR(VLOOKUP(M816,[1]Sheet1!$G$2:$H$200,2,0),"-")</f>
        <v>-</v>
      </c>
      <c r="P816" s="17"/>
      <c r="Q816" s="20"/>
      <c r="R816" s="20"/>
      <c r="S816" s="21" t="str" cm="1">
        <f t="array" ref="S816">IF(
OR(AD816="",ISERROR(AD816)),
"-",
_xlfn.UNIQUE(_xlfn._xlws.FILTER([1]Sheet1!$D$2:$D$200,ISNUMBER(SEARCH(AD816,[1]Sheet1!$D$2:$D$200))))
)</f>
        <v>-</v>
      </c>
      <c r="T816" s="22"/>
      <c r="U816" s="16" t="str" cm="1">
        <f t="array" ref="U816">IF(
OR(AD816="",ISERROR(AD816)),
"-",
_xlfn.UNIQUE(_xlfn._xlws.FILTER([1]Sheet1!$D$2:$D$200,ISNUMBER(SEARCH(AD816,[1]Sheet1!$D$2:$D$200))))
)</f>
        <v>-</v>
      </c>
      <c r="X816" s="23">
        <f t="shared" si="27"/>
        <v>0</v>
      </c>
      <c r="Z816" s="19"/>
      <c r="AA816" s="19"/>
      <c r="AC816" s="17" t="str">
        <f t="shared" si="28"/>
        <v>Y</v>
      </c>
      <c r="AD816" s="17"/>
      <c r="AF816" s="27"/>
      <c r="AG816" s="27"/>
    </row>
    <row r="817" spans="3:33" ht="34.950000000000003" customHeight="1" x14ac:dyDescent="0.4">
      <c r="C817" s="17"/>
      <c r="I817" s="19"/>
      <c r="J817" s="16" t="str">
        <f>IFERROR(VLOOKUP(I817,[1]Sheet1!$A$1:$B$200,2,0),"_")</f>
        <v>_</v>
      </c>
      <c r="K817" s="19"/>
      <c r="L817" s="16" t="str">
        <f>IFERROR(VLOOKUP(K817,[1]Sheet1!$A$1:$B$200,2,0),"-")</f>
        <v>-</v>
      </c>
      <c r="M817" s="19"/>
      <c r="N817" s="16" t="str">
        <f>IFERROR(VLOOKUP(M817,[1]Sheet1!$G$2:$H$200,2,0),"-")</f>
        <v>-</v>
      </c>
      <c r="P817" s="17"/>
      <c r="Q817" s="20"/>
      <c r="R817" s="20"/>
      <c r="S817" s="21" t="str" cm="1">
        <f t="array" ref="S817">IF(
OR(AD817="",ISERROR(AD817)),
"-",
_xlfn.UNIQUE(_xlfn._xlws.FILTER([1]Sheet1!$D$2:$D$200,ISNUMBER(SEARCH(AD817,[1]Sheet1!$D$2:$D$200))))
)</f>
        <v>-</v>
      </c>
      <c r="T817" s="22"/>
      <c r="U817" s="16" t="str" cm="1">
        <f t="array" ref="U817">IF(
OR(AD817="",ISERROR(AD817)),
"-",
_xlfn.UNIQUE(_xlfn._xlws.FILTER([1]Sheet1!$D$2:$D$200,ISNUMBER(SEARCH(AD817,[1]Sheet1!$D$2:$D$200))))
)</f>
        <v>-</v>
      </c>
      <c r="X817" s="23">
        <f t="shared" si="27"/>
        <v>0</v>
      </c>
      <c r="Z817" s="19"/>
      <c r="AA817" s="19"/>
      <c r="AC817" s="17" t="str">
        <f t="shared" si="28"/>
        <v>Y</v>
      </c>
      <c r="AD817" s="17"/>
      <c r="AF817" s="27"/>
      <c r="AG817" s="27"/>
    </row>
    <row r="818" spans="3:33" ht="34.950000000000003" customHeight="1" x14ac:dyDescent="0.4">
      <c r="C818" s="17"/>
      <c r="I818" s="19"/>
      <c r="J818" s="16" t="str">
        <f>IFERROR(VLOOKUP(I818,[1]Sheet1!$A$1:$B$200,2,0),"_")</f>
        <v>_</v>
      </c>
      <c r="K818" s="19"/>
      <c r="L818" s="16" t="str">
        <f>IFERROR(VLOOKUP(K818,[1]Sheet1!$A$1:$B$200,2,0),"-")</f>
        <v>-</v>
      </c>
      <c r="M818" s="19"/>
      <c r="N818" s="16" t="str">
        <f>IFERROR(VLOOKUP(M818,[1]Sheet1!$G$2:$H$200,2,0),"-")</f>
        <v>-</v>
      </c>
      <c r="P818" s="17"/>
      <c r="Q818" s="20"/>
      <c r="R818" s="20"/>
      <c r="S818" s="21" t="str" cm="1">
        <f t="array" ref="S818">IF(
OR(AD818="",ISERROR(AD818)),
"-",
_xlfn.UNIQUE(_xlfn._xlws.FILTER([1]Sheet1!$D$2:$D$200,ISNUMBER(SEARCH(AD818,[1]Sheet1!$D$2:$D$200))))
)</f>
        <v>-</v>
      </c>
      <c r="T818" s="22"/>
      <c r="U818" s="16" t="str" cm="1">
        <f t="array" ref="U818">IF(
OR(AD818="",ISERROR(AD818)),
"-",
_xlfn.UNIQUE(_xlfn._xlws.FILTER([1]Sheet1!$D$2:$D$200,ISNUMBER(SEARCH(AD818,[1]Sheet1!$D$2:$D$200))))
)</f>
        <v>-</v>
      </c>
      <c r="X818" s="23">
        <f t="shared" si="27"/>
        <v>0</v>
      </c>
      <c r="Z818" s="19"/>
      <c r="AA818" s="19"/>
      <c r="AC818" s="17" t="str">
        <f t="shared" si="28"/>
        <v>Y</v>
      </c>
      <c r="AD818" s="17"/>
      <c r="AF818" s="27"/>
      <c r="AG818" s="27"/>
    </row>
    <row r="819" spans="3:33" ht="34.950000000000003" customHeight="1" x14ac:dyDescent="0.4">
      <c r="C819" s="17"/>
      <c r="I819" s="19"/>
      <c r="J819" s="16" t="str">
        <f>IFERROR(VLOOKUP(I819,[1]Sheet1!$A$1:$B$200,2,0),"_")</f>
        <v>_</v>
      </c>
      <c r="K819" s="19"/>
      <c r="L819" s="16" t="str">
        <f>IFERROR(VLOOKUP(K819,[1]Sheet1!$A$1:$B$200,2,0),"-")</f>
        <v>-</v>
      </c>
      <c r="M819" s="19"/>
      <c r="N819" s="16" t="str">
        <f>IFERROR(VLOOKUP(M819,[1]Sheet1!$G$2:$H$200,2,0),"-")</f>
        <v>-</v>
      </c>
      <c r="P819" s="17"/>
      <c r="Q819" s="20"/>
      <c r="R819" s="20"/>
      <c r="S819" s="21" t="str" cm="1">
        <f t="array" ref="S819">IF(
OR(AD819="",ISERROR(AD819)),
"-",
_xlfn.UNIQUE(_xlfn._xlws.FILTER([1]Sheet1!$D$2:$D$200,ISNUMBER(SEARCH(AD819,[1]Sheet1!$D$2:$D$200))))
)</f>
        <v>-</v>
      </c>
      <c r="T819" s="22"/>
      <c r="U819" s="16" t="str" cm="1">
        <f t="array" ref="U819">IF(
OR(AD819="",ISERROR(AD819)),
"-",
_xlfn.UNIQUE(_xlfn._xlws.FILTER([1]Sheet1!$D$2:$D$200,ISNUMBER(SEARCH(AD819,[1]Sheet1!$D$2:$D$200))))
)</f>
        <v>-</v>
      </c>
      <c r="X819" s="23">
        <f t="shared" si="27"/>
        <v>0</v>
      </c>
      <c r="Z819" s="19"/>
      <c r="AA819" s="19"/>
      <c r="AC819" s="17" t="str">
        <f t="shared" si="28"/>
        <v>Y</v>
      </c>
      <c r="AD819" s="17"/>
      <c r="AF819" s="27"/>
      <c r="AG819" s="27"/>
    </row>
    <row r="820" spans="3:33" ht="34.950000000000003" customHeight="1" x14ac:dyDescent="0.4">
      <c r="C820" s="17"/>
      <c r="I820" s="19"/>
      <c r="J820" s="16" t="str">
        <f>IFERROR(VLOOKUP(I820,[1]Sheet1!$A$1:$B$200,2,0),"_")</f>
        <v>_</v>
      </c>
      <c r="K820" s="19"/>
      <c r="L820" s="16" t="str">
        <f>IFERROR(VLOOKUP(K820,[1]Sheet1!$A$1:$B$200,2,0),"-")</f>
        <v>-</v>
      </c>
      <c r="M820" s="19"/>
      <c r="N820" s="16" t="str">
        <f>IFERROR(VLOOKUP(M820,[1]Sheet1!$G$2:$H$200,2,0),"-")</f>
        <v>-</v>
      </c>
      <c r="P820" s="17"/>
      <c r="Q820" s="20"/>
      <c r="R820" s="20"/>
      <c r="S820" s="21" t="str" cm="1">
        <f t="array" ref="S820">IF(
OR(AD820="",ISERROR(AD820)),
"-",
_xlfn.UNIQUE(_xlfn._xlws.FILTER([1]Sheet1!$D$2:$D$200,ISNUMBER(SEARCH(AD820,[1]Sheet1!$D$2:$D$200))))
)</f>
        <v>-</v>
      </c>
      <c r="T820" s="22"/>
      <c r="U820" s="16" t="str" cm="1">
        <f t="array" ref="U820">IF(
OR(AD820="",ISERROR(AD820)),
"-",
_xlfn.UNIQUE(_xlfn._xlws.FILTER([1]Sheet1!$D$2:$D$200,ISNUMBER(SEARCH(AD820,[1]Sheet1!$D$2:$D$200))))
)</f>
        <v>-</v>
      </c>
      <c r="X820" s="23">
        <f t="shared" si="27"/>
        <v>0</v>
      </c>
      <c r="Z820" s="19"/>
      <c r="AA820" s="19"/>
      <c r="AC820" s="17" t="str">
        <f t="shared" si="28"/>
        <v>Y</v>
      </c>
      <c r="AD820" s="17"/>
      <c r="AF820" s="27"/>
      <c r="AG820" s="27"/>
    </row>
    <row r="821" spans="3:33" ht="34.950000000000003" customHeight="1" x14ac:dyDescent="0.4">
      <c r="C821" s="17"/>
      <c r="I821" s="19"/>
      <c r="J821" s="16" t="str">
        <f>IFERROR(VLOOKUP(I821,[1]Sheet1!$A$1:$B$200,2,0),"_")</f>
        <v>_</v>
      </c>
      <c r="K821" s="19"/>
      <c r="L821" s="16" t="str">
        <f>IFERROR(VLOOKUP(K821,[1]Sheet1!$A$1:$B$200,2,0),"-")</f>
        <v>-</v>
      </c>
      <c r="M821" s="19"/>
      <c r="N821" s="16" t="str">
        <f>IFERROR(VLOOKUP(M821,[1]Sheet1!$G$2:$H$200,2,0),"-")</f>
        <v>-</v>
      </c>
      <c r="P821" s="17"/>
      <c r="Q821" s="20"/>
      <c r="R821" s="20"/>
      <c r="S821" s="21" t="str" cm="1">
        <f t="array" ref="S821">IF(
OR(AD821="",ISERROR(AD821)),
"-",
_xlfn.UNIQUE(_xlfn._xlws.FILTER([1]Sheet1!$D$2:$D$200,ISNUMBER(SEARCH(AD821,[1]Sheet1!$D$2:$D$200))))
)</f>
        <v>-</v>
      </c>
      <c r="T821" s="22"/>
      <c r="U821" s="16" t="str" cm="1">
        <f t="array" ref="U821">IF(
OR(AD821="",ISERROR(AD821)),
"-",
_xlfn.UNIQUE(_xlfn._xlws.FILTER([1]Sheet1!$D$2:$D$200,ISNUMBER(SEARCH(AD821,[1]Sheet1!$D$2:$D$200))))
)</f>
        <v>-</v>
      </c>
      <c r="X821" s="23">
        <f t="shared" si="27"/>
        <v>0</v>
      </c>
      <c r="Z821" s="19"/>
      <c r="AA821" s="19"/>
      <c r="AC821" s="17" t="str">
        <f t="shared" si="28"/>
        <v>Y</v>
      </c>
      <c r="AD821" s="17"/>
      <c r="AF821" s="27"/>
      <c r="AG821" s="27"/>
    </row>
    <row r="822" spans="3:33" ht="34.950000000000003" customHeight="1" x14ac:dyDescent="0.4">
      <c r="C822" s="17"/>
      <c r="I822" s="19"/>
      <c r="J822" s="16" t="str">
        <f>IFERROR(VLOOKUP(I822,[1]Sheet1!$A$1:$B$200,2,0),"_")</f>
        <v>_</v>
      </c>
      <c r="K822" s="19"/>
      <c r="L822" s="16" t="str">
        <f>IFERROR(VLOOKUP(K822,[1]Sheet1!$A$1:$B$200,2,0),"-")</f>
        <v>-</v>
      </c>
      <c r="M822" s="19"/>
      <c r="N822" s="16" t="str">
        <f>IFERROR(VLOOKUP(M822,[1]Sheet1!$G$2:$H$200,2,0),"-")</f>
        <v>-</v>
      </c>
      <c r="P822" s="17"/>
      <c r="Q822" s="20"/>
      <c r="R822" s="20"/>
      <c r="S822" s="21" t="str" cm="1">
        <f t="array" ref="S822">IF(
OR(AD822="",ISERROR(AD822)),
"-",
_xlfn.UNIQUE(_xlfn._xlws.FILTER([1]Sheet1!$D$2:$D$200,ISNUMBER(SEARCH(AD822,[1]Sheet1!$D$2:$D$200))))
)</f>
        <v>-</v>
      </c>
      <c r="T822" s="22"/>
      <c r="U822" s="16" t="str" cm="1">
        <f t="array" ref="U822">IF(
OR(AD822="",ISERROR(AD822)),
"-",
_xlfn.UNIQUE(_xlfn._xlws.FILTER([1]Sheet1!$D$2:$D$200,ISNUMBER(SEARCH(AD822,[1]Sheet1!$D$2:$D$200))))
)</f>
        <v>-</v>
      </c>
      <c r="X822" s="23">
        <f t="shared" si="27"/>
        <v>0</v>
      </c>
      <c r="Z822" s="19"/>
      <c r="AA822" s="19"/>
      <c r="AC822" s="17" t="str">
        <f t="shared" si="28"/>
        <v>Y</v>
      </c>
      <c r="AD822" s="17"/>
      <c r="AF822" s="27"/>
      <c r="AG822" s="27"/>
    </row>
    <row r="823" spans="3:33" ht="34.950000000000003" customHeight="1" x14ac:dyDescent="0.4">
      <c r="C823" s="17"/>
      <c r="I823" s="19"/>
      <c r="J823" s="16" t="str">
        <f>IFERROR(VLOOKUP(I823,[1]Sheet1!$A$1:$B$200,2,0),"_")</f>
        <v>_</v>
      </c>
      <c r="K823" s="19"/>
      <c r="L823" s="16" t="str">
        <f>IFERROR(VLOOKUP(K823,[1]Sheet1!$A$1:$B$200,2,0),"-")</f>
        <v>-</v>
      </c>
      <c r="M823" s="19"/>
      <c r="N823" s="16" t="str">
        <f>IFERROR(VLOOKUP(M823,[1]Sheet1!$G$2:$H$200,2,0),"-")</f>
        <v>-</v>
      </c>
      <c r="P823" s="17"/>
      <c r="Q823" s="20"/>
      <c r="R823" s="20"/>
      <c r="S823" s="21" t="str" cm="1">
        <f t="array" ref="S823">IF(
OR(AD823="",ISERROR(AD823)),
"-",
_xlfn.UNIQUE(_xlfn._xlws.FILTER([1]Sheet1!$D$2:$D$200,ISNUMBER(SEARCH(AD823,[1]Sheet1!$D$2:$D$200))))
)</f>
        <v>-</v>
      </c>
      <c r="T823" s="22"/>
      <c r="U823" s="16" t="str" cm="1">
        <f t="array" ref="U823">IF(
OR(AD823="",ISERROR(AD823)),
"-",
_xlfn.UNIQUE(_xlfn._xlws.FILTER([1]Sheet1!$D$2:$D$200,ISNUMBER(SEARCH(AD823,[1]Sheet1!$D$2:$D$200))))
)</f>
        <v>-</v>
      </c>
      <c r="X823" s="23">
        <f t="shared" si="27"/>
        <v>0</v>
      </c>
      <c r="Z823" s="19"/>
      <c r="AA823" s="19"/>
      <c r="AC823" s="17" t="str">
        <f t="shared" si="28"/>
        <v>Y</v>
      </c>
      <c r="AD823" s="17"/>
      <c r="AF823" s="27"/>
      <c r="AG823" s="27"/>
    </row>
    <row r="824" spans="3:33" ht="34.950000000000003" customHeight="1" x14ac:dyDescent="0.4">
      <c r="C824" s="17"/>
      <c r="I824" s="19"/>
      <c r="J824" s="16" t="str">
        <f>IFERROR(VLOOKUP(I824,[1]Sheet1!$A$1:$B$200,2,0),"_")</f>
        <v>_</v>
      </c>
      <c r="K824" s="19"/>
      <c r="L824" s="16" t="str">
        <f>IFERROR(VLOOKUP(K824,[1]Sheet1!$A$1:$B$200,2,0),"-")</f>
        <v>-</v>
      </c>
      <c r="M824" s="19"/>
      <c r="N824" s="16" t="str">
        <f>IFERROR(VLOOKUP(M824,[1]Sheet1!$G$2:$H$200,2,0),"-")</f>
        <v>-</v>
      </c>
      <c r="P824" s="17"/>
      <c r="Q824" s="20"/>
      <c r="R824" s="20"/>
      <c r="S824" s="21" t="str" cm="1">
        <f t="array" ref="S824">IF(
OR(AD824="",ISERROR(AD824)),
"-",
_xlfn.UNIQUE(_xlfn._xlws.FILTER([1]Sheet1!$D$2:$D$200,ISNUMBER(SEARCH(AD824,[1]Sheet1!$D$2:$D$200))))
)</f>
        <v>-</v>
      </c>
      <c r="T824" s="22"/>
      <c r="U824" s="16" t="str" cm="1">
        <f t="array" ref="U824">IF(
OR(AD824="",ISERROR(AD824)),
"-",
_xlfn.UNIQUE(_xlfn._xlws.FILTER([1]Sheet1!$D$2:$D$200,ISNUMBER(SEARCH(AD824,[1]Sheet1!$D$2:$D$200))))
)</f>
        <v>-</v>
      </c>
      <c r="X824" s="23">
        <f t="shared" ref="X824:X887" si="29">V824-W824</f>
        <v>0</v>
      </c>
      <c r="Z824" s="19"/>
      <c r="AA824" s="19"/>
      <c r="AC824" s="17" t="str">
        <f t="shared" si="28"/>
        <v>Y</v>
      </c>
      <c r="AD824" s="17"/>
      <c r="AF824" s="27"/>
      <c r="AG824" s="27"/>
    </row>
    <row r="825" spans="3:33" ht="34.950000000000003" customHeight="1" x14ac:dyDescent="0.4">
      <c r="C825" s="17"/>
      <c r="I825" s="19"/>
      <c r="J825" s="16" t="str">
        <f>IFERROR(VLOOKUP(I825,[1]Sheet1!$A$1:$B$200,2,0),"_")</f>
        <v>_</v>
      </c>
      <c r="K825" s="19"/>
      <c r="L825" s="16" t="str">
        <f>IFERROR(VLOOKUP(K825,[1]Sheet1!$A$1:$B$200,2,0),"-")</f>
        <v>-</v>
      </c>
      <c r="M825" s="19"/>
      <c r="N825" s="16" t="str">
        <f>IFERROR(VLOOKUP(M825,[1]Sheet1!$G$2:$H$200,2,0),"-")</f>
        <v>-</v>
      </c>
      <c r="P825" s="17"/>
      <c r="Q825" s="20"/>
      <c r="R825" s="20"/>
      <c r="S825" s="21" t="str" cm="1">
        <f t="array" ref="S825">IF(
OR(AD825="",ISERROR(AD825)),
"-",
_xlfn.UNIQUE(_xlfn._xlws.FILTER([1]Sheet1!$D$2:$D$200,ISNUMBER(SEARCH(AD825,[1]Sheet1!$D$2:$D$200))))
)</f>
        <v>-</v>
      </c>
      <c r="T825" s="22"/>
      <c r="U825" s="16" t="str" cm="1">
        <f t="array" ref="U825">IF(
OR(AD825="",ISERROR(AD825)),
"-",
_xlfn.UNIQUE(_xlfn._xlws.FILTER([1]Sheet1!$D$2:$D$200,ISNUMBER(SEARCH(AD825,[1]Sheet1!$D$2:$D$200))))
)</f>
        <v>-</v>
      </c>
      <c r="X825" s="23">
        <f t="shared" si="29"/>
        <v>0</v>
      </c>
      <c r="Z825" s="19"/>
      <c r="AA825" s="19"/>
      <c r="AC825" s="17" t="str">
        <f t="shared" ref="AC825:AC890" si="30">IF(AI825="ㅇ", "Y", IF(Z825="강다영", "", "Y"))</f>
        <v>Y</v>
      </c>
      <c r="AD825" s="17"/>
      <c r="AF825" s="27"/>
      <c r="AG825" s="27"/>
    </row>
    <row r="826" spans="3:33" ht="34.950000000000003" customHeight="1" x14ac:dyDescent="0.4">
      <c r="C826" s="17"/>
      <c r="I826" s="19"/>
      <c r="J826" s="16" t="str">
        <f>IFERROR(VLOOKUP(I826,[1]Sheet1!$A$1:$B$200,2,0),"_")</f>
        <v>_</v>
      </c>
      <c r="K826" s="19"/>
      <c r="L826" s="16" t="str">
        <f>IFERROR(VLOOKUP(K826,[1]Sheet1!$A$1:$B$200,2,0),"-")</f>
        <v>-</v>
      </c>
      <c r="M826" s="19"/>
      <c r="N826" s="16" t="str">
        <f>IFERROR(VLOOKUP(M826,[1]Sheet1!$G$2:$H$200,2,0),"-")</f>
        <v>-</v>
      </c>
      <c r="P826" s="17"/>
      <c r="Q826" s="20"/>
      <c r="R826" s="20"/>
      <c r="S826" s="21" t="str" cm="1">
        <f t="array" ref="S826">IF(
OR(AD826="",ISERROR(AD826)),
"-",
_xlfn.UNIQUE(_xlfn._xlws.FILTER([1]Sheet1!$D$2:$D$200,ISNUMBER(SEARCH(AD826,[1]Sheet1!$D$2:$D$200))))
)</f>
        <v>-</v>
      </c>
      <c r="T826" s="22"/>
      <c r="U826" s="16" t="str" cm="1">
        <f t="array" ref="U826">IF(
OR(AD826="",ISERROR(AD826)),
"-",
_xlfn.UNIQUE(_xlfn._xlws.FILTER([1]Sheet1!$D$2:$D$200,ISNUMBER(SEARCH(AD826,[1]Sheet1!$D$2:$D$200))))
)</f>
        <v>-</v>
      </c>
      <c r="X826" s="23">
        <f t="shared" si="29"/>
        <v>0</v>
      </c>
      <c r="Z826" s="19"/>
      <c r="AA826" s="19"/>
      <c r="AC826" s="17" t="str">
        <f t="shared" si="30"/>
        <v>Y</v>
      </c>
      <c r="AD826" s="17"/>
      <c r="AF826" s="27"/>
      <c r="AG826" s="27"/>
    </row>
    <row r="827" spans="3:33" ht="34.950000000000003" customHeight="1" x14ac:dyDescent="0.4">
      <c r="C827" s="17"/>
      <c r="I827" s="19"/>
      <c r="J827" s="16" t="str">
        <f>IFERROR(VLOOKUP(I827,[1]Sheet1!$A$1:$B$200,2,0),"_")</f>
        <v>_</v>
      </c>
      <c r="K827" s="19"/>
      <c r="L827" s="16" t="str">
        <f>IFERROR(VLOOKUP(K827,[1]Sheet1!$A$1:$B$200,2,0),"-")</f>
        <v>-</v>
      </c>
      <c r="M827" s="19"/>
      <c r="N827" s="16" t="str">
        <f>IFERROR(VLOOKUP(M827,[1]Sheet1!$G$2:$H$200,2,0),"-")</f>
        <v>-</v>
      </c>
      <c r="P827" s="17"/>
      <c r="Q827" s="20"/>
      <c r="R827" s="20"/>
      <c r="S827" s="21" t="str" cm="1">
        <f t="array" ref="S827">IF(
OR(AD827="",ISERROR(AD827)),
"-",
_xlfn.UNIQUE(_xlfn._xlws.FILTER([1]Sheet1!$D$2:$D$200,ISNUMBER(SEARCH(AD827,[1]Sheet1!$D$2:$D$200))))
)</f>
        <v>-</v>
      </c>
      <c r="T827" s="22"/>
      <c r="U827" s="16" t="str" cm="1">
        <f t="array" ref="U827">IF(
OR(AD827="",ISERROR(AD827)),
"-",
_xlfn.UNIQUE(_xlfn._xlws.FILTER([1]Sheet1!$D$2:$D$200,ISNUMBER(SEARCH(AD827,[1]Sheet1!$D$2:$D$200))))
)</f>
        <v>-</v>
      </c>
      <c r="X827" s="23">
        <f t="shared" si="29"/>
        <v>0</v>
      </c>
      <c r="Z827" s="19"/>
      <c r="AA827" s="19"/>
      <c r="AC827" s="17" t="str">
        <f t="shared" si="30"/>
        <v>Y</v>
      </c>
      <c r="AD827" s="17"/>
      <c r="AF827" s="27"/>
      <c r="AG827" s="27"/>
    </row>
    <row r="828" spans="3:33" ht="34.950000000000003" customHeight="1" x14ac:dyDescent="0.4">
      <c r="C828" s="17"/>
      <c r="I828" s="19"/>
      <c r="J828" s="16" t="str">
        <f>IFERROR(VLOOKUP(I828,[1]Sheet1!$A$1:$B$200,2,0),"_")</f>
        <v>_</v>
      </c>
      <c r="K828" s="19"/>
      <c r="L828" s="16" t="str">
        <f>IFERROR(VLOOKUP(K828,[1]Sheet1!$A$1:$B$200,2,0),"-")</f>
        <v>-</v>
      </c>
      <c r="M828" s="19"/>
      <c r="N828" s="16" t="str">
        <f>IFERROR(VLOOKUP(M828,[1]Sheet1!$G$2:$H$200,2,0),"-")</f>
        <v>-</v>
      </c>
      <c r="P828" s="17"/>
      <c r="Q828" s="20"/>
      <c r="R828" s="20"/>
      <c r="S828" s="21" t="str" cm="1">
        <f t="array" ref="S828">IF(
OR(AD828="",ISERROR(AD828)),
"-",
_xlfn.UNIQUE(_xlfn._xlws.FILTER([1]Sheet1!$D$2:$D$200,ISNUMBER(SEARCH(AD828,[1]Sheet1!$D$2:$D$200))))
)</f>
        <v>-</v>
      </c>
      <c r="T828" s="22"/>
      <c r="U828" s="16" t="str" cm="1">
        <f t="array" ref="U828">IF(
OR(AD828="",ISERROR(AD828)),
"-",
_xlfn.UNIQUE(_xlfn._xlws.FILTER([1]Sheet1!$D$2:$D$200,ISNUMBER(SEARCH(AD828,[1]Sheet1!$D$2:$D$200))))
)</f>
        <v>-</v>
      </c>
      <c r="X828" s="23">
        <f t="shared" si="29"/>
        <v>0</v>
      </c>
      <c r="Z828" s="19"/>
      <c r="AA828" s="19"/>
      <c r="AC828" s="17" t="str">
        <f t="shared" si="30"/>
        <v>Y</v>
      </c>
      <c r="AD828" s="17"/>
      <c r="AF828" s="27"/>
      <c r="AG828" s="27"/>
    </row>
    <row r="829" spans="3:33" ht="34.950000000000003" customHeight="1" x14ac:dyDescent="0.4">
      <c r="C829" s="17"/>
      <c r="I829" s="19"/>
      <c r="J829" s="16" t="str">
        <f>IFERROR(VLOOKUP(I829,[1]Sheet1!$A$1:$B$200,2,0),"_")</f>
        <v>_</v>
      </c>
      <c r="K829" s="19"/>
      <c r="L829" s="16" t="str">
        <f>IFERROR(VLOOKUP(K829,[1]Sheet1!$A$1:$B$200,2,0),"-")</f>
        <v>-</v>
      </c>
      <c r="M829" s="19"/>
      <c r="N829" s="16" t="str">
        <f>IFERROR(VLOOKUP(M829,[1]Sheet1!$G$2:$H$200,2,0),"-")</f>
        <v>-</v>
      </c>
      <c r="P829" s="17"/>
      <c r="Q829" s="20"/>
      <c r="R829" s="20"/>
      <c r="S829" s="21" t="str" cm="1">
        <f t="array" ref="S829">IF(
OR(AD829="",ISERROR(AD829)),
"-",
_xlfn.UNIQUE(_xlfn._xlws.FILTER([1]Sheet1!$D$2:$D$200,ISNUMBER(SEARCH(AD829,[1]Sheet1!$D$2:$D$200))))
)</f>
        <v>-</v>
      </c>
      <c r="T829" s="22"/>
      <c r="U829" s="16" t="str" cm="1">
        <f t="array" ref="U829">IF(
OR(AD829="",ISERROR(AD829)),
"-",
_xlfn.UNIQUE(_xlfn._xlws.FILTER([1]Sheet1!$D$2:$D$200,ISNUMBER(SEARCH(AD829,[1]Sheet1!$D$2:$D$200))))
)</f>
        <v>-</v>
      </c>
      <c r="X829" s="23">
        <f t="shared" si="29"/>
        <v>0</v>
      </c>
      <c r="Z829" s="19"/>
      <c r="AA829" s="19"/>
      <c r="AC829" s="17" t="str">
        <f t="shared" si="30"/>
        <v>Y</v>
      </c>
      <c r="AD829" s="17"/>
      <c r="AF829" s="27"/>
      <c r="AG829" s="27"/>
    </row>
    <row r="830" spans="3:33" ht="34.950000000000003" customHeight="1" x14ac:dyDescent="0.4">
      <c r="C830" s="17"/>
      <c r="I830" s="19"/>
      <c r="J830" s="16" t="str">
        <f>IFERROR(VLOOKUP(I830,[1]Sheet1!$A$1:$B$200,2,0),"_")</f>
        <v>_</v>
      </c>
      <c r="K830" s="19"/>
      <c r="L830" s="16" t="str">
        <f>IFERROR(VLOOKUP(K830,[1]Sheet1!$A$1:$B$200,2,0),"-")</f>
        <v>-</v>
      </c>
      <c r="M830" s="19"/>
      <c r="N830" s="16" t="str">
        <f>IFERROR(VLOOKUP(M830,[1]Sheet1!$G$2:$H$200,2,0),"-")</f>
        <v>-</v>
      </c>
      <c r="P830" s="17"/>
      <c r="Q830" s="20"/>
      <c r="R830" s="20"/>
      <c r="S830" s="21" t="str" cm="1">
        <f t="array" ref="S830">IF(
OR(AD830="",ISERROR(AD830)),
"-",
_xlfn.UNIQUE(_xlfn._xlws.FILTER([1]Sheet1!$D$2:$D$200,ISNUMBER(SEARCH(AD830,[1]Sheet1!$D$2:$D$200))))
)</f>
        <v>-</v>
      </c>
      <c r="T830" s="22"/>
      <c r="U830" s="16" t="str" cm="1">
        <f t="array" ref="U830">IF(
OR(AD830="",ISERROR(AD830)),
"-",
_xlfn.UNIQUE(_xlfn._xlws.FILTER([1]Sheet1!$D$2:$D$200,ISNUMBER(SEARCH(AD830,[1]Sheet1!$D$2:$D$200))))
)</f>
        <v>-</v>
      </c>
      <c r="X830" s="23">
        <f t="shared" si="29"/>
        <v>0</v>
      </c>
      <c r="Z830" s="19"/>
      <c r="AA830" s="19"/>
      <c r="AC830" s="17" t="str">
        <f t="shared" si="30"/>
        <v>Y</v>
      </c>
      <c r="AD830" s="17"/>
      <c r="AF830" s="27"/>
      <c r="AG830" s="27"/>
    </row>
    <row r="831" spans="3:33" ht="34.950000000000003" customHeight="1" x14ac:dyDescent="0.4">
      <c r="C831" s="17"/>
      <c r="I831" s="19"/>
      <c r="J831" s="16" t="str">
        <f>IFERROR(VLOOKUP(I831,[1]Sheet1!$A$1:$B$200,2,0),"_")</f>
        <v>_</v>
      </c>
      <c r="K831" s="19"/>
      <c r="L831" s="16" t="str">
        <f>IFERROR(VLOOKUP(K831,[1]Sheet1!$A$1:$B$200,2,0),"-")</f>
        <v>-</v>
      </c>
      <c r="M831" s="19"/>
      <c r="N831" s="16" t="str">
        <f>IFERROR(VLOOKUP(M831,[1]Sheet1!$G$2:$H$200,2,0),"-")</f>
        <v>-</v>
      </c>
      <c r="P831" s="17"/>
      <c r="Q831" s="20"/>
      <c r="R831" s="20"/>
      <c r="S831" s="21" t="str" cm="1">
        <f t="array" ref="S831">IF(
OR(AD831="",ISERROR(AD831)),
"-",
_xlfn.UNIQUE(_xlfn._xlws.FILTER([1]Sheet1!$D$2:$D$200,ISNUMBER(SEARCH(AD831,[1]Sheet1!$D$2:$D$200))))
)</f>
        <v>-</v>
      </c>
      <c r="T831" s="22"/>
      <c r="U831" s="16" t="str" cm="1">
        <f t="array" ref="U831">IF(
OR(AD831="",ISERROR(AD831)),
"-",
_xlfn.UNIQUE(_xlfn._xlws.FILTER([1]Sheet1!$D$2:$D$200,ISNUMBER(SEARCH(AD831,[1]Sheet1!$D$2:$D$200))))
)</f>
        <v>-</v>
      </c>
      <c r="X831" s="23">
        <f t="shared" si="29"/>
        <v>0</v>
      </c>
      <c r="Z831" s="19"/>
      <c r="AA831" s="19"/>
      <c r="AC831" s="17" t="str">
        <f t="shared" si="30"/>
        <v>Y</v>
      </c>
      <c r="AD831" s="17"/>
      <c r="AF831" s="27"/>
      <c r="AG831" s="27"/>
    </row>
    <row r="832" spans="3:33" ht="34.950000000000003" customHeight="1" x14ac:dyDescent="0.4">
      <c r="C832" s="17"/>
      <c r="I832" s="19"/>
      <c r="J832" s="16" t="str">
        <f>IFERROR(VLOOKUP(I832,[1]Sheet1!$A$1:$B$200,2,0),"_")</f>
        <v>_</v>
      </c>
      <c r="K832" s="19"/>
      <c r="L832" s="16" t="str">
        <f>IFERROR(VLOOKUP(K832,[1]Sheet1!$A$1:$B$200,2,0),"-")</f>
        <v>-</v>
      </c>
      <c r="M832" s="19"/>
      <c r="N832" s="16" t="str">
        <f>IFERROR(VLOOKUP(M832,[1]Sheet1!$G$2:$H$200,2,0),"-")</f>
        <v>-</v>
      </c>
      <c r="P832" s="17"/>
      <c r="Q832" s="20"/>
      <c r="R832" s="20"/>
      <c r="S832" s="21" t="str" cm="1">
        <f t="array" ref="S832">IF(
OR(AD832="",ISERROR(AD832)),
"-",
_xlfn.UNIQUE(_xlfn._xlws.FILTER([1]Sheet1!$D$2:$D$200,ISNUMBER(SEARCH(AD832,[1]Sheet1!$D$2:$D$200))))
)</f>
        <v>-</v>
      </c>
      <c r="T832" s="22"/>
      <c r="U832" s="16" t="str" cm="1">
        <f t="array" ref="U832">IF(
OR(AD832="",ISERROR(AD832)),
"-",
_xlfn.UNIQUE(_xlfn._xlws.FILTER([1]Sheet1!$D$2:$D$200,ISNUMBER(SEARCH(AD832,[1]Sheet1!$D$2:$D$200))))
)</f>
        <v>-</v>
      </c>
      <c r="X832" s="23">
        <f t="shared" si="29"/>
        <v>0</v>
      </c>
      <c r="Z832" s="19"/>
      <c r="AA832" s="19"/>
      <c r="AC832" s="17" t="str">
        <f t="shared" si="30"/>
        <v>Y</v>
      </c>
      <c r="AD832" s="17"/>
      <c r="AF832" s="27"/>
      <c r="AG832" s="27"/>
    </row>
    <row r="833" spans="3:33" ht="34.950000000000003" customHeight="1" x14ac:dyDescent="0.4">
      <c r="C833" s="17"/>
      <c r="I833" s="19"/>
      <c r="J833" s="16" t="str">
        <f>IFERROR(VLOOKUP(I833,[1]Sheet1!$A$1:$B$200,2,0),"_")</f>
        <v>_</v>
      </c>
      <c r="K833" s="19"/>
      <c r="L833" s="16" t="str">
        <f>IFERROR(VLOOKUP(K833,[1]Sheet1!$A$1:$B$200,2,0),"-")</f>
        <v>-</v>
      </c>
      <c r="M833" s="19"/>
      <c r="N833" s="16" t="str">
        <f>IFERROR(VLOOKUP(M833,[1]Sheet1!$G$2:$H$200,2,0),"-")</f>
        <v>-</v>
      </c>
      <c r="P833" s="17"/>
      <c r="Q833" s="20"/>
      <c r="R833" s="20"/>
      <c r="S833" s="21" t="str" cm="1">
        <f t="array" ref="S833">IF(
OR(AD833="",ISERROR(AD833)),
"-",
_xlfn.UNIQUE(_xlfn._xlws.FILTER([1]Sheet1!$D$2:$D$200,ISNUMBER(SEARCH(AD833,[1]Sheet1!$D$2:$D$200))))
)</f>
        <v>-</v>
      </c>
      <c r="T833" s="22"/>
      <c r="U833" s="16" t="str" cm="1">
        <f t="array" ref="U833">IF(
OR(AD833="",ISERROR(AD833)),
"-",
_xlfn.UNIQUE(_xlfn._xlws.FILTER([1]Sheet1!$D$2:$D$200,ISNUMBER(SEARCH(AD833,[1]Sheet1!$D$2:$D$200))))
)</f>
        <v>-</v>
      </c>
      <c r="X833" s="23">
        <f t="shared" si="29"/>
        <v>0</v>
      </c>
      <c r="Z833" s="19"/>
      <c r="AA833" s="19"/>
      <c r="AC833" s="17" t="str">
        <f t="shared" si="30"/>
        <v>Y</v>
      </c>
      <c r="AD833" s="17"/>
      <c r="AF833" s="27"/>
      <c r="AG833" s="27"/>
    </row>
    <row r="834" spans="3:33" ht="34.950000000000003" customHeight="1" x14ac:dyDescent="0.4">
      <c r="C834" s="17"/>
      <c r="I834" s="19"/>
      <c r="J834" s="16" t="str">
        <f>IFERROR(VLOOKUP(I834,[1]Sheet1!$A$1:$B$200,2,0),"_")</f>
        <v>_</v>
      </c>
      <c r="K834" s="19"/>
      <c r="L834" s="16" t="str">
        <f>IFERROR(VLOOKUP(K834,[1]Sheet1!$A$1:$B$200,2,0),"-")</f>
        <v>-</v>
      </c>
      <c r="M834" s="19"/>
      <c r="N834" s="16" t="str">
        <f>IFERROR(VLOOKUP(M834,[1]Sheet1!$G$2:$H$200,2,0),"-")</f>
        <v>-</v>
      </c>
      <c r="P834" s="17"/>
      <c r="Q834" s="20"/>
      <c r="R834" s="20"/>
      <c r="S834" s="21" t="str" cm="1">
        <f t="array" ref="S834">IF(
OR(AD834="",ISERROR(AD834)),
"-",
_xlfn.UNIQUE(_xlfn._xlws.FILTER([1]Sheet1!$D$2:$D$200,ISNUMBER(SEARCH(AD834,[1]Sheet1!$D$2:$D$200))))
)</f>
        <v>-</v>
      </c>
      <c r="T834" s="22"/>
      <c r="U834" s="16" t="str" cm="1">
        <f t="array" ref="U834">IF(
OR(AD834="",ISERROR(AD834)),
"-",
_xlfn.UNIQUE(_xlfn._xlws.FILTER([1]Sheet1!$D$2:$D$200,ISNUMBER(SEARCH(AD834,[1]Sheet1!$D$2:$D$200))))
)</f>
        <v>-</v>
      </c>
      <c r="X834" s="23">
        <f t="shared" si="29"/>
        <v>0</v>
      </c>
      <c r="Z834" s="19"/>
      <c r="AA834" s="19"/>
      <c r="AC834" s="17" t="str">
        <f t="shared" si="30"/>
        <v>Y</v>
      </c>
      <c r="AD834" s="17"/>
      <c r="AF834" s="27"/>
      <c r="AG834" s="27"/>
    </row>
    <row r="835" spans="3:33" ht="34.950000000000003" customHeight="1" x14ac:dyDescent="0.4">
      <c r="C835" s="17"/>
      <c r="I835" s="19"/>
      <c r="J835" s="16" t="str">
        <f>IFERROR(VLOOKUP(I835,[1]Sheet1!$A$1:$B$200,2,0),"_")</f>
        <v>_</v>
      </c>
      <c r="K835" s="19"/>
      <c r="L835" s="16" t="str">
        <f>IFERROR(VLOOKUP(K835,[1]Sheet1!$A$1:$B$200,2,0),"-")</f>
        <v>-</v>
      </c>
      <c r="M835" s="19"/>
      <c r="N835" s="16" t="str">
        <f>IFERROR(VLOOKUP(M835,[1]Sheet1!$G$2:$H$200,2,0),"-")</f>
        <v>-</v>
      </c>
      <c r="P835" s="17"/>
      <c r="Q835" s="20"/>
      <c r="R835" s="20"/>
      <c r="S835" s="21" t="str" cm="1">
        <f t="array" ref="S835">IF(
OR(AD835="",ISERROR(AD835)),
"-",
_xlfn.UNIQUE(_xlfn._xlws.FILTER([1]Sheet1!$D$2:$D$200,ISNUMBER(SEARCH(AD835,[1]Sheet1!$D$2:$D$200))))
)</f>
        <v>-</v>
      </c>
      <c r="T835" s="22"/>
      <c r="U835" s="16" t="str" cm="1">
        <f t="array" ref="U835">IF(
OR(AD835="",ISERROR(AD835)),
"-",
_xlfn.UNIQUE(_xlfn._xlws.FILTER([1]Sheet1!$D$2:$D$200,ISNUMBER(SEARCH(AD835,[1]Sheet1!$D$2:$D$200))))
)</f>
        <v>-</v>
      </c>
      <c r="X835" s="23">
        <f t="shared" si="29"/>
        <v>0</v>
      </c>
      <c r="Z835" s="19"/>
      <c r="AA835" s="19"/>
      <c r="AC835" s="17" t="str">
        <f t="shared" si="30"/>
        <v>Y</v>
      </c>
      <c r="AD835" s="17"/>
      <c r="AF835" s="27"/>
      <c r="AG835" s="27"/>
    </row>
    <row r="836" spans="3:33" ht="34.950000000000003" customHeight="1" x14ac:dyDescent="0.4">
      <c r="U836" s="16" t="str" cm="1">
        <f t="array" ref="U836">IF(
OR(AD836="",ISERROR(AD836)),
"-",
_xlfn.UNIQUE(_xlfn._xlws.FILTER([1]Sheet1!$D$2:$D$200,ISNUMBER(SEARCH(AD836,[1]Sheet1!$D$2:$D$200))))
)</f>
        <v>-</v>
      </c>
      <c r="AF836" s="27"/>
      <c r="AG836" s="27"/>
    </row>
    <row r="837" spans="3:33" ht="34.950000000000003" customHeight="1" x14ac:dyDescent="0.4">
      <c r="U837" s="16" t="str" cm="1">
        <f t="array" ref="U837">IF(
OR(AD837="",ISERROR(AD837)),
"-",
_xlfn.UNIQUE(_xlfn._xlws.FILTER([1]Sheet1!$D$2:$D$200,ISNUMBER(SEARCH(AD837,[1]Sheet1!$D$2:$D$200))))
)</f>
        <v>-</v>
      </c>
      <c r="AF837" s="27"/>
      <c r="AG837" s="27"/>
    </row>
    <row r="838" spans="3:33" ht="34.950000000000003" customHeight="1" x14ac:dyDescent="0.4">
      <c r="U838" s="16" t="str" cm="1">
        <f t="array" ref="U838">IF(
OR(AD838="",ISERROR(AD838)),
"-",
_xlfn.UNIQUE(_xlfn._xlws.FILTER([1]Sheet1!$D$2:$D$200,ISNUMBER(SEARCH(AD838,[1]Sheet1!$D$2:$D$200))))
)</f>
        <v>-</v>
      </c>
      <c r="AF838" s="27"/>
      <c r="AG838" s="27"/>
    </row>
    <row r="839" spans="3:33" ht="34.950000000000003" customHeight="1" x14ac:dyDescent="0.4">
      <c r="U839" s="16" t="str" cm="1">
        <f t="array" ref="U839">IF(
OR(AD839="",ISERROR(AD839)),
"-",
_xlfn.UNIQUE(_xlfn._xlws.FILTER([1]Sheet1!$D$2:$D$200,ISNUMBER(SEARCH(AD839,[1]Sheet1!$D$2:$D$200))))
)</f>
        <v>-</v>
      </c>
      <c r="AF839" s="27"/>
      <c r="AG839" s="27"/>
    </row>
    <row r="840" spans="3:33" ht="34.950000000000003" customHeight="1" x14ac:dyDescent="0.4">
      <c r="U840" s="16" t="str" cm="1">
        <f t="array" ref="U840">IF(
OR(AD840="",ISERROR(AD840)),
"-",
_xlfn.UNIQUE(_xlfn._xlws.FILTER([1]Sheet1!$D$2:$D$200,ISNUMBER(SEARCH(AD840,[1]Sheet1!$D$2:$D$200))))
)</f>
        <v>-</v>
      </c>
      <c r="AF840" s="27"/>
      <c r="AG840" s="27"/>
    </row>
    <row r="841" spans="3:33" ht="34.950000000000003" customHeight="1" x14ac:dyDescent="0.4">
      <c r="U841" s="16" t="str" cm="1">
        <f t="array" ref="U841">IF(
OR(AD841="",ISERROR(AD841)),
"-",
_xlfn.UNIQUE(_xlfn._xlws.FILTER([1]Sheet1!$D$2:$D$200,ISNUMBER(SEARCH(AD841,[1]Sheet1!$D$2:$D$200))))
)</f>
        <v>-</v>
      </c>
      <c r="AF841" s="27"/>
      <c r="AG841" s="27"/>
    </row>
    <row r="842" spans="3:33" ht="34.950000000000003" customHeight="1" x14ac:dyDescent="0.4">
      <c r="U842" s="16" t="str" cm="1">
        <f t="array" ref="U842">IF(
OR(AD842="",ISERROR(AD842)),
"-",
_xlfn.UNIQUE(_xlfn._xlws.FILTER([1]Sheet1!$D$2:$D$200,ISNUMBER(SEARCH(AD842,[1]Sheet1!$D$2:$D$200))))
)</f>
        <v>-</v>
      </c>
      <c r="AF842" s="27"/>
      <c r="AG842" s="27"/>
    </row>
    <row r="843" spans="3:33" ht="34.950000000000003" customHeight="1" x14ac:dyDescent="0.4">
      <c r="U843" s="16" t="str" cm="1">
        <f t="array" ref="U843">IF(
OR(AD843="",ISERROR(AD843)),
"-",
_xlfn.UNIQUE(_xlfn._xlws.FILTER([1]Sheet1!$D$2:$D$200,ISNUMBER(SEARCH(AD843,[1]Sheet1!$D$2:$D$200))))
)</f>
        <v>-</v>
      </c>
      <c r="AF843" s="27"/>
      <c r="AG843" s="27"/>
    </row>
    <row r="844" spans="3:33" ht="34.950000000000003" customHeight="1" x14ac:dyDescent="0.4">
      <c r="U844" s="16" t="str" cm="1">
        <f t="array" ref="U844">IF(
OR(AD844="",ISERROR(AD844)),
"-",
_xlfn.UNIQUE(_xlfn._xlws.FILTER([1]Sheet1!$D$2:$D$200,ISNUMBER(SEARCH(AD844,[1]Sheet1!$D$2:$D$200))))
)</f>
        <v>-</v>
      </c>
      <c r="AF844" s="27"/>
      <c r="AG844" s="27"/>
    </row>
    <row r="845" spans="3:33" ht="34.950000000000003" customHeight="1" x14ac:dyDescent="0.4">
      <c r="U845" s="16" t="str" cm="1">
        <f t="array" ref="U845">IF(
OR(AD845="",ISERROR(AD845)),
"-",
_xlfn.UNIQUE(_xlfn._xlws.FILTER([1]Sheet1!$D$2:$D$200,ISNUMBER(SEARCH(AD845,[1]Sheet1!$D$2:$D$200))))
)</f>
        <v>-</v>
      </c>
      <c r="AF845" s="27"/>
      <c r="AG845" s="27"/>
    </row>
    <row r="846" spans="3:33" ht="34.950000000000003" customHeight="1" x14ac:dyDescent="0.4">
      <c r="U846" s="16" t="str" cm="1">
        <f t="array" ref="U846">IF(
OR(AD846="",ISERROR(AD846)),
"-",
_xlfn.UNIQUE(_xlfn._xlws.FILTER([1]Sheet1!$D$2:$D$200,ISNUMBER(SEARCH(AD846,[1]Sheet1!$D$2:$D$200))))
)</f>
        <v>-</v>
      </c>
      <c r="AF846" s="27"/>
      <c r="AG846" s="27"/>
    </row>
    <row r="847" spans="3:33" ht="34.950000000000003" customHeight="1" x14ac:dyDescent="0.4">
      <c r="U847" s="16" t="str" cm="1">
        <f t="array" ref="U847">IF(
OR(AD847="",ISERROR(AD847)),
"-",
_xlfn.UNIQUE(_xlfn._xlws.FILTER([1]Sheet1!$D$2:$D$200,ISNUMBER(SEARCH(AD847,[1]Sheet1!$D$2:$D$200))))
)</f>
        <v>-</v>
      </c>
      <c r="AF847" s="27"/>
      <c r="AG847" s="27"/>
    </row>
    <row r="848" spans="3:33" ht="34.950000000000003" customHeight="1" x14ac:dyDescent="0.4">
      <c r="U848" s="16" t="str" cm="1">
        <f t="array" ref="U848">IF(
OR(AD848="",ISERROR(AD848)),
"-",
_xlfn.UNIQUE(_xlfn._xlws.FILTER([1]Sheet1!$D$2:$D$200,ISNUMBER(SEARCH(AD848,[1]Sheet1!$D$2:$D$200))))
)</f>
        <v>-</v>
      </c>
      <c r="AF848" s="27"/>
      <c r="AG848" s="27"/>
    </row>
    <row r="849" spans="21:33" ht="34.950000000000003" customHeight="1" x14ac:dyDescent="0.4">
      <c r="U849" s="16" t="str" cm="1">
        <f t="array" ref="U849">IF(
OR(AD849="",ISERROR(AD849)),
"-",
_xlfn.UNIQUE(_xlfn._xlws.FILTER([1]Sheet1!$D$2:$D$200,ISNUMBER(SEARCH(AD849,[1]Sheet1!$D$2:$D$200))))
)</f>
        <v>-</v>
      </c>
      <c r="AF849" s="27"/>
      <c r="AG849" s="27"/>
    </row>
    <row r="850" spans="21:33" ht="34.950000000000003" customHeight="1" x14ac:dyDescent="0.4">
      <c r="U850" s="16" t="str" cm="1">
        <f t="array" ref="U850">IF(
OR(AD850="",ISERROR(AD850)),
"-",
_xlfn.UNIQUE(_xlfn._xlws.FILTER([1]Sheet1!$D$2:$D$200,ISNUMBER(SEARCH(AD850,[1]Sheet1!$D$2:$D$200))))
)</f>
        <v>-</v>
      </c>
      <c r="AF850" s="27"/>
      <c r="AG850" s="27"/>
    </row>
    <row r="851" spans="21:33" ht="34.950000000000003" customHeight="1" x14ac:dyDescent="0.4">
      <c r="U851" s="16" t="str" cm="1">
        <f t="array" ref="U851">IF(
OR(AD851="",ISERROR(AD851)),
"-",
_xlfn.UNIQUE(_xlfn._xlws.FILTER([1]Sheet1!$D$2:$D$200,ISNUMBER(SEARCH(AD851,[1]Sheet1!$D$2:$D$200))))
)</f>
        <v>-</v>
      </c>
      <c r="AF851" s="27"/>
      <c r="AG851" s="27"/>
    </row>
    <row r="852" spans="21:33" ht="34.950000000000003" customHeight="1" x14ac:dyDescent="0.4">
      <c r="U852" s="16" t="str" cm="1">
        <f t="array" ref="U852">IF(
OR(AD852="",ISERROR(AD852)),
"-",
_xlfn.UNIQUE(_xlfn._xlws.FILTER([1]Sheet1!$D$2:$D$200,ISNUMBER(SEARCH(AD852,[1]Sheet1!$D$2:$D$200))))
)</f>
        <v>-</v>
      </c>
      <c r="AF852" s="27"/>
      <c r="AG852" s="27"/>
    </row>
    <row r="853" spans="21:33" ht="34.950000000000003" customHeight="1" x14ac:dyDescent="0.4">
      <c r="U853" s="16" t="str" cm="1">
        <f t="array" ref="U853">IF(
OR(AD853="",ISERROR(AD853)),
"-",
_xlfn.UNIQUE(_xlfn._xlws.FILTER([1]Sheet1!$D$2:$D$200,ISNUMBER(SEARCH(AD853,[1]Sheet1!$D$2:$D$200))))
)</f>
        <v>-</v>
      </c>
      <c r="AF853" s="27"/>
      <c r="AG853" s="27"/>
    </row>
    <row r="854" spans="21:33" ht="34.950000000000003" customHeight="1" x14ac:dyDescent="0.4">
      <c r="U854" s="16" t="str" cm="1">
        <f t="array" ref="U854">IF(
OR(AD854="",ISERROR(AD854)),
"-",
_xlfn.UNIQUE(_xlfn._xlws.FILTER([1]Sheet1!$D$2:$D$200,ISNUMBER(SEARCH(AD854,[1]Sheet1!$D$2:$D$200))))
)</f>
        <v>-</v>
      </c>
      <c r="AF854" s="27"/>
      <c r="AG854" s="27"/>
    </row>
    <row r="855" spans="21:33" ht="34.950000000000003" customHeight="1" x14ac:dyDescent="0.4">
      <c r="U855" s="16" t="str" cm="1">
        <f t="array" ref="U855">IF(
OR(AD855="",ISERROR(AD855)),
"-",
_xlfn.UNIQUE(_xlfn._xlws.FILTER([1]Sheet1!$D$2:$D$200,ISNUMBER(SEARCH(AD855,[1]Sheet1!$D$2:$D$200))))
)</f>
        <v>-</v>
      </c>
      <c r="AF855" s="27"/>
      <c r="AG855" s="27"/>
    </row>
    <row r="856" spans="21:33" ht="34.950000000000003" customHeight="1" x14ac:dyDescent="0.4">
      <c r="U856" s="16" t="str" cm="1">
        <f t="array" ref="U856">IF(
OR(AD856="",ISERROR(AD856)),
"-",
_xlfn.UNIQUE(_xlfn._xlws.FILTER([1]Sheet1!$D$2:$D$200,ISNUMBER(SEARCH(AD856,[1]Sheet1!$D$2:$D$200))))
)</f>
        <v>-</v>
      </c>
      <c r="AF856" s="27"/>
      <c r="AG856" s="27"/>
    </row>
    <row r="857" spans="21:33" ht="34.950000000000003" customHeight="1" x14ac:dyDescent="0.4">
      <c r="U857" s="16" t="str" cm="1">
        <f t="array" ref="U857">IF(
OR(AD857="",ISERROR(AD857)),
"-",
_xlfn.UNIQUE(_xlfn._xlws.FILTER([1]Sheet1!$D$2:$D$200,ISNUMBER(SEARCH(AD857,[1]Sheet1!$D$2:$D$200))))
)</f>
        <v>-</v>
      </c>
      <c r="AF857" s="27"/>
      <c r="AG857" s="27"/>
    </row>
    <row r="858" spans="21:33" ht="34.950000000000003" customHeight="1" x14ac:dyDescent="0.4">
      <c r="U858" s="16" t="str" cm="1">
        <f t="array" ref="U858">IF(
OR(AD858="",ISERROR(AD858)),
"-",
_xlfn.UNIQUE(_xlfn._xlws.FILTER([1]Sheet1!$D$2:$D$200,ISNUMBER(SEARCH(AD858,[1]Sheet1!$D$2:$D$200))))
)</f>
        <v>-</v>
      </c>
      <c r="AF858" s="27"/>
      <c r="AG858" s="27"/>
    </row>
    <row r="859" spans="21:33" ht="34.950000000000003" customHeight="1" x14ac:dyDescent="0.4">
      <c r="U859" s="16" t="str" cm="1">
        <f t="array" ref="U859">IF(
OR(AD859="",ISERROR(AD859)),
"-",
_xlfn.UNIQUE(_xlfn._xlws.FILTER([1]Sheet1!$D$2:$D$200,ISNUMBER(SEARCH(AD859,[1]Sheet1!$D$2:$D$200))))
)</f>
        <v>-</v>
      </c>
      <c r="AF859" s="27"/>
      <c r="AG859" s="27"/>
    </row>
    <row r="860" spans="21:33" ht="34.950000000000003" customHeight="1" x14ac:dyDescent="0.4">
      <c r="U860" s="16" t="str" cm="1">
        <f t="array" ref="U860">IF(
OR(AD860="",ISERROR(AD860)),
"-",
_xlfn.UNIQUE(_xlfn._xlws.FILTER([1]Sheet1!$D$2:$D$200,ISNUMBER(SEARCH(AD860,[1]Sheet1!$D$2:$D$200))))
)</f>
        <v>-</v>
      </c>
      <c r="AF860" s="27"/>
      <c r="AG860" s="27"/>
    </row>
    <row r="861" spans="21:33" ht="34.950000000000003" customHeight="1" x14ac:dyDescent="0.4">
      <c r="U861" s="16" t="str" cm="1">
        <f t="array" ref="U861">IF(
OR(AD861="",ISERROR(AD861)),
"-",
_xlfn.UNIQUE(_xlfn._xlws.FILTER([1]Sheet1!$D$2:$D$200,ISNUMBER(SEARCH(AD861,[1]Sheet1!$D$2:$D$200))))
)</f>
        <v>-</v>
      </c>
      <c r="AF861" s="27"/>
      <c r="AG861" s="27"/>
    </row>
    <row r="862" spans="21:33" ht="34.950000000000003" customHeight="1" x14ac:dyDescent="0.4">
      <c r="U862" s="16" t="str" cm="1">
        <f t="array" ref="U862">IF(
OR(AD862="",ISERROR(AD862)),
"-",
_xlfn.UNIQUE(_xlfn._xlws.FILTER([1]Sheet1!$D$2:$D$200,ISNUMBER(SEARCH(AD862,[1]Sheet1!$D$2:$D$200))))
)</f>
        <v>-</v>
      </c>
      <c r="AF862" s="27"/>
      <c r="AG862" s="27"/>
    </row>
    <row r="863" spans="21:33" ht="34.950000000000003" customHeight="1" x14ac:dyDescent="0.4">
      <c r="U863" s="16" t="str" cm="1">
        <f t="array" ref="U863">IF(
OR(AD863="",ISERROR(AD863)),
"-",
_xlfn.UNIQUE(_xlfn._xlws.FILTER([1]Sheet1!$D$2:$D$200,ISNUMBER(SEARCH(AD863,[1]Sheet1!$D$2:$D$200))))
)</f>
        <v>-</v>
      </c>
      <c r="AF863" s="27"/>
      <c r="AG863" s="27"/>
    </row>
    <row r="864" spans="21:33" ht="34.950000000000003" customHeight="1" x14ac:dyDescent="0.4">
      <c r="U864" s="16" t="str" cm="1">
        <f t="array" ref="U864">IF(
OR(AD864="",ISERROR(AD864)),
"-",
_xlfn.UNIQUE(_xlfn._xlws.FILTER([1]Sheet1!$D$2:$D$200,ISNUMBER(SEARCH(AD864,[1]Sheet1!$D$2:$D$200))))
)</f>
        <v>-</v>
      </c>
      <c r="AF864" s="27"/>
      <c r="AG864" s="27"/>
    </row>
    <row r="865" spans="21:33" ht="34.950000000000003" customHeight="1" x14ac:dyDescent="0.4">
      <c r="U865" s="16" t="str" cm="1">
        <f t="array" ref="U865">IF(
OR(AD865="",ISERROR(AD865)),
"-",
_xlfn.UNIQUE(_xlfn._xlws.FILTER([1]Sheet1!$D$2:$D$200,ISNUMBER(SEARCH(AD865,[1]Sheet1!$D$2:$D$200))))
)</f>
        <v>-</v>
      </c>
      <c r="AF865" s="27"/>
      <c r="AG865" s="27"/>
    </row>
    <row r="866" spans="21:33" ht="34.950000000000003" customHeight="1" x14ac:dyDescent="0.4">
      <c r="U866" s="16" t="str" cm="1">
        <f t="array" ref="U866">IF(
OR(AD866="",ISERROR(AD866)),
"-",
_xlfn.UNIQUE(_xlfn._xlws.FILTER([1]Sheet1!$D$2:$D$200,ISNUMBER(SEARCH(AD866,[1]Sheet1!$D$2:$D$200))))
)</f>
        <v>-</v>
      </c>
      <c r="AF866" s="27"/>
      <c r="AG866" s="27"/>
    </row>
    <row r="867" spans="21:33" ht="34.950000000000003" customHeight="1" x14ac:dyDescent="0.4">
      <c r="U867" s="16" t="str" cm="1">
        <f t="array" ref="U867">IF(
OR(AD867="",ISERROR(AD867)),
"-",
_xlfn.UNIQUE(_xlfn._xlws.FILTER([1]Sheet1!$D$2:$D$200,ISNUMBER(SEARCH(AD867,[1]Sheet1!$D$2:$D$200))))
)</f>
        <v>-</v>
      </c>
      <c r="AF867" s="27"/>
      <c r="AG867" s="27"/>
    </row>
    <row r="868" spans="21:33" ht="34.950000000000003" customHeight="1" x14ac:dyDescent="0.4">
      <c r="U868" s="16" t="str" cm="1">
        <f t="array" ref="U868">IF(
OR(AD868="",ISERROR(AD868)),
"-",
_xlfn.UNIQUE(_xlfn._xlws.FILTER([1]Sheet1!$D$2:$D$200,ISNUMBER(SEARCH(AD868,[1]Sheet1!$D$2:$D$200))))
)</f>
        <v>-</v>
      </c>
      <c r="AF868" s="27"/>
      <c r="AG868" s="27"/>
    </row>
    <row r="869" spans="21:33" ht="34.950000000000003" customHeight="1" x14ac:dyDescent="0.4">
      <c r="U869" s="16" t="str" cm="1">
        <f t="array" ref="U869">IF(
OR(AD869="",ISERROR(AD869)),
"-",
_xlfn.UNIQUE(_xlfn._xlws.FILTER([1]Sheet1!$D$2:$D$200,ISNUMBER(SEARCH(AD869,[1]Sheet1!$D$2:$D$200))))
)</f>
        <v>-</v>
      </c>
      <c r="AF869" s="27"/>
      <c r="AG869" s="27"/>
    </row>
    <row r="870" spans="21:33" ht="34.950000000000003" customHeight="1" x14ac:dyDescent="0.4">
      <c r="U870" s="16" t="str" cm="1">
        <f t="array" ref="U870">IF(
OR(AD870="",ISERROR(AD870)),
"-",
_xlfn.UNIQUE(_xlfn._xlws.FILTER([1]Sheet1!$D$2:$D$200,ISNUMBER(SEARCH(AD870,[1]Sheet1!$D$2:$D$200))))
)</f>
        <v>-</v>
      </c>
      <c r="AF870" s="27"/>
      <c r="AG870" s="27"/>
    </row>
    <row r="871" spans="21:33" ht="34.950000000000003" customHeight="1" x14ac:dyDescent="0.4">
      <c r="U871" s="16" t="str" cm="1">
        <f t="array" ref="U871">IF(
OR(AD871="",ISERROR(AD871)),
"-",
_xlfn.UNIQUE(_xlfn._xlws.FILTER([1]Sheet1!$D$2:$D$200,ISNUMBER(SEARCH(AD871,[1]Sheet1!$D$2:$D$200))))
)</f>
        <v>-</v>
      </c>
      <c r="AF871" s="27"/>
      <c r="AG871" s="27"/>
    </row>
    <row r="872" spans="21:33" ht="34.950000000000003" customHeight="1" x14ac:dyDescent="0.4">
      <c r="U872" s="16" t="str" cm="1">
        <f t="array" ref="U872">IF(
OR(AD872="",ISERROR(AD872)),
"-",
_xlfn.UNIQUE(_xlfn._xlws.FILTER([1]Sheet1!$D$2:$D$200,ISNUMBER(SEARCH(AD872,[1]Sheet1!$D$2:$D$200))))
)</f>
        <v>-</v>
      </c>
      <c r="AF872" s="27"/>
      <c r="AG872" s="27"/>
    </row>
    <row r="873" spans="21:33" ht="34.950000000000003" customHeight="1" x14ac:dyDescent="0.4">
      <c r="U873" s="16" t="str" cm="1">
        <f t="array" ref="U873">IF(
OR(AD873="",ISERROR(AD873)),
"-",
_xlfn.UNIQUE(_xlfn._xlws.FILTER([1]Sheet1!$D$2:$D$200,ISNUMBER(SEARCH(AD873,[1]Sheet1!$D$2:$D$200))))
)</f>
        <v>-</v>
      </c>
      <c r="AF873" s="27"/>
      <c r="AG873" s="27"/>
    </row>
    <row r="874" spans="21:33" ht="34.950000000000003" customHeight="1" x14ac:dyDescent="0.4">
      <c r="U874" s="16" t="str" cm="1">
        <f t="array" ref="U874">IF(
OR(AD874="",ISERROR(AD874)),
"-",
_xlfn.UNIQUE(_xlfn._xlws.FILTER([1]Sheet1!$D$2:$D$200,ISNUMBER(SEARCH(AD874,[1]Sheet1!$D$2:$D$200))))
)</f>
        <v>-</v>
      </c>
      <c r="AF874" s="27"/>
      <c r="AG874" s="27"/>
    </row>
    <row r="875" spans="21:33" ht="34.950000000000003" customHeight="1" x14ac:dyDescent="0.4">
      <c r="U875" s="16" t="str" cm="1">
        <f t="array" ref="U875">IF(
OR(AD875="",ISERROR(AD875)),
"-",
_xlfn.UNIQUE(_xlfn._xlws.FILTER([1]Sheet1!$D$2:$D$200,ISNUMBER(SEARCH(AD875,[1]Sheet1!$D$2:$D$200))))
)</f>
        <v>-</v>
      </c>
      <c r="AF875" s="27"/>
      <c r="AG875" s="27"/>
    </row>
    <row r="876" spans="21:33" ht="34.950000000000003" customHeight="1" x14ac:dyDescent="0.4">
      <c r="U876" s="16" t="str" cm="1">
        <f t="array" ref="U876">IF(
OR(AD876="",ISERROR(AD876)),
"-",
_xlfn.UNIQUE(_xlfn._xlws.FILTER([1]Sheet1!$D$2:$D$200,ISNUMBER(SEARCH(AD876,[1]Sheet1!$D$2:$D$200))))
)</f>
        <v>-</v>
      </c>
      <c r="AF876" s="27"/>
      <c r="AG876" s="27"/>
    </row>
    <row r="877" spans="21:33" ht="34.950000000000003" customHeight="1" x14ac:dyDescent="0.4">
      <c r="U877" s="16" t="str" cm="1">
        <f t="array" ref="U877">IF(
OR(AD877="",ISERROR(AD877)),
"-",
_xlfn.UNIQUE(_xlfn._xlws.FILTER([1]Sheet1!$D$2:$D$200,ISNUMBER(SEARCH(AD877,[1]Sheet1!$D$2:$D$200))))
)</f>
        <v>-</v>
      </c>
      <c r="AF877" s="27"/>
      <c r="AG877" s="27"/>
    </row>
    <row r="878" spans="21:33" ht="34.950000000000003" customHeight="1" x14ac:dyDescent="0.4">
      <c r="U878" s="16" t="str" cm="1">
        <f t="array" ref="U878">IF(
OR(AD878="",ISERROR(AD878)),
"-",
_xlfn.UNIQUE(_xlfn._xlws.FILTER([1]Sheet1!$D$2:$D$200,ISNUMBER(SEARCH(AD878,[1]Sheet1!$D$2:$D$200))))
)</f>
        <v>-</v>
      </c>
      <c r="AF878" s="27"/>
      <c r="AG878" s="27"/>
    </row>
    <row r="879" spans="21:33" ht="34.950000000000003" customHeight="1" x14ac:dyDescent="0.4">
      <c r="U879" s="16" t="str" cm="1">
        <f t="array" ref="U879">IF(
OR(AD879="",ISERROR(AD879)),
"-",
_xlfn.UNIQUE(_xlfn._xlws.FILTER([1]Sheet1!$D$2:$D$200,ISNUMBER(SEARCH(AD879,[1]Sheet1!$D$2:$D$200))))
)</f>
        <v>-</v>
      </c>
      <c r="AF879" s="27"/>
      <c r="AG879" s="27"/>
    </row>
    <row r="880" spans="21:33" ht="34.950000000000003" customHeight="1" x14ac:dyDescent="0.4">
      <c r="U880" s="16" t="str" cm="1">
        <f t="array" ref="U880">IF(
OR(AD880="",ISERROR(AD880)),
"-",
_xlfn.UNIQUE(_xlfn._xlws.FILTER([1]Sheet1!$D$2:$D$200,ISNUMBER(SEARCH(AD880,[1]Sheet1!$D$2:$D$200))))
)</f>
        <v>-</v>
      </c>
      <c r="AF880" s="27"/>
      <c r="AG880" s="27"/>
    </row>
    <row r="881" spans="21:33" ht="34.950000000000003" customHeight="1" x14ac:dyDescent="0.4">
      <c r="U881" s="16" t="str" cm="1">
        <f t="array" ref="U881">IF(
OR(AD881="",ISERROR(AD881)),
"-",
_xlfn.UNIQUE(_xlfn._xlws.FILTER([1]Sheet1!$D$2:$D$200,ISNUMBER(SEARCH(AD881,[1]Sheet1!$D$2:$D$200))))
)</f>
        <v>-</v>
      </c>
      <c r="AF881" s="27"/>
      <c r="AG881" s="27"/>
    </row>
    <row r="882" spans="21:33" ht="34.950000000000003" customHeight="1" x14ac:dyDescent="0.4">
      <c r="U882" s="16" t="str" cm="1">
        <f t="array" ref="U882">IF(
OR(AD882="",ISERROR(AD882)),
"-",
_xlfn.UNIQUE(_xlfn._xlws.FILTER([1]Sheet1!$D$2:$D$200,ISNUMBER(SEARCH(AD882,[1]Sheet1!$D$2:$D$200))))
)</f>
        <v>-</v>
      </c>
      <c r="AF882" s="27"/>
      <c r="AG882" s="27"/>
    </row>
    <row r="883" spans="21:33" ht="34.950000000000003" customHeight="1" x14ac:dyDescent="0.4">
      <c r="U883" s="16" t="str" cm="1">
        <f t="array" ref="U883">IF(
OR(AD883="",ISERROR(AD883)),
"-",
_xlfn.UNIQUE(_xlfn._xlws.FILTER([1]Sheet1!$D$2:$D$200,ISNUMBER(SEARCH(AD883,[1]Sheet1!$D$2:$D$200))))
)</f>
        <v>-</v>
      </c>
      <c r="AF883" s="27"/>
      <c r="AG883" s="27"/>
    </row>
    <row r="884" spans="21:33" ht="34.950000000000003" customHeight="1" x14ac:dyDescent="0.4">
      <c r="U884" s="16" t="str" cm="1">
        <f t="array" ref="U884">IF(
OR(AD884="",ISERROR(AD884)),
"-",
_xlfn.UNIQUE(_xlfn._xlws.FILTER([1]Sheet1!$D$2:$D$200,ISNUMBER(SEARCH(AD884,[1]Sheet1!$D$2:$D$200))))
)</f>
        <v>-</v>
      </c>
      <c r="AF884" s="27"/>
      <c r="AG884" s="27"/>
    </row>
    <row r="885" spans="21:33" ht="34.950000000000003" customHeight="1" x14ac:dyDescent="0.4">
      <c r="U885" s="16" t="str" cm="1">
        <f t="array" ref="U885">IF(
OR(AD885="",ISERROR(AD885)),
"-",
_xlfn.UNIQUE(_xlfn._xlws.FILTER([1]Sheet1!$D$2:$D$200,ISNUMBER(SEARCH(AD885,[1]Sheet1!$D$2:$D$200))))
)</f>
        <v>-</v>
      </c>
      <c r="AF885" s="27"/>
      <c r="AG885" s="27"/>
    </row>
    <row r="886" spans="21:33" ht="34.950000000000003" customHeight="1" x14ac:dyDescent="0.4">
      <c r="U886" s="16" t="str" cm="1">
        <f t="array" ref="U886">IF(
OR(AD886="",ISERROR(AD886)),
"-",
_xlfn.UNIQUE(_xlfn._xlws.FILTER([1]Sheet1!$D$2:$D$200,ISNUMBER(SEARCH(AD886,[1]Sheet1!$D$2:$D$200))))
)</f>
        <v>-</v>
      </c>
      <c r="AF886" s="27"/>
      <c r="AG886" s="27"/>
    </row>
    <row r="887" spans="21:33" ht="34.950000000000003" customHeight="1" x14ac:dyDescent="0.4">
      <c r="U887" s="16" t="str" cm="1">
        <f t="array" ref="U887">IF(
OR(AD887="",ISERROR(AD887)),
"-",
_xlfn.UNIQUE(_xlfn._xlws.FILTER([1]Sheet1!$D$2:$D$200,ISNUMBER(SEARCH(AD887,[1]Sheet1!$D$2:$D$200))))
)</f>
        <v>-</v>
      </c>
      <c r="AF887" s="27"/>
      <c r="AG887" s="27"/>
    </row>
    <row r="888" spans="21:33" ht="34.950000000000003" customHeight="1" x14ac:dyDescent="0.4">
      <c r="U888" s="16" t="str" cm="1">
        <f t="array" ref="U888">IF(
OR(AD888="",ISERROR(AD888)),
"-",
_xlfn.UNIQUE(_xlfn._xlws.FILTER([1]Sheet1!$D$2:$D$200,ISNUMBER(SEARCH(AD888,[1]Sheet1!$D$2:$D$200))))
)</f>
        <v>-</v>
      </c>
      <c r="AF888" s="27"/>
      <c r="AG888" s="27"/>
    </row>
    <row r="889" spans="21:33" ht="34.950000000000003" customHeight="1" x14ac:dyDescent="0.4">
      <c r="U889" s="16" t="str" cm="1">
        <f t="array" ref="U889">IF(
OR(AD889="",ISERROR(AD889)),
"-",
_xlfn.UNIQUE(_xlfn._xlws.FILTER([1]Sheet1!$D$2:$D$200,ISNUMBER(SEARCH(AD889,[1]Sheet1!$D$2:$D$200))))
)</f>
        <v>-</v>
      </c>
      <c r="AF889" s="27"/>
      <c r="AG889" s="27"/>
    </row>
    <row r="890" spans="21:33" ht="34.950000000000003" customHeight="1" x14ac:dyDescent="0.4">
      <c r="U890" s="16" t="str" cm="1">
        <f t="array" ref="U890">IF(
OR(AD890="",ISERROR(AD890)),
"-",
_xlfn.UNIQUE(_xlfn._xlws.FILTER([1]Sheet1!$D$2:$D$200,ISNUMBER(SEARCH(AD890,[1]Sheet1!$D$2:$D$200))))
)</f>
        <v>-</v>
      </c>
      <c r="AF890" s="27"/>
      <c r="AG890" s="27"/>
    </row>
    <row r="891" spans="21:33" ht="34.950000000000003" customHeight="1" x14ac:dyDescent="0.4">
      <c r="U891" s="16" t="str" cm="1">
        <f t="array" ref="U891">IF(
OR(AD891="",ISERROR(AD891)),
"-",
_xlfn.UNIQUE(_xlfn._xlws.FILTER([1]Sheet1!$D$2:$D$200,ISNUMBER(SEARCH(AD891,[1]Sheet1!$D$2:$D$200))))
)</f>
        <v>-</v>
      </c>
      <c r="AF891" s="27"/>
      <c r="AG891" s="27"/>
    </row>
    <row r="892" spans="21:33" ht="34.950000000000003" customHeight="1" x14ac:dyDescent="0.4">
      <c r="U892" s="16" t="str" cm="1">
        <f t="array" ref="U892">IF(
OR(AD892="",ISERROR(AD892)),
"-",
_xlfn.UNIQUE(_xlfn._xlws.FILTER([1]Sheet1!$D$2:$D$200,ISNUMBER(SEARCH(AD892,[1]Sheet1!$D$2:$D$200))))
)</f>
        <v>-</v>
      </c>
      <c r="AF892" s="27"/>
      <c r="AG892" s="27"/>
    </row>
    <row r="893" spans="21:33" ht="34.950000000000003" customHeight="1" x14ac:dyDescent="0.4">
      <c r="U893" s="16" t="str" cm="1">
        <f t="array" ref="U893">IF(
OR(AD893="",ISERROR(AD893)),
"-",
_xlfn.UNIQUE(_xlfn._xlws.FILTER([1]Sheet1!$D$2:$D$200,ISNUMBER(SEARCH(AD893,[1]Sheet1!$D$2:$D$200))))
)</f>
        <v>-</v>
      </c>
      <c r="AF893" s="27"/>
      <c r="AG893" s="27"/>
    </row>
    <row r="894" spans="21:33" ht="34.950000000000003" customHeight="1" x14ac:dyDescent="0.4">
      <c r="U894" s="16" t="str" cm="1">
        <f t="array" ref="U894">IF(
OR(AD894="",ISERROR(AD894)),
"-",
_xlfn.UNIQUE(_xlfn._xlws.FILTER([1]Sheet1!$D$2:$D$200,ISNUMBER(SEARCH(AD894,[1]Sheet1!$D$2:$D$200))))
)</f>
        <v>-</v>
      </c>
      <c r="AF894" s="27"/>
      <c r="AG894" s="27"/>
    </row>
    <row r="895" spans="21:33" ht="34.950000000000003" customHeight="1" x14ac:dyDescent="0.4">
      <c r="U895" s="16" t="str" cm="1">
        <f t="array" ref="U895">IF(
OR(AD895="",ISERROR(AD895)),
"-",
_xlfn.UNIQUE(_xlfn._xlws.FILTER([1]Sheet1!$D$2:$D$200,ISNUMBER(SEARCH(AD895,[1]Sheet1!$D$2:$D$200))))
)</f>
        <v>-</v>
      </c>
      <c r="AF895" s="27"/>
      <c r="AG895" s="27"/>
    </row>
    <row r="896" spans="21:33" ht="34.950000000000003" customHeight="1" x14ac:dyDescent="0.4">
      <c r="AF896" s="27"/>
      <c r="AG896" s="27"/>
    </row>
    <row r="897" spans="32:33" ht="34.950000000000003" customHeight="1" x14ac:dyDescent="0.4">
      <c r="AF897" s="27"/>
      <c r="AG897" s="27"/>
    </row>
    <row r="898" spans="32:33" ht="34.950000000000003" customHeight="1" x14ac:dyDescent="0.4">
      <c r="AF898" s="27"/>
      <c r="AG898" s="27"/>
    </row>
    <row r="899" spans="32:33" ht="34.950000000000003" customHeight="1" x14ac:dyDescent="0.4">
      <c r="AF899" s="27"/>
      <c r="AG899" s="27"/>
    </row>
    <row r="900" spans="32:33" ht="34.950000000000003" customHeight="1" x14ac:dyDescent="0.4">
      <c r="AF900" s="27"/>
      <c r="AG900" s="27"/>
    </row>
    <row r="901" spans="32:33" ht="34.950000000000003" customHeight="1" x14ac:dyDescent="0.4">
      <c r="AF901" s="27"/>
      <c r="AG901" s="27"/>
    </row>
    <row r="902" spans="32:33" ht="34.950000000000003" customHeight="1" x14ac:dyDescent="0.4">
      <c r="AF902" s="27"/>
      <c r="AG902" s="27"/>
    </row>
    <row r="903" spans="32:33" ht="34.950000000000003" customHeight="1" x14ac:dyDescent="0.4">
      <c r="AF903" s="27"/>
      <c r="AG903" s="27"/>
    </row>
    <row r="904" spans="32:33" ht="34.950000000000003" customHeight="1" x14ac:dyDescent="0.4">
      <c r="AF904" s="27"/>
      <c r="AG904" s="27"/>
    </row>
    <row r="905" spans="32:33" ht="34.950000000000003" customHeight="1" x14ac:dyDescent="0.4">
      <c r="AF905" s="27"/>
      <c r="AG905" s="27"/>
    </row>
    <row r="906" spans="32:33" ht="34.950000000000003" customHeight="1" x14ac:dyDescent="0.4">
      <c r="AF906" s="27"/>
      <c r="AG906" s="27"/>
    </row>
    <row r="907" spans="32:33" ht="34.950000000000003" customHeight="1" x14ac:dyDescent="0.4">
      <c r="AF907" s="27"/>
      <c r="AG907" s="27"/>
    </row>
    <row r="908" spans="32:33" ht="34.950000000000003" customHeight="1" x14ac:dyDescent="0.4">
      <c r="AF908" s="27"/>
      <c r="AG908" s="27"/>
    </row>
    <row r="909" spans="32:33" ht="34.950000000000003" customHeight="1" x14ac:dyDescent="0.4">
      <c r="AF909" s="27"/>
      <c r="AG909" s="27"/>
    </row>
    <row r="910" spans="32:33" ht="34.950000000000003" customHeight="1" x14ac:dyDescent="0.4">
      <c r="AF910" s="27"/>
      <c r="AG910" s="27"/>
    </row>
    <row r="911" spans="32:33" ht="34.950000000000003" customHeight="1" x14ac:dyDescent="0.4">
      <c r="AF911" s="27"/>
      <c r="AG911" s="27"/>
    </row>
    <row r="912" spans="32:33" ht="34.950000000000003" customHeight="1" x14ac:dyDescent="0.4">
      <c r="AF912" s="27"/>
      <c r="AG912" s="27"/>
    </row>
    <row r="913" spans="32:33" ht="34.950000000000003" customHeight="1" x14ac:dyDescent="0.4">
      <c r="AF913" s="27"/>
      <c r="AG913" s="27"/>
    </row>
    <row r="914" spans="32:33" ht="34.950000000000003" customHeight="1" x14ac:dyDescent="0.4">
      <c r="AF914" s="27"/>
      <c r="AG914" s="27"/>
    </row>
    <row r="915" spans="32:33" ht="34.950000000000003" customHeight="1" x14ac:dyDescent="0.4">
      <c r="AF915" s="27"/>
      <c r="AG915" s="27"/>
    </row>
    <row r="916" spans="32:33" ht="34.950000000000003" customHeight="1" x14ac:dyDescent="0.4">
      <c r="AF916" s="27"/>
      <c r="AG916" s="27"/>
    </row>
    <row r="917" spans="32:33" ht="34.950000000000003" customHeight="1" x14ac:dyDescent="0.4">
      <c r="AF917" s="27"/>
      <c r="AG917" s="27"/>
    </row>
    <row r="918" spans="32:33" ht="34.950000000000003" customHeight="1" x14ac:dyDescent="0.4">
      <c r="AF918" s="27"/>
      <c r="AG918" s="27"/>
    </row>
    <row r="919" spans="32:33" ht="34.950000000000003" customHeight="1" x14ac:dyDescent="0.4">
      <c r="AF919" s="27"/>
      <c r="AG919" s="27"/>
    </row>
    <row r="920" spans="32:33" ht="34.950000000000003" customHeight="1" x14ac:dyDescent="0.4">
      <c r="AF920" s="27"/>
      <c r="AG920" s="27"/>
    </row>
    <row r="921" spans="32:33" ht="34.950000000000003" customHeight="1" x14ac:dyDescent="0.4">
      <c r="AF921" s="27"/>
      <c r="AG921" s="27"/>
    </row>
    <row r="922" spans="32:33" ht="34.950000000000003" customHeight="1" x14ac:dyDescent="0.4">
      <c r="AF922" s="27"/>
      <c r="AG922" s="27"/>
    </row>
    <row r="923" spans="32:33" ht="34.950000000000003" customHeight="1" x14ac:dyDescent="0.4">
      <c r="AF923" s="27"/>
      <c r="AG923" s="27"/>
    </row>
    <row r="924" spans="32:33" ht="34.950000000000003" customHeight="1" x14ac:dyDescent="0.4">
      <c r="AF924" s="27"/>
      <c r="AG924" s="27"/>
    </row>
    <row r="925" spans="32:33" ht="34.950000000000003" customHeight="1" x14ac:dyDescent="0.4">
      <c r="AF925" s="27"/>
      <c r="AG925" s="27"/>
    </row>
    <row r="926" spans="32:33" ht="34.950000000000003" customHeight="1" x14ac:dyDescent="0.4">
      <c r="AF926" s="27"/>
      <c r="AG926" s="27"/>
    </row>
    <row r="927" spans="32:33" ht="34.950000000000003" customHeight="1" x14ac:dyDescent="0.4">
      <c r="AF927" s="27"/>
      <c r="AG927" s="27"/>
    </row>
    <row r="928" spans="32:33" ht="34.950000000000003" customHeight="1" x14ac:dyDescent="0.4">
      <c r="AF928" s="27"/>
      <c r="AG928" s="27"/>
    </row>
    <row r="929" spans="32:33" ht="34.950000000000003" customHeight="1" x14ac:dyDescent="0.4">
      <c r="AF929" s="27"/>
      <c r="AG929" s="27"/>
    </row>
    <row r="930" spans="32:33" ht="34.950000000000003" customHeight="1" x14ac:dyDescent="0.4">
      <c r="AF930" s="27"/>
      <c r="AG930" s="27"/>
    </row>
    <row r="931" spans="32:33" ht="34.950000000000003" customHeight="1" x14ac:dyDescent="0.4">
      <c r="AF931" s="27"/>
      <c r="AG931" s="27"/>
    </row>
    <row r="932" spans="32:33" ht="34.950000000000003" customHeight="1" x14ac:dyDescent="0.4">
      <c r="AF932" s="27"/>
      <c r="AG932" s="27"/>
    </row>
    <row r="933" spans="32:33" ht="34.950000000000003" customHeight="1" x14ac:dyDescent="0.4">
      <c r="AF933" s="27"/>
      <c r="AG933" s="27"/>
    </row>
    <row r="934" spans="32:33" ht="34.950000000000003" customHeight="1" x14ac:dyDescent="0.4">
      <c r="AF934" s="27"/>
      <c r="AG934" s="27"/>
    </row>
    <row r="935" spans="32:33" ht="34.950000000000003" customHeight="1" x14ac:dyDescent="0.4">
      <c r="AF935" s="27"/>
      <c r="AG935" s="27"/>
    </row>
    <row r="936" spans="32:33" ht="34.950000000000003" customHeight="1" x14ac:dyDescent="0.4">
      <c r="AF936" s="27"/>
      <c r="AG936" s="27"/>
    </row>
    <row r="937" spans="32:33" ht="34.950000000000003" customHeight="1" x14ac:dyDescent="0.4">
      <c r="AF937" s="27"/>
      <c r="AG937" s="27"/>
    </row>
    <row r="938" spans="32:33" ht="34.950000000000003" customHeight="1" x14ac:dyDescent="0.4">
      <c r="AF938" s="27"/>
      <c r="AG938" s="27"/>
    </row>
    <row r="939" spans="32:33" ht="34.950000000000003" customHeight="1" x14ac:dyDescent="0.4">
      <c r="AF939" s="27"/>
      <c r="AG939" s="27"/>
    </row>
    <row r="940" spans="32:33" ht="34.950000000000003" customHeight="1" x14ac:dyDescent="0.4">
      <c r="AF940" s="27"/>
      <c r="AG940" s="27"/>
    </row>
    <row r="941" spans="32:33" ht="34.950000000000003" customHeight="1" x14ac:dyDescent="0.4">
      <c r="AF941" s="27"/>
      <c r="AG941" s="27"/>
    </row>
    <row r="942" spans="32:33" ht="34.950000000000003" customHeight="1" x14ac:dyDescent="0.4">
      <c r="AF942" s="27"/>
      <c r="AG942" s="27"/>
    </row>
    <row r="943" spans="32:33" ht="34.950000000000003" customHeight="1" x14ac:dyDescent="0.4">
      <c r="AF943" s="27"/>
      <c r="AG943" s="27"/>
    </row>
    <row r="944" spans="32:33" ht="34.950000000000003" customHeight="1" x14ac:dyDescent="0.4">
      <c r="AF944" s="27"/>
      <c r="AG944" s="27"/>
    </row>
    <row r="945" spans="32:33" ht="34.950000000000003" customHeight="1" x14ac:dyDescent="0.4">
      <c r="AF945" s="27"/>
      <c r="AG945" s="27"/>
    </row>
    <row r="946" spans="32:33" ht="34.950000000000003" customHeight="1" x14ac:dyDescent="0.4">
      <c r="AF946" s="27"/>
      <c r="AG946" s="27"/>
    </row>
  </sheetData>
  <phoneticPr fontId="2" type="noConversion"/>
  <pageMargins left="0.7" right="0.7" top="0.75" bottom="0.75" header="0.3" footer="0.3"/>
  <pageSetup paperSize="9" orientation="portrait" horizontalDpi="4294967293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2025-12-29T13:08:21Z</dcterms:created>
  <dcterms:modified xsi:type="dcterms:W3CDTF">2025-12-29T13:08:28Z</dcterms:modified>
</cp:coreProperties>
</file>